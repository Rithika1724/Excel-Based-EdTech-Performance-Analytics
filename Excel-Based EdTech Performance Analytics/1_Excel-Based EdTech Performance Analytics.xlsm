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334" codeName="{4D1C537B-E38A-612A-F078-A93A15B4B7F4}"/>
  <workbookPr hidePivotFieldList="1" defaultThemeVersion="166925"/>
  <mc:AlternateContent xmlns:mc="http://schemas.openxmlformats.org/markup-compatibility/2006">
    <mc:Choice Requires="x15">
      <x15ac:absPath xmlns:x15ac="http://schemas.microsoft.com/office/spreadsheetml/2010/11/ac" url="C:\Users\SWETHA\Desktop\"/>
    </mc:Choice>
  </mc:AlternateContent>
  <xr:revisionPtr revIDLastSave="0" documentId="13_ncr:40009_{1B7B251D-4C40-4B88-A6C9-710B9908CC61}" xr6:coauthVersionLast="47" xr6:coauthVersionMax="47" xr10:uidLastSave="{00000000-0000-0000-0000-000000000000}"/>
  <bookViews>
    <workbookView xWindow="-110" yWindow="-110" windowWidth="19420" windowHeight="10300" firstSheet="9" activeTab="13"/>
  </bookViews>
  <sheets>
    <sheet name="Enrollments" sheetId="1" r:id="rId1"/>
    <sheet name="Marketing" sheetId="6" r:id="rId2"/>
    <sheet name="Trainer" sheetId="25" r:id="rId3"/>
    <sheet name="Revenue" sheetId="4" r:id="rId4"/>
    <sheet name="Cleaned enrollment data" sheetId="3" r:id="rId5"/>
    <sheet name="Cleaned Marketing data" sheetId="2" r:id="rId6"/>
    <sheet name="Cleaned Trainer Data" sheetId="26" r:id="rId7"/>
    <sheet name="Cleaned Revenue data" sheetId="7" r:id="rId8"/>
    <sheet name="Student count per course" sheetId="21" r:id="rId9"/>
    <sheet name="Month_KPIs" sheetId="8" r:id="rId10"/>
    <sheet name="Lookup_Mapping" sheetId="9" r:id="rId11"/>
    <sheet name="Pivot_Tables" sheetId="11" r:id="rId12"/>
    <sheet name="Data_Visualisation" sheetId="16" r:id="rId13"/>
    <sheet name="Dashboard" sheetId="23" r:id="rId14"/>
    <sheet name="Insights" sheetId="27" r:id="rId15"/>
  </sheets>
  <definedNames>
    <definedName name="_xlnm._FilterDatabase" localSheetId="4" hidden="1">'Cleaned enrollment data'!$A$1:$A$1201</definedName>
    <definedName name="_xlnm._FilterDatabase" localSheetId="0" hidden="1">Enrollments!$A$1:$A$1201</definedName>
    <definedName name="Slicer_Channel">#N/A</definedName>
    <definedName name="Slicer_City">#N/A</definedName>
    <definedName name="Slicer_Course">#N/A</definedName>
    <definedName name="Slicer_Month">#N/A</definedName>
  </definedNames>
  <calcPr calcId="0"/>
  <pivotCaches>
    <pivotCache cacheId="421" r:id="rId16"/>
    <pivotCache cacheId="424" r:id="rId17"/>
    <pivotCache cacheId="427" r:id="rId18"/>
    <pivotCache cacheId="430" r:id="rId19"/>
  </pivotCaches>
  <extLst>
    <ext xmlns:x14="http://schemas.microsoft.com/office/spreadsheetml/2009/9/main" uri="{BBE1A952-AA13-448e-AADC-164F8A28A991}">
      <x14:slicerCaches>
        <x14:slicerCache r:id="rId20"/>
        <x14:slicerCache r:id="rId21"/>
        <x14:slicerCache r:id="rId22"/>
        <x14:slicerCache r:id="rId23"/>
      </x14:slicerCaches>
    </ext>
    <ext xmlns:x14="http://schemas.microsoft.com/office/spreadsheetml/2009/9/main" uri="{79F54976-1DA5-4618-B147-4CDE4B953A38}">
      <x14:workbookPr/>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4" i="8" l="1"/>
  <c r="C10" i="26"/>
  <c r="D13" i="26"/>
  <c r="D11" i="26"/>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993" i="9"/>
  <c r="D994" i="9"/>
  <c r="D995" i="9"/>
  <c r="D996" i="9"/>
  <c r="D997" i="9"/>
  <c r="D998" i="9"/>
  <c r="D999" i="9"/>
  <c r="D1000" i="9"/>
  <c r="D1001" i="9"/>
  <c r="D1002" i="9"/>
  <c r="D1003" i="9"/>
  <c r="D1004" i="9"/>
  <c r="D1005" i="9"/>
  <c r="D1006" i="9"/>
  <c r="D1007" i="9"/>
  <c r="D1008" i="9"/>
  <c r="D1009" i="9"/>
  <c r="D1010" i="9"/>
  <c r="D1011" i="9"/>
  <c r="D1012" i="9"/>
  <c r="D1013" i="9"/>
  <c r="D1014" i="9"/>
  <c r="D1015" i="9"/>
  <c r="D1016" i="9"/>
  <c r="D1017" i="9"/>
  <c r="D1018" i="9"/>
  <c r="D1019" i="9"/>
  <c r="D1020" i="9"/>
  <c r="D1021" i="9"/>
  <c r="D1022" i="9"/>
  <c r="D1023" i="9"/>
  <c r="D1024" i="9"/>
  <c r="D1025" i="9"/>
  <c r="D1026" i="9"/>
  <c r="D1027" i="9"/>
  <c r="D1028" i="9"/>
  <c r="D1029" i="9"/>
  <c r="D1030" i="9"/>
  <c r="D1031" i="9"/>
  <c r="D1032" i="9"/>
  <c r="D1033" i="9"/>
  <c r="D1034" i="9"/>
  <c r="D1035" i="9"/>
  <c r="D1036" i="9"/>
  <c r="D1037" i="9"/>
  <c r="D1038" i="9"/>
  <c r="D1039" i="9"/>
  <c r="D1040" i="9"/>
  <c r="D1041" i="9"/>
  <c r="D1042" i="9"/>
  <c r="D1043" i="9"/>
  <c r="D1044" i="9"/>
  <c r="D1045" i="9"/>
  <c r="D1046" i="9"/>
  <c r="D1047" i="9"/>
  <c r="D1048" i="9"/>
  <c r="D1049" i="9"/>
  <c r="D1050" i="9"/>
  <c r="D1051" i="9"/>
  <c r="D1052" i="9"/>
  <c r="D1053" i="9"/>
  <c r="D1054" i="9"/>
  <c r="D1055" i="9"/>
  <c r="D1056" i="9"/>
  <c r="D1057" i="9"/>
  <c r="D1058" i="9"/>
  <c r="D1059" i="9"/>
  <c r="D1060" i="9"/>
  <c r="D1061" i="9"/>
  <c r="D1062" i="9"/>
  <c r="D1063" i="9"/>
  <c r="D1064" i="9"/>
  <c r="D1065" i="9"/>
  <c r="D1066" i="9"/>
  <c r="D1067" i="9"/>
  <c r="D1068" i="9"/>
  <c r="D1069" i="9"/>
  <c r="D1070" i="9"/>
  <c r="D1071" i="9"/>
  <c r="D1072" i="9"/>
  <c r="D1073" i="9"/>
  <c r="D1074" i="9"/>
  <c r="D1075" i="9"/>
  <c r="D1076" i="9"/>
  <c r="D1077" i="9"/>
  <c r="D1078" i="9"/>
  <c r="D1079" i="9"/>
  <c r="D1080" i="9"/>
  <c r="D1081" i="9"/>
  <c r="D1082" i="9"/>
  <c r="D1083" i="9"/>
  <c r="D1084" i="9"/>
  <c r="D1085" i="9"/>
  <c r="D1086" i="9"/>
  <c r="D1087" i="9"/>
  <c r="D1088" i="9"/>
  <c r="D1089" i="9"/>
  <c r="D1090" i="9"/>
  <c r="D1091" i="9"/>
  <c r="D1092" i="9"/>
  <c r="D1093" i="9"/>
  <c r="D1094" i="9"/>
  <c r="D1095" i="9"/>
  <c r="D1096" i="9"/>
  <c r="D1097" i="9"/>
  <c r="D1098" i="9"/>
  <c r="D1099" i="9"/>
  <c r="D1100" i="9"/>
  <c r="D1101" i="9"/>
  <c r="D1102" i="9"/>
  <c r="D1103" i="9"/>
  <c r="D1104" i="9"/>
  <c r="D1105" i="9"/>
  <c r="D1106" i="9"/>
  <c r="D1107" i="9"/>
  <c r="D1108" i="9"/>
  <c r="D1109" i="9"/>
  <c r="D1110" i="9"/>
  <c r="D1111" i="9"/>
  <c r="D1112" i="9"/>
  <c r="D1113" i="9"/>
  <c r="D1114" i="9"/>
  <c r="D1115" i="9"/>
  <c r="D1116" i="9"/>
  <c r="D1117" i="9"/>
  <c r="D1118" i="9"/>
  <c r="D1119" i="9"/>
  <c r="D1120" i="9"/>
  <c r="D1121" i="9"/>
  <c r="D1122" i="9"/>
  <c r="D1123" i="9"/>
  <c r="D1124" i="9"/>
  <c r="D1125" i="9"/>
  <c r="D1126" i="9"/>
  <c r="D1127" i="9"/>
  <c r="D1128" i="9"/>
  <c r="D1129" i="9"/>
  <c r="D1130" i="9"/>
  <c r="D1131" i="9"/>
  <c r="D1132" i="9"/>
  <c r="D1133" i="9"/>
  <c r="D1134" i="9"/>
  <c r="D1135" i="9"/>
  <c r="D1136" i="9"/>
  <c r="D1137" i="9"/>
  <c r="D1138" i="9"/>
  <c r="D1139" i="9"/>
  <c r="D1140" i="9"/>
  <c r="D1141" i="9"/>
  <c r="D1142" i="9"/>
  <c r="D1143" i="9"/>
  <c r="D1144" i="9"/>
  <c r="D1145" i="9"/>
  <c r="D1146" i="9"/>
  <c r="D1147" i="9"/>
  <c r="D1148" i="9"/>
  <c r="D1149" i="9"/>
  <c r="D1150" i="9"/>
  <c r="D1151" i="9"/>
  <c r="D1152" i="9"/>
  <c r="D1153" i="9"/>
  <c r="D1154" i="9"/>
  <c r="D1155" i="9"/>
  <c r="D1156" i="9"/>
  <c r="D1157" i="9"/>
  <c r="D1158" i="9"/>
  <c r="D1159" i="9"/>
  <c r="D1160" i="9"/>
  <c r="D1161" i="9"/>
  <c r="D1162" i="9"/>
  <c r="D1163" i="9"/>
  <c r="D1164" i="9"/>
  <c r="D1165" i="9"/>
  <c r="D1166" i="9"/>
  <c r="D1167" i="9"/>
  <c r="D1168" i="9"/>
  <c r="D1169" i="9"/>
  <c r="D1170" i="9"/>
  <c r="D1171" i="9"/>
  <c r="D1172" i="9"/>
  <c r="D1173" i="9"/>
  <c r="D1174" i="9"/>
  <c r="D1175" i="9"/>
  <c r="D1176" i="9"/>
  <c r="D1177" i="9"/>
  <c r="D1178" i="9"/>
  <c r="D1179" i="9"/>
  <c r="D1180" i="9"/>
  <c r="D1181" i="9"/>
  <c r="D1182" i="9"/>
  <c r="D1183" i="9"/>
  <c r="D1184" i="9"/>
  <c r="D1185" i="9"/>
  <c r="D1186" i="9"/>
  <c r="D1187" i="9"/>
  <c r="D1188" i="9"/>
  <c r="D1189" i="9"/>
  <c r="D1190" i="9"/>
  <c r="D1191" i="9"/>
  <c r="D1192" i="9"/>
  <c r="D1193" i="9"/>
  <c r="D1194" i="9"/>
  <c r="D1195" i="9"/>
  <c r="D1196" i="9"/>
  <c r="D1197" i="9"/>
  <c r="D1198" i="9"/>
  <c r="D1199" i="9"/>
  <c r="D1200" i="9"/>
  <c r="D1201" i="9"/>
  <c r="D2"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C1098" i="9"/>
  <c r="C1099" i="9"/>
  <c r="C1100" i="9"/>
  <c r="C1101" i="9"/>
  <c r="C1102" i="9"/>
  <c r="C1103" i="9"/>
  <c r="C1104" i="9"/>
  <c r="C1105" i="9"/>
  <c r="C1106" i="9"/>
  <c r="C1107" i="9"/>
  <c r="C1108" i="9"/>
  <c r="C1109" i="9"/>
  <c r="C1110" i="9"/>
  <c r="C1111" i="9"/>
  <c r="C1112" i="9"/>
  <c r="C1113" i="9"/>
  <c r="C1114" i="9"/>
  <c r="C1115" i="9"/>
  <c r="C1116" i="9"/>
  <c r="C1117" i="9"/>
  <c r="C1118" i="9"/>
  <c r="C1119" i="9"/>
  <c r="C1120" i="9"/>
  <c r="C1121" i="9"/>
  <c r="C1122" i="9"/>
  <c r="C1123" i="9"/>
  <c r="C1124" i="9"/>
  <c r="C1125" i="9"/>
  <c r="C1126" i="9"/>
  <c r="C1127" i="9"/>
  <c r="C1128" i="9"/>
  <c r="C1129" i="9"/>
  <c r="C1130" i="9"/>
  <c r="C1131" i="9"/>
  <c r="C1132" i="9"/>
  <c r="C1133" i="9"/>
  <c r="C1134" i="9"/>
  <c r="C1135" i="9"/>
  <c r="C1136" i="9"/>
  <c r="C1137" i="9"/>
  <c r="C1138" i="9"/>
  <c r="C1139" i="9"/>
  <c r="C1140" i="9"/>
  <c r="C1141" i="9"/>
  <c r="C1142" i="9"/>
  <c r="C1143" i="9"/>
  <c r="C1144" i="9"/>
  <c r="C1145" i="9"/>
  <c r="C1146" i="9"/>
  <c r="C1147" i="9"/>
  <c r="C1148" i="9"/>
  <c r="C1149" i="9"/>
  <c r="C1150" i="9"/>
  <c r="C1151" i="9"/>
  <c r="C1152" i="9"/>
  <c r="C1153" i="9"/>
  <c r="C1154" i="9"/>
  <c r="C1155" i="9"/>
  <c r="C1156" i="9"/>
  <c r="C1157" i="9"/>
  <c r="C1158" i="9"/>
  <c r="C1159" i="9"/>
  <c r="C1160" i="9"/>
  <c r="C1161" i="9"/>
  <c r="C1162" i="9"/>
  <c r="C1163" i="9"/>
  <c r="C1164" i="9"/>
  <c r="C1165" i="9"/>
  <c r="C1166" i="9"/>
  <c r="C1167" i="9"/>
  <c r="C1168" i="9"/>
  <c r="C1169" i="9"/>
  <c r="C1170" i="9"/>
  <c r="C1171" i="9"/>
  <c r="C1172" i="9"/>
  <c r="C1173" i="9"/>
  <c r="C1174" i="9"/>
  <c r="C1175" i="9"/>
  <c r="C1176" i="9"/>
  <c r="C1177" i="9"/>
  <c r="C1178" i="9"/>
  <c r="C1179" i="9"/>
  <c r="C1180" i="9"/>
  <c r="C1181" i="9"/>
  <c r="C1182" i="9"/>
  <c r="C1183" i="9"/>
  <c r="C1184" i="9"/>
  <c r="C1185" i="9"/>
  <c r="C1186" i="9"/>
  <c r="C1187" i="9"/>
  <c r="C1188" i="9"/>
  <c r="C1189" i="9"/>
  <c r="C1190" i="9"/>
  <c r="C1191" i="9"/>
  <c r="C1192" i="9"/>
  <c r="C1193" i="9"/>
  <c r="C1194" i="9"/>
  <c r="C1195" i="9"/>
  <c r="C1196" i="9"/>
  <c r="C1197" i="9"/>
  <c r="C1198" i="9"/>
  <c r="C1199" i="9"/>
  <c r="C1200" i="9"/>
  <c r="C1201" i="9"/>
  <c r="C6" i="9"/>
  <c r="C7" i="9"/>
  <c r="C8" i="9"/>
  <c r="C9" i="9"/>
  <c r="C10" i="9"/>
  <c r="C11" i="9"/>
  <c r="C12" i="9"/>
  <c r="C13" i="9"/>
  <c r="C3" i="9"/>
  <c r="C4" i="9"/>
  <c r="C5" i="9"/>
  <c r="C2" i="9"/>
  <c r="B16" i="21"/>
  <c r="B14" i="21"/>
  <c r="D14" i="8"/>
  <c r="C15" i="7"/>
  <c r="B2" i="8"/>
  <c r="F2" i="8" s="1"/>
  <c r="F14" i="8" s="1"/>
  <c r="E3" i="8"/>
  <c r="E4" i="8"/>
  <c r="E5" i="8"/>
  <c r="E6" i="8"/>
  <c r="E7" i="8"/>
  <c r="E8" i="8"/>
  <c r="E9" i="8"/>
  <c r="E10" i="8"/>
  <c r="E11" i="8"/>
  <c r="E12" i="8"/>
  <c r="E13" i="8"/>
  <c r="E2" i="8"/>
  <c r="D3" i="8"/>
  <c r="D4" i="8"/>
  <c r="D5" i="8"/>
  <c r="D6" i="8"/>
  <c r="D7" i="8"/>
  <c r="D8" i="8"/>
  <c r="D9" i="8"/>
  <c r="D10" i="8"/>
  <c r="D11" i="8"/>
  <c r="D12" i="8"/>
  <c r="D13" i="8"/>
  <c r="D2" i="8"/>
  <c r="C3" i="8"/>
  <c r="C4" i="8"/>
  <c r="C5" i="8"/>
  <c r="C6" i="8"/>
  <c r="C7" i="8"/>
  <c r="C8" i="8"/>
  <c r="C9" i="8"/>
  <c r="C10" i="8"/>
  <c r="C11" i="8"/>
  <c r="C12" i="8"/>
  <c r="C13" i="8"/>
  <c r="C2" i="8"/>
  <c r="B3" i="8"/>
  <c r="F3" i="8" s="1"/>
  <c r="B4" i="8"/>
  <c r="F4" i="8" s="1"/>
  <c r="B5" i="8"/>
  <c r="F5" i="8" s="1"/>
  <c r="B6" i="8"/>
  <c r="F6" i="8" s="1"/>
  <c r="B7" i="8"/>
  <c r="F7" i="8" s="1"/>
  <c r="B8" i="8"/>
  <c r="F8" i="8" s="1"/>
  <c r="B9" i="8"/>
  <c r="F9" i="8" s="1"/>
  <c r="B10" i="8"/>
  <c r="F10" i="8" s="1"/>
  <c r="B11" i="8"/>
  <c r="F11" i="8" s="1"/>
  <c r="B12" i="8"/>
  <c r="F12" i="8" s="1"/>
  <c r="B13" i="8"/>
  <c r="F13" i="8" s="1"/>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2" i="3"/>
  <c r="I3" i="3" a="1"/>
  <c r="I3" i="3" s="1"/>
  <c r="I4" i="3" a="1"/>
  <c r="I4" i="3" s="1"/>
  <c r="I5" i="3" a="1"/>
  <c r="I5" i="3" s="1"/>
  <c r="I6" i="3" a="1"/>
  <c r="I6" i="3" s="1"/>
  <c r="I7" i="3" a="1"/>
  <c r="I7" i="3" s="1"/>
  <c r="I8" i="3" a="1"/>
  <c r="I8" i="3" s="1"/>
  <c r="I9" i="3" a="1"/>
  <c r="I9" i="3" s="1"/>
  <c r="I10" i="3" a="1"/>
  <c r="I10" i="3" s="1"/>
  <c r="I11" i="3" a="1"/>
  <c r="I11" i="3" s="1"/>
  <c r="I12" i="3" a="1"/>
  <c r="I12" i="3" s="1"/>
  <c r="I13" i="3" a="1"/>
  <c r="I13" i="3" s="1"/>
  <c r="I14" i="3" a="1"/>
  <c r="I14" i="3" s="1"/>
  <c r="I15" i="3" a="1"/>
  <c r="I15" i="3" s="1"/>
  <c r="I16" i="3" a="1"/>
  <c r="I16" i="3" s="1"/>
  <c r="I17" i="3" a="1"/>
  <c r="I17" i="3" s="1"/>
  <c r="I18" i="3" a="1"/>
  <c r="I18" i="3" s="1"/>
  <c r="I19" i="3" a="1"/>
  <c r="I19" i="3" s="1"/>
  <c r="I20" i="3" a="1"/>
  <c r="I20" i="3" s="1"/>
  <c r="I21" i="3" a="1"/>
  <c r="I21" i="3" s="1"/>
  <c r="I22" i="3" a="1"/>
  <c r="I22" i="3" s="1"/>
  <c r="I23" i="3" a="1"/>
  <c r="I23" i="3" s="1"/>
  <c r="I24" i="3" a="1"/>
  <c r="I24" i="3" s="1"/>
  <c r="I25" i="3" a="1"/>
  <c r="I25" i="3" s="1"/>
  <c r="I26" i="3" a="1"/>
  <c r="I26" i="3" s="1"/>
  <c r="I27" i="3" a="1"/>
  <c r="I27" i="3" s="1"/>
  <c r="I28" i="3" a="1"/>
  <c r="I28" i="3" s="1"/>
  <c r="I29" i="3" a="1"/>
  <c r="I29" i="3" s="1"/>
  <c r="I30" i="3" a="1"/>
  <c r="I30" i="3" s="1"/>
  <c r="I31" i="3" a="1"/>
  <c r="I31" i="3" s="1"/>
  <c r="I32" i="3" a="1"/>
  <c r="I32" i="3" s="1"/>
  <c r="I33" i="3" a="1"/>
  <c r="I33" i="3" s="1"/>
  <c r="I34" i="3" a="1"/>
  <c r="I34" i="3" s="1"/>
  <c r="I35" i="3" a="1"/>
  <c r="I35" i="3" s="1"/>
  <c r="I36" i="3" a="1"/>
  <c r="I36" i="3" s="1"/>
  <c r="I37" i="3" a="1"/>
  <c r="I37" i="3" s="1"/>
  <c r="I38" i="3" a="1"/>
  <c r="I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c r="I958" i="3" a="1"/>
  <c r="I958" i="3" s="1"/>
  <c r="I959" i="3" a="1"/>
  <c r="I959" i="3" s="1"/>
  <c r="I960" i="3" a="1"/>
  <c r="I960" i="3" s="1"/>
  <c r="I961" i="3" a="1"/>
  <c r="I961" i="3" s="1"/>
  <c r="I962" i="3" a="1"/>
  <c r="I962" i="3" s="1"/>
  <c r="I963" i="3" a="1"/>
  <c r="I963" i="3" s="1"/>
  <c r="I964" i="3" a="1"/>
  <c r="I964" i="3"/>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2" i="3" a="1"/>
  <c r="I2" i="3" s="1"/>
  <c r="B14" i="8" l="1"/>
  <c r="D19" i="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<sst xmlns="http://schemas.openxmlformats.org/spreadsheetml/2006/main" count="12474" uniqueCount="1278">
  <si>
    <t>Enrollment_ID</t>
  </si>
  <si>
    <t>Student_Name</t>
  </si>
  <si>
    <t>City</t>
  </si>
  <si>
    <t>Course</t>
  </si>
  <si>
    <t>Enrollment_Date</t>
  </si>
  <si>
    <t>Course_Fee</t>
  </si>
  <si>
    <t>Amount_Paid</t>
  </si>
  <si>
    <t>Month</t>
  </si>
  <si>
    <t>Student_0</t>
  </si>
  <si>
    <t>Kolkata</t>
  </si>
  <si>
    <t>Business Analytics</t>
  </si>
  <si>
    <t>2025-04</t>
  </si>
  <si>
    <t>Student_1</t>
  </si>
  <si>
    <t>Mumbai</t>
  </si>
  <si>
    <t>Data Science</t>
  </si>
  <si>
    <t>2025-01</t>
  </si>
  <si>
    <t>Student_2</t>
  </si>
  <si>
    <t>Delhi</t>
  </si>
  <si>
    <t>Power BI</t>
  </si>
  <si>
    <t>2025-03</t>
  </si>
  <si>
    <t>Student_3</t>
  </si>
  <si>
    <t>AI &amp; ML</t>
  </si>
  <si>
    <t>2025-10</t>
  </si>
  <si>
    <t>Student_4</t>
  </si>
  <si>
    <t>Chennai</t>
  </si>
  <si>
    <t>2025-12</t>
  </si>
  <si>
    <t>Student_5</t>
  </si>
  <si>
    <t>Python Full Stack</t>
  </si>
  <si>
    <t>Student_6</t>
  </si>
  <si>
    <t>2025-11</t>
  </si>
  <si>
    <t>Student_7</t>
  </si>
  <si>
    <t>2025-05</t>
  </si>
  <si>
    <t>Student_8</t>
  </si>
  <si>
    <t>Bangalore</t>
  </si>
  <si>
    <t>Student_9</t>
  </si>
  <si>
    <t>Student_10</t>
  </si>
  <si>
    <t>Student_11</t>
  </si>
  <si>
    <t>Data Analytics</t>
  </si>
  <si>
    <t>2025-08</t>
  </si>
  <si>
    <t>Student_12</t>
  </si>
  <si>
    <t>Student_13</t>
  </si>
  <si>
    <t>Student_14</t>
  </si>
  <si>
    <t>Student_15</t>
  </si>
  <si>
    <t>2025-07</t>
  </si>
  <si>
    <t>Student_16</t>
  </si>
  <si>
    <t>Pune</t>
  </si>
  <si>
    <t>Student_17</t>
  </si>
  <si>
    <t>Student_18</t>
  </si>
  <si>
    <t>Student_19</t>
  </si>
  <si>
    <t>Student_20</t>
  </si>
  <si>
    <t>Student_21</t>
  </si>
  <si>
    <t>Student_22</t>
  </si>
  <si>
    <t>Student_23</t>
  </si>
  <si>
    <t>2025-09</t>
  </si>
  <si>
    <t>Student_24</t>
  </si>
  <si>
    <t>Student_25</t>
  </si>
  <si>
    <t>Hyderabad</t>
  </si>
  <si>
    <t>Student_26</t>
  </si>
  <si>
    <t>Student_27</t>
  </si>
  <si>
    <t>Student_28</t>
  </si>
  <si>
    <t>Student_29</t>
  </si>
  <si>
    <t>Student_30</t>
  </si>
  <si>
    <t>Student_31</t>
  </si>
  <si>
    <t>Student_32</t>
  </si>
  <si>
    <t>Student_33</t>
  </si>
  <si>
    <t>Student_34</t>
  </si>
  <si>
    <t>Student_35</t>
  </si>
  <si>
    <t>2025-06</t>
  </si>
  <si>
    <t>Student_36</t>
  </si>
  <si>
    <t>Student_37</t>
  </si>
  <si>
    <t>Student_38</t>
  </si>
  <si>
    <t>Student_39</t>
  </si>
  <si>
    <t>Student_40</t>
  </si>
  <si>
    <t>Student_41</t>
  </si>
  <si>
    <t>Student_42</t>
  </si>
  <si>
    <t>Student_43</t>
  </si>
  <si>
    <t>Student_44</t>
  </si>
  <si>
    <t>2025-02</t>
  </si>
  <si>
    <t>Student_45</t>
  </si>
  <si>
    <t>Student_46</t>
  </si>
  <si>
    <t>Student_47</t>
  </si>
  <si>
    <t>Student_48</t>
  </si>
  <si>
    <t>Student_49</t>
  </si>
  <si>
    <t>Student_50</t>
  </si>
  <si>
    <t>Student_51</t>
  </si>
  <si>
    <t>Student_52</t>
  </si>
  <si>
    <t>Student_53</t>
  </si>
  <si>
    <t>Student_54</t>
  </si>
  <si>
    <t>Student_55</t>
  </si>
  <si>
    <t>Student_56</t>
  </si>
  <si>
    <t>Student_57</t>
  </si>
  <si>
    <t>Student_58</t>
  </si>
  <si>
    <t>Student_59</t>
  </si>
  <si>
    <t>Student_60</t>
  </si>
  <si>
    <t>Student_61</t>
  </si>
  <si>
    <t>Student_62</t>
  </si>
  <si>
    <t>Student_63</t>
  </si>
  <si>
    <t>Student_64</t>
  </si>
  <si>
    <t>Student_65</t>
  </si>
  <si>
    <t>Student_66</t>
  </si>
  <si>
    <t>Student_67</t>
  </si>
  <si>
    <t>Student_68</t>
  </si>
  <si>
    <t>Student_69</t>
  </si>
  <si>
    <t>Student_70</t>
  </si>
  <si>
    <t>Student_71</t>
  </si>
  <si>
    <t>Student_72</t>
  </si>
  <si>
    <t>Student_73</t>
  </si>
  <si>
    <t>Student_74</t>
  </si>
  <si>
    <t>Student_75</t>
  </si>
  <si>
    <t>Student_76</t>
  </si>
  <si>
    <t>Student_77</t>
  </si>
  <si>
    <t>Student_78</t>
  </si>
  <si>
    <t>Student_79</t>
  </si>
  <si>
    <t>Student_80</t>
  </si>
  <si>
    <t>Student_81</t>
  </si>
  <si>
    <t>Student_82</t>
  </si>
  <si>
    <t>Student_83</t>
  </si>
  <si>
    <t>Student_84</t>
  </si>
  <si>
    <t>Student_85</t>
  </si>
  <si>
    <t>Student_86</t>
  </si>
  <si>
    <t>Student_87</t>
  </si>
  <si>
    <t>Student_88</t>
  </si>
  <si>
    <t>Student_89</t>
  </si>
  <si>
    <t>Student_90</t>
  </si>
  <si>
    <t>Student_91</t>
  </si>
  <si>
    <t>Student_92</t>
  </si>
  <si>
    <t>Student_93</t>
  </si>
  <si>
    <t>Student_94</t>
  </si>
  <si>
    <t>Student_95</t>
  </si>
  <si>
    <t>Student_96</t>
  </si>
  <si>
    <t>Student_97</t>
  </si>
  <si>
    <t>Student_98</t>
  </si>
  <si>
    <t>Student_99</t>
  </si>
  <si>
    <t>Student_100</t>
  </si>
  <si>
    <t>Student_101</t>
  </si>
  <si>
    <t>Student_102</t>
  </si>
  <si>
    <t>Student_103</t>
  </si>
  <si>
    <t>Student_104</t>
  </si>
  <si>
    <t>Student_105</t>
  </si>
  <si>
    <t>Student_106</t>
  </si>
  <si>
    <t>Student_107</t>
  </si>
  <si>
    <t>Student_108</t>
  </si>
  <si>
    <t>Student_109</t>
  </si>
  <si>
    <t>Student_110</t>
  </si>
  <si>
    <t>Student_111</t>
  </si>
  <si>
    <t>Student_112</t>
  </si>
  <si>
    <t>Student_113</t>
  </si>
  <si>
    <t>Student_114</t>
  </si>
  <si>
    <t>Student_115</t>
  </si>
  <si>
    <t>Student_116</t>
  </si>
  <si>
    <t>Student_117</t>
  </si>
  <si>
    <t>Student_118</t>
  </si>
  <si>
    <t>Student_119</t>
  </si>
  <si>
    <t>Student_120</t>
  </si>
  <si>
    <t>Student_121</t>
  </si>
  <si>
    <t>Student_122</t>
  </si>
  <si>
    <t>Student_123</t>
  </si>
  <si>
    <t>Student_124</t>
  </si>
  <si>
    <t>Student_125</t>
  </si>
  <si>
    <t>Student_126</t>
  </si>
  <si>
    <t>Student_127</t>
  </si>
  <si>
    <t>Student_128</t>
  </si>
  <si>
    <t>Student_129</t>
  </si>
  <si>
    <t>Student_130</t>
  </si>
  <si>
    <t>Student_131</t>
  </si>
  <si>
    <t>Student_132</t>
  </si>
  <si>
    <t>Student_133</t>
  </si>
  <si>
    <t>Student_134</t>
  </si>
  <si>
    <t>Student_135</t>
  </si>
  <si>
    <t>Student_136</t>
  </si>
  <si>
    <t>Student_137</t>
  </si>
  <si>
    <t>Student_138</t>
  </si>
  <si>
    <t>Student_139</t>
  </si>
  <si>
    <t>Student_140</t>
  </si>
  <si>
    <t>Student_141</t>
  </si>
  <si>
    <t>Student_142</t>
  </si>
  <si>
    <t>Student_143</t>
  </si>
  <si>
    <t>Student_144</t>
  </si>
  <si>
    <t>Student_145</t>
  </si>
  <si>
    <t>Student_146</t>
  </si>
  <si>
    <t>Student_147</t>
  </si>
  <si>
    <t>Student_148</t>
  </si>
  <si>
    <t>Student_149</t>
  </si>
  <si>
    <t>Student_150</t>
  </si>
  <si>
    <t>Student_151</t>
  </si>
  <si>
    <t>Student_152</t>
  </si>
  <si>
    <t>Student_153</t>
  </si>
  <si>
    <t>Student_154</t>
  </si>
  <si>
    <t>Student_155</t>
  </si>
  <si>
    <t>Student_156</t>
  </si>
  <si>
    <t>Student_157</t>
  </si>
  <si>
    <t>Student_158</t>
  </si>
  <si>
    <t>Student_159</t>
  </si>
  <si>
    <t>Student_160</t>
  </si>
  <si>
    <t>Student_161</t>
  </si>
  <si>
    <t>Student_162</t>
  </si>
  <si>
    <t>Student_163</t>
  </si>
  <si>
    <t>Student_164</t>
  </si>
  <si>
    <t>Student_165</t>
  </si>
  <si>
    <t>Student_166</t>
  </si>
  <si>
    <t>Student_167</t>
  </si>
  <si>
    <t>Student_168</t>
  </si>
  <si>
    <t>Student_169</t>
  </si>
  <si>
    <t>Student_170</t>
  </si>
  <si>
    <t>Student_171</t>
  </si>
  <si>
    <t>Student_172</t>
  </si>
  <si>
    <t>Student_173</t>
  </si>
  <si>
    <t>Student_174</t>
  </si>
  <si>
    <t>Student_175</t>
  </si>
  <si>
    <t>Student_176</t>
  </si>
  <si>
    <t>Student_177</t>
  </si>
  <si>
    <t>Student_178</t>
  </si>
  <si>
    <t>Student_179</t>
  </si>
  <si>
    <t>Student_180</t>
  </si>
  <si>
    <t>Student_181</t>
  </si>
  <si>
    <t>Student_182</t>
  </si>
  <si>
    <t>Student_183</t>
  </si>
  <si>
    <t>Student_184</t>
  </si>
  <si>
    <t>Student_185</t>
  </si>
  <si>
    <t>Student_186</t>
  </si>
  <si>
    <t>Student_187</t>
  </si>
  <si>
    <t>Student_188</t>
  </si>
  <si>
    <t>Student_189</t>
  </si>
  <si>
    <t>Student_190</t>
  </si>
  <si>
    <t>Student_191</t>
  </si>
  <si>
    <t>Student_192</t>
  </si>
  <si>
    <t>Student_193</t>
  </si>
  <si>
    <t>Student_194</t>
  </si>
  <si>
    <t>Student_195</t>
  </si>
  <si>
    <t>Student_196</t>
  </si>
  <si>
    <t>Student_197</t>
  </si>
  <si>
    <t>Student_198</t>
  </si>
  <si>
    <t>Student_199</t>
  </si>
  <si>
    <t>Student_200</t>
  </si>
  <si>
    <t>Student_201</t>
  </si>
  <si>
    <t>Student_202</t>
  </si>
  <si>
    <t>Student_203</t>
  </si>
  <si>
    <t>Student_204</t>
  </si>
  <si>
    <t>Student_205</t>
  </si>
  <si>
    <t>Student_206</t>
  </si>
  <si>
    <t>Student_207</t>
  </si>
  <si>
    <t>Student_208</t>
  </si>
  <si>
    <t>Student_209</t>
  </si>
  <si>
    <t>Student_210</t>
  </si>
  <si>
    <t>Student_211</t>
  </si>
  <si>
    <t>Student_212</t>
  </si>
  <si>
    <t>Student_213</t>
  </si>
  <si>
    <t>Student_214</t>
  </si>
  <si>
    <t>Student_215</t>
  </si>
  <si>
    <t>Student_216</t>
  </si>
  <si>
    <t>Student_217</t>
  </si>
  <si>
    <t>Student_218</t>
  </si>
  <si>
    <t>Student_219</t>
  </si>
  <si>
    <t>Student_220</t>
  </si>
  <si>
    <t>Student_221</t>
  </si>
  <si>
    <t>Student_222</t>
  </si>
  <si>
    <t>Student_223</t>
  </si>
  <si>
    <t>Student_224</t>
  </si>
  <si>
    <t>Student_225</t>
  </si>
  <si>
    <t>Student_226</t>
  </si>
  <si>
    <t>Student_227</t>
  </si>
  <si>
    <t>Student_228</t>
  </si>
  <si>
    <t>Student_229</t>
  </si>
  <si>
    <t>Student_230</t>
  </si>
  <si>
    <t>Student_231</t>
  </si>
  <si>
    <t>Student_232</t>
  </si>
  <si>
    <t>Student_233</t>
  </si>
  <si>
    <t>Student_234</t>
  </si>
  <si>
    <t>Student_235</t>
  </si>
  <si>
    <t>Student_236</t>
  </si>
  <si>
    <t>Student_237</t>
  </si>
  <si>
    <t>Student_238</t>
  </si>
  <si>
    <t>Student_239</t>
  </si>
  <si>
    <t>Student_240</t>
  </si>
  <si>
    <t>Student_241</t>
  </si>
  <si>
    <t>Student_242</t>
  </si>
  <si>
    <t>Student_243</t>
  </si>
  <si>
    <t>Student_244</t>
  </si>
  <si>
    <t>Student_245</t>
  </si>
  <si>
    <t>Student_246</t>
  </si>
  <si>
    <t>Student_247</t>
  </si>
  <si>
    <t>Student_248</t>
  </si>
  <si>
    <t>Student_249</t>
  </si>
  <si>
    <t>Student_250</t>
  </si>
  <si>
    <t>Student_251</t>
  </si>
  <si>
    <t>Student_252</t>
  </si>
  <si>
    <t>Student_253</t>
  </si>
  <si>
    <t>Student_254</t>
  </si>
  <si>
    <t>Student_255</t>
  </si>
  <si>
    <t>Student_256</t>
  </si>
  <si>
    <t>Student_257</t>
  </si>
  <si>
    <t>Student_258</t>
  </si>
  <si>
    <t>Student_259</t>
  </si>
  <si>
    <t>Student_260</t>
  </si>
  <si>
    <t>Student_261</t>
  </si>
  <si>
    <t>Student_262</t>
  </si>
  <si>
    <t>Student_263</t>
  </si>
  <si>
    <t>Student_264</t>
  </si>
  <si>
    <t>Student_265</t>
  </si>
  <si>
    <t>Student_266</t>
  </si>
  <si>
    <t>Student_267</t>
  </si>
  <si>
    <t>Student_268</t>
  </si>
  <si>
    <t>Student_269</t>
  </si>
  <si>
    <t>Student_270</t>
  </si>
  <si>
    <t>Student_271</t>
  </si>
  <si>
    <t>Student_272</t>
  </si>
  <si>
    <t>Student_273</t>
  </si>
  <si>
    <t>Student_274</t>
  </si>
  <si>
    <t>Student_275</t>
  </si>
  <si>
    <t>Student_276</t>
  </si>
  <si>
    <t>Student_277</t>
  </si>
  <si>
    <t>Student_278</t>
  </si>
  <si>
    <t>Student_279</t>
  </si>
  <si>
    <t>Student_280</t>
  </si>
  <si>
    <t>Student_281</t>
  </si>
  <si>
    <t>Student_282</t>
  </si>
  <si>
    <t>Student_283</t>
  </si>
  <si>
    <t>Student_284</t>
  </si>
  <si>
    <t>Student_285</t>
  </si>
  <si>
    <t>Student_286</t>
  </si>
  <si>
    <t>Student_287</t>
  </si>
  <si>
    <t>Student_288</t>
  </si>
  <si>
    <t>Student_289</t>
  </si>
  <si>
    <t>Student_290</t>
  </si>
  <si>
    <t>Student_291</t>
  </si>
  <si>
    <t>Student_292</t>
  </si>
  <si>
    <t>Student_293</t>
  </si>
  <si>
    <t>Student_294</t>
  </si>
  <si>
    <t>Student_295</t>
  </si>
  <si>
    <t>Student_296</t>
  </si>
  <si>
    <t>Student_297</t>
  </si>
  <si>
    <t>Student_298</t>
  </si>
  <si>
    <t>Student_299</t>
  </si>
  <si>
    <t>Student_300</t>
  </si>
  <si>
    <t>Student_301</t>
  </si>
  <si>
    <t>Student_302</t>
  </si>
  <si>
    <t>Student_303</t>
  </si>
  <si>
    <t>Student_304</t>
  </si>
  <si>
    <t>Student_305</t>
  </si>
  <si>
    <t>Student_306</t>
  </si>
  <si>
    <t>Student_307</t>
  </si>
  <si>
    <t>Student_308</t>
  </si>
  <si>
    <t>Student_309</t>
  </si>
  <si>
    <t>Student_310</t>
  </si>
  <si>
    <t>Student_311</t>
  </si>
  <si>
    <t>Student_312</t>
  </si>
  <si>
    <t>Student_313</t>
  </si>
  <si>
    <t>Student_314</t>
  </si>
  <si>
    <t>Student_315</t>
  </si>
  <si>
    <t>Student_316</t>
  </si>
  <si>
    <t>Student_317</t>
  </si>
  <si>
    <t>Student_318</t>
  </si>
  <si>
    <t>Student_319</t>
  </si>
  <si>
    <t>Student_320</t>
  </si>
  <si>
    <t>Student_321</t>
  </si>
  <si>
    <t>Student_322</t>
  </si>
  <si>
    <t>Student_323</t>
  </si>
  <si>
    <t>Student_324</t>
  </si>
  <si>
    <t>Student_325</t>
  </si>
  <si>
    <t>Student_326</t>
  </si>
  <si>
    <t>Student_327</t>
  </si>
  <si>
    <t>Student_328</t>
  </si>
  <si>
    <t>Student_329</t>
  </si>
  <si>
    <t>Student_330</t>
  </si>
  <si>
    <t>Student_331</t>
  </si>
  <si>
    <t>Student_332</t>
  </si>
  <si>
    <t>Student_333</t>
  </si>
  <si>
    <t>Student_334</t>
  </si>
  <si>
    <t>Student_335</t>
  </si>
  <si>
    <t>Student_336</t>
  </si>
  <si>
    <t>Student_337</t>
  </si>
  <si>
    <t>Student_338</t>
  </si>
  <si>
    <t>Student_339</t>
  </si>
  <si>
    <t>Student_340</t>
  </si>
  <si>
    <t>Student_341</t>
  </si>
  <si>
    <t>Student_342</t>
  </si>
  <si>
    <t>Student_343</t>
  </si>
  <si>
    <t>Student_344</t>
  </si>
  <si>
    <t>Student_345</t>
  </si>
  <si>
    <t>Student_346</t>
  </si>
  <si>
    <t>Student_347</t>
  </si>
  <si>
    <t>Student_348</t>
  </si>
  <si>
    <t>Student_349</t>
  </si>
  <si>
    <t>Student_350</t>
  </si>
  <si>
    <t>Student_351</t>
  </si>
  <si>
    <t>Student_352</t>
  </si>
  <si>
    <t>Student_353</t>
  </si>
  <si>
    <t>Student_354</t>
  </si>
  <si>
    <t>Student_355</t>
  </si>
  <si>
    <t>Student_356</t>
  </si>
  <si>
    <t>Student_357</t>
  </si>
  <si>
    <t>Student_358</t>
  </si>
  <si>
    <t>Student_359</t>
  </si>
  <si>
    <t>Student_360</t>
  </si>
  <si>
    <t>Student_361</t>
  </si>
  <si>
    <t>Student_362</t>
  </si>
  <si>
    <t>Student_363</t>
  </si>
  <si>
    <t>Student_364</t>
  </si>
  <si>
    <t>Student_365</t>
  </si>
  <si>
    <t>Student_366</t>
  </si>
  <si>
    <t>Student_367</t>
  </si>
  <si>
    <t>Student_368</t>
  </si>
  <si>
    <t>Student_369</t>
  </si>
  <si>
    <t>Student_370</t>
  </si>
  <si>
    <t>Student_371</t>
  </si>
  <si>
    <t>Student_372</t>
  </si>
  <si>
    <t>Student_373</t>
  </si>
  <si>
    <t>Student_374</t>
  </si>
  <si>
    <t>Student_375</t>
  </si>
  <si>
    <t>Student_376</t>
  </si>
  <si>
    <t>Student_377</t>
  </si>
  <si>
    <t>Student_378</t>
  </si>
  <si>
    <t>Student_379</t>
  </si>
  <si>
    <t>Student_380</t>
  </si>
  <si>
    <t>Student_381</t>
  </si>
  <si>
    <t>Student_382</t>
  </si>
  <si>
    <t>Student_383</t>
  </si>
  <si>
    <t>Student_384</t>
  </si>
  <si>
    <t>Student_385</t>
  </si>
  <si>
    <t>Student_386</t>
  </si>
  <si>
    <t>Student_387</t>
  </si>
  <si>
    <t>Student_388</t>
  </si>
  <si>
    <t>Student_389</t>
  </si>
  <si>
    <t>Student_390</t>
  </si>
  <si>
    <t>Student_391</t>
  </si>
  <si>
    <t>Student_392</t>
  </si>
  <si>
    <t>Student_393</t>
  </si>
  <si>
    <t>Student_394</t>
  </si>
  <si>
    <t>Student_395</t>
  </si>
  <si>
    <t>Student_396</t>
  </si>
  <si>
    <t>Student_397</t>
  </si>
  <si>
    <t>Student_398</t>
  </si>
  <si>
    <t>Student_399</t>
  </si>
  <si>
    <t>Student_400</t>
  </si>
  <si>
    <t>Student_401</t>
  </si>
  <si>
    <t>Student_402</t>
  </si>
  <si>
    <t>Student_403</t>
  </si>
  <si>
    <t>Student_404</t>
  </si>
  <si>
    <t>Student_405</t>
  </si>
  <si>
    <t>Student_406</t>
  </si>
  <si>
    <t>Student_407</t>
  </si>
  <si>
    <t>Student_408</t>
  </si>
  <si>
    <t>Student_409</t>
  </si>
  <si>
    <t>Student_410</t>
  </si>
  <si>
    <t>Student_411</t>
  </si>
  <si>
    <t>Student_412</t>
  </si>
  <si>
    <t>Student_413</t>
  </si>
  <si>
    <t>Student_414</t>
  </si>
  <si>
    <t>Student_415</t>
  </si>
  <si>
    <t>Student_416</t>
  </si>
  <si>
    <t>Student_417</t>
  </si>
  <si>
    <t>Student_418</t>
  </si>
  <si>
    <t>Student_419</t>
  </si>
  <si>
    <t>Student_420</t>
  </si>
  <si>
    <t>Student_421</t>
  </si>
  <si>
    <t>Student_422</t>
  </si>
  <si>
    <t>Student_423</t>
  </si>
  <si>
    <t>Student_424</t>
  </si>
  <si>
    <t>Student_425</t>
  </si>
  <si>
    <t>Student_426</t>
  </si>
  <si>
    <t>Student_427</t>
  </si>
  <si>
    <t>Student_428</t>
  </si>
  <si>
    <t>Student_429</t>
  </si>
  <si>
    <t>Student_430</t>
  </si>
  <si>
    <t>Student_431</t>
  </si>
  <si>
    <t>Student_432</t>
  </si>
  <si>
    <t>Student_433</t>
  </si>
  <si>
    <t>Student_434</t>
  </si>
  <si>
    <t>Student_435</t>
  </si>
  <si>
    <t>Student_436</t>
  </si>
  <si>
    <t>Student_437</t>
  </si>
  <si>
    <t>Student_438</t>
  </si>
  <si>
    <t>Student_439</t>
  </si>
  <si>
    <t>Student_440</t>
  </si>
  <si>
    <t>Student_441</t>
  </si>
  <si>
    <t>Student_442</t>
  </si>
  <si>
    <t>Student_443</t>
  </si>
  <si>
    <t>Student_444</t>
  </si>
  <si>
    <t>Student_445</t>
  </si>
  <si>
    <t>Student_446</t>
  </si>
  <si>
    <t>Student_447</t>
  </si>
  <si>
    <t>Student_448</t>
  </si>
  <si>
    <t>Student_449</t>
  </si>
  <si>
    <t>Student_450</t>
  </si>
  <si>
    <t>Student_451</t>
  </si>
  <si>
    <t>Student_452</t>
  </si>
  <si>
    <t>Student_453</t>
  </si>
  <si>
    <t>Student_454</t>
  </si>
  <si>
    <t>Student_455</t>
  </si>
  <si>
    <t>Student_456</t>
  </si>
  <si>
    <t>Student_457</t>
  </si>
  <si>
    <t>Student_458</t>
  </si>
  <si>
    <t>Student_459</t>
  </si>
  <si>
    <t>Student_460</t>
  </si>
  <si>
    <t>Student_461</t>
  </si>
  <si>
    <t>Student_462</t>
  </si>
  <si>
    <t>Student_463</t>
  </si>
  <si>
    <t>Student_464</t>
  </si>
  <si>
    <t>Student_465</t>
  </si>
  <si>
    <t>Student_466</t>
  </si>
  <si>
    <t>Student_467</t>
  </si>
  <si>
    <t>Student_468</t>
  </si>
  <si>
    <t>Student_469</t>
  </si>
  <si>
    <t>Student_470</t>
  </si>
  <si>
    <t>Student_471</t>
  </si>
  <si>
    <t>Student_472</t>
  </si>
  <si>
    <t>Student_473</t>
  </si>
  <si>
    <t>Student_474</t>
  </si>
  <si>
    <t>Student_475</t>
  </si>
  <si>
    <t>Student_476</t>
  </si>
  <si>
    <t>Student_477</t>
  </si>
  <si>
    <t>Student_478</t>
  </si>
  <si>
    <t>Student_479</t>
  </si>
  <si>
    <t>Student_480</t>
  </si>
  <si>
    <t>Student_481</t>
  </si>
  <si>
    <t>Student_482</t>
  </si>
  <si>
    <t>Student_483</t>
  </si>
  <si>
    <t>Student_484</t>
  </si>
  <si>
    <t>Student_485</t>
  </si>
  <si>
    <t>Student_486</t>
  </si>
  <si>
    <t>Student_487</t>
  </si>
  <si>
    <t>Student_488</t>
  </si>
  <si>
    <t>Student_489</t>
  </si>
  <si>
    <t>Student_490</t>
  </si>
  <si>
    <t>Student_491</t>
  </si>
  <si>
    <t>Student_492</t>
  </si>
  <si>
    <t>Student_493</t>
  </si>
  <si>
    <t>Student_494</t>
  </si>
  <si>
    <t>Student_495</t>
  </si>
  <si>
    <t>Student_496</t>
  </si>
  <si>
    <t>Student_497</t>
  </si>
  <si>
    <t>Student_498</t>
  </si>
  <si>
    <t>Student_499</t>
  </si>
  <si>
    <t>Student_500</t>
  </si>
  <si>
    <t>Student_501</t>
  </si>
  <si>
    <t>Student_502</t>
  </si>
  <si>
    <t>Student_503</t>
  </si>
  <si>
    <t>Student_504</t>
  </si>
  <si>
    <t>Student_505</t>
  </si>
  <si>
    <t>Student_506</t>
  </si>
  <si>
    <t>Student_507</t>
  </si>
  <si>
    <t>Student_508</t>
  </si>
  <si>
    <t>Student_509</t>
  </si>
  <si>
    <t>Student_510</t>
  </si>
  <si>
    <t>Student_511</t>
  </si>
  <si>
    <t>Student_512</t>
  </si>
  <si>
    <t>Student_513</t>
  </si>
  <si>
    <t>Student_514</t>
  </si>
  <si>
    <t>Student_515</t>
  </si>
  <si>
    <t>Student_516</t>
  </si>
  <si>
    <t>Student_517</t>
  </si>
  <si>
    <t>Student_518</t>
  </si>
  <si>
    <t>Student_519</t>
  </si>
  <si>
    <t>Student_520</t>
  </si>
  <si>
    <t>Student_521</t>
  </si>
  <si>
    <t>Student_522</t>
  </si>
  <si>
    <t>Student_523</t>
  </si>
  <si>
    <t>Student_524</t>
  </si>
  <si>
    <t>Student_525</t>
  </si>
  <si>
    <t>Student_526</t>
  </si>
  <si>
    <t>Student_527</t>
  </si>
  <si>
    <t>Student_528</t>
  </si>
  <si>
    <t>Student_529</t>
  </si>
  <si>
    <t>Student_530</t>
  </si>
  <si>
    <t>Student_531</t>
  </si>
  <si>
    <t>Student_532</t>
  </si>
  <si>
    <t>Student_533</t>
  </si>
  <si>
    <t>Student_534</t>
  </si>
  <si>
    <t>Student_535</t>
  </si>
  <si>
    <t>Student_536</t>
  </si>
  <si>
    <t>Student_537</t>
  </si>
  <si>
    <t>Student_538</t>
  </si>
  <si>
    <t>Student_539</t>
  </si>
  <si>
    <t>Student_540</t>
  </si>
  <si>
    <t>Student_541</t>
  </si>
  <si>
    <t>Student_542</t>
  </si>
  <si>
    <t>Student_543</t>
  </si>
  <si>
    <t>Student_544</t>
  </si>
  <si>
    <t>Student_545</t>
  </si>
  <si>
    <t>Student_546</t>
  </si>
  <si>
    <t>Student_547</t>
  </si>
  <si>
    <t>Student_548</t>
  </si>
  <si>
    <t>Student_549</t>
  </si>
  <si>
    <t>Student_550</t>
  </si>
  <si>
    <t>Student_551</t>
  </si>
  <si>
    <t>Student_552</t>
  </si>
  <si>
    <t>Student_553</t>
  </si>
  <si>
    <t>Student_554</t>
  </si>
  <si>
    <t>Student_555</t>
  </si>
  <si>
    <t>Student_556</t>
  </si>
  <si>
    <t>Student_557</t>
  </si>
  <si>
    <t>Student_558</t>
  </si>
  <si>
    <t>Student_559</t>
  </si>
  <si>
    <t>Student_560</t>
  </si>
  <si>
    <t>Student_561</t>
  </si>
  <si>
    <t>Student_562</t>
  </si>
  <si>
    <t>Student_563</t>
  </si>
  <si>
    <t>Student_564</t>
  </si>
  <si>
    <t>Student_565</t>
  </si>
  <si>
    <t>Student_566</t>
  </si>
  <si>
    <t>Student_567</t>
  </si>
  <si>
    <t>Student_568</t>
  </si>
  <si>
    <t>Student_569</t>
  </si>
  <si>
    <t>Student_570</t>
  </si>
  <si>
    <t>Student_571</t>
  </si>
  <si>
    <t>Student_572</t>
  </si>
  <si>
    <t>Student_573</t>
  </si>
  <si>
    <t>Student_574</t>
  </si>
  <si>
    <t>Student_575</t>
  </si>
  <si>
    <t>Student_576</t>
  </si>
  <si>
    <t>Student_577</t>
  </si>
  <si>
    <t>Student_578</t>
  </si>
  <si>
    <t>Student_579</t>
  </si>
  <si>
    <t>Student_580</t>
  </si>
  <si>
    <t>Student_581</t>
  </si>
  <si>
    <t>Student_582</t>
  </si>
  <si>
    <t>Student_583</t>
  </si>
  <si>
    <t>Student_584</t>
  </si>
  <si>
    <t>Student_585</t>
  </si>
  <si>
    <t>Student_586</t>
  </si>
  <si>
    <t>Student_587</t>
  </si>
  <si>
    <t>Student_588</t>
  </si>
  <si>
    <t>Student_589</t>
  </si>
  <si>
    <t>Student_590</t>
  </si>
  <si>
    <t>Student_591</t>
  </si>
  <si>
    <t>Student_592</t>
  </si>
  <si>
    <t>Student_593</t>
  </si>
  <si>
    <t>Student_594</t>
  </si>
  <si>
    <t>Student_595</t>
  </si>
  <si>
    <t>Student_596</t>
  </si>
  <si>
    <t>Student_597</t>
  </si>
  <si>
    <t>Student_598</t>
  </si>
  <si>
    <t>Student_599</t>
  </si>
  <si>
    <t>Student_600</t>
  </si>
  <si>
    <t>Student_601</t>
  </si>
  <si>
    <t>Student_602</t>
  </si>
  <si>
    <t>Student_603</t>
  </si>
  <si>
    <t>Student_604</t>
  </si>
  <si>
    <t>Student_605</t>
  </si>
  <si>
    <t>Student_606</t>
  </si>
  <si>
    <t>Student_607</t>
  </si>
  <si>
    <t>Student_608</t>
  </si>
  <si>
    <t>Student_609</t>
  </si>
  <si>
    <t>Student_610</t>
  </si>
  <si>
    <t>Student_611</t>
  </si>
  <si>
    <t>Student_612</t>
  </si>
  <si>
    <t>Student_613</t>
  </si>
  <si>
    <t>Student_614</t>
  </si>
  <si>
    <t>Student_615</t>
  </si>
  <si>
    <t>Student_616</t>
  </si>
  <si>
    <t>Student_617</t>
  </si>
  <si>
    <t>Student_618</t>
  </si>
  <si>
    <t>Student_619</t>
  </si>
  <si>
    <t>Student_620</t>
  </si>
  <si>
    <t>Student_621</t>
  </si>
  <si>
    <t>Student_622</t>
  </si>
  <si>
    <t>Student_623</t>
  </si>
  <si>
    <t>Student_624</t>
  </si>
  <si>
    <t>Student_625</t>
  </si>
  <si>
    <t>Student_626</t>
  </si>
  <si>
    <t>Student_627</t>
  </si>
  <si>
    <t>Student_628</t>
  </si>
  <si>
    <t>Student_629</t>
  </si>
  <si>
    <t>Student_630</t>
  </si>
  <si>
    <t>Student_631</t>
  </si>
  <si>
    <t>Student_632</t>
  </si>
  <si>
    <t>Student_633</t>
  </si>
  <si>
    <t>Student_634</t>
  </si>
  <si>
    <t>Student_635</t>
  </si>
  <si>
    <t>Student_636</t>
  </si>
  <si>
    <t>Student_637</t>
  </si>
  <si>
    <t>Student_638</t>
  </si>
  <si>
    <t>Student_639</t>
  </si>
  <si>
    <t>Student_640</t>
  </si>
  <si>
    <t>Student_641</t>
  </si>
  <si>
    <t>Student_642</t>
  </si>
  <si>
    <t>Student_643</t>
  </si>
  <si>
    <t>Student_644</t>
  </si>
  <si>
    <t>Student_645</t>
  </si>
  <si>
    <t>Student_646</t>
  </si>
  <si>
    <t>Student_647</t>
  </si>
  <si>
    <t>Student_648</t>
  </si>
  <si>
    <t>Student_649</t>
  </si>
  <si>
    <t>Student_650</t>
  </si>
  <si>
    <t>Student_651</t>
  </si>
  <si>
    <t>Student_652</t>
  </si>
  <si>
    <t>Student_653</t>
  </si>
  <si>
    <t>Student_654</t>
  </si>
  <si>
    <t>Student_655</t>
  </si>
  <si>
    <t>Student_656</t>
  </si>
  <si>
    <t>Student_657</t>
  </si>
  <si>
    <t>Student_658</t>
  </si>
  <si>
    <t>Student_659</t>
  </si>
  <si>
    <t>Student_660</t>
  </si>
  <si>
    <t>Student_661</t>
  </si>
  <si>
    <t>Student_662</t>
  </si>
  <si>
    <t>Student_663</t>
  </si>
  <si>
    <t>Student_664</t>
  </si>
  <si>
    <t>Student_665</t>
  </si>
  <si>
    <t>Student_666</t>
  </si>
  <si>
    <t>Student_667</t>
  </si>
  <si>
    <t>Student_668</t>
  </si>
  <si>
    <t>Student_669</t>
  </si>
  <si>
    <t>Student_670</t>
  </si>
  <si>
    <t>Student_671</t>
  </si>
  <si>
    <t>Student_672</t>
  </si>
  <si>
    <t>Student_673</t>
  </si>
  <si>
    <t>Student_674</t>
  </si>
  <si>
    <t>Student_675</t>
  </si>
  <si>
    <t>Student_676</t>
  </si>
  <si>
    <t>Student_677</t>
  </si>
  <si>
    <t>Student_678</t>
  </si>
  <si>
    <t>Student_679</t>
  </si>
  <si>
    <t>Student_680</t>
  </si>
  <si>
    <t>Student_681</t>
  </si>
  <si>
    <t>Student_682</t>
  </si>
  <si>
    <t>Student_683</t>
  </si>
  <si>
    <t>Student_684</t>
  </si>
  <si>
    <t>Student_685</t>
  </si>
  <si>
    <t>Student_686</t>
  </si>
  <si>
    <t>Student_687</t>
  </si>
  <si>
    <t>Student_688</t>
  </si>
  <si>
    <t>Student_689</t>
  </si>
  <si>
    <t>Student_690</t>
  </si>
  <si>
    <t>Student_691</t>
  </si>
  <si>
    <t>Student_692</t>
  </si>
  <si>
    <t>Student_693</t>
  </si>
  <si>
    <t>Student_694</t>
  </si>
  <si>
    <t>Student_695</t>
  </si>
  <si>
    <t>Student_696</t>
  </si>
  <si>
    <t>Student_697</t>
  </si>
  <si>
    <t>Student_698</t>
  </si>
  <si>
    <t>Student_699</t>
  </si>
  <si>
    <t>Student_700</t>
  </si>
  <si>
    <t>Student_701</t>
  </si>
  <si>
    <t>Student_702</t>
  </si>
  <si>
    <t>Student_703</t>
  </si>
  <si>
    <t>Student_704</t>
  </si>
  <si>
    <t>Student_705</t>
  </si>
  <si>
    <t>Student_706</t>
  </si>
  <si>
    <t>Student_707</t>
  </si>
  <si>
    <t>Student_708</t>
  </si>
  <si>
    <t>Student_709</t>
  </si>
  <si>
    <t>Student_710</t>
  </si>
  <si>
    <t>Student_711</t>
  </si>
  <si>
    <t>Student_712</t>
  </si>
  <si>
    <t>Student_713</t>
  </si>
  <si>
    <t>Student_714</t>
  </si>
  <si>
    <t>Student_715</t>
  </si>
  <si>
    <t>Student_716</t>
  </si>
  <si>
    <t>Student_717</t>
  </si>
  <si>
    <t>Student_718</t>
  </si>
  <si>
    <t>Student_719</t>
  </si>
  <si>
    <t>Student_720</t>
  </si>
  <si>
    <t>Student_721</t>
  </si>
  <si>
    <t>Student_722</t>
  </si>
  <si>
    <t>Student_723</t>
  </si>
  <si>
    <t>Student_724</t>
  </si>
  <si>
    <t>Student_725</t>
  </si>
  <si>
    <t>Student_726</t>
  </si>
  <si>
    <t>Student_727</t>
  </si>
  <si>
    <t>Student_728</t>
  </si>
  <si>
    <t>Student_729</t>
  </si>
  <si>
    <t>Student_730</t>
  </si>
  <si>
    <t>Student_731</t>
  </si>
  <si>
    <t>Student_732</t>
  </si>
  <si>
    <t>Student_733</t>
  </si>
  <si>
    <t>Student_734</t>
  </si>
  <si>
    <t>Student_735</t>
  </si>
  <si>
    <t>Student_736</t>
  </si>
  <si>
    <t>Student_737</t>
  </si>
  <si>
    <t>Student_738</t>
  </si>
  <si>
    <t>Student_739</t>
  </si>
  <si>
    <t>Student_740</t>
  </si>
  <si>
    <t>Student_741</t>
  </si>
  <si>
    <t>Student_742</t>
  </si>
  <si>
    <t>Student_743</t>
  </si>
  <si>
    <t>Student_744</t>
  </si>
  <si>
    <t>Student_745</t>
  </si>
  <si>
    <t>Student_746</t>
  </si>
  <si>
    <t>Student_747</t>
  </si>
  <si>
    <t>Student_748</t>
  </si>
  <si>
    <t>Student_749</t>
  </si>
  <si>
    <t>Student_750</t>
  </si>
  <si>
    <t>Student_751</t>
  </si>
  <si>
    <t>Student_752</t>
  </si>
  <si>
    <t>Student_753</t>
  </si>
  <si>
    <t>Student_754</t>
  </si>
  <si>
    <t>Student_755</t>
  </si>
  <si>
    <t>Student_756</t>
  </si>
  <si>
    <t>Student_757</t>
  </si>
  <si>
    <t>Student_758</t>
  </si>
  <si>
    <t>Student_759</t>
  </si>
  <si>
    <t>Student_760</t>
  </si>
  <si>
    <t>Student_761</t>
  </si>
  <si>
    <t>Student_762</t>
  </si>
  <si>
    <t>Student_763</t>
  </si>
  <si>
    <t>Student_764</t>
  </si>
  <si>
    <t>Student_765</t>
  </si>
  <si>
    <t>Student_766</t>
  </si>
  <si>
    <t>Student_767</t>
  </si>
  <si>
    <t>Student_768</t>
  </si>
  <si>
    <t>Student_769</t>
  </si>
  <si>
    <t>Student_770</t>
  </si>
  <si>
    <t>Student_771</t>
  </si>
  <si>
    <t>Student_772</t>
  </si>
  <si>
    <t>Student_773</t>
  </si>
  <si>
    <t>Student_774</t>
  </si>
  <si>
    <t>Student_775</t>
  </si>
  <si>
    <t>Student_776</t>
  </si>
  <si>
    <t>Student_777</t>
  </si>
  <si>
    <t>Student_778</t>
  </si>
  <si>
    <t>Student_779</t>
  </si>
  <si>
    <t>Student_780</t>
  </si>
  <si>
    <t>Student_781</t>
  </si>
  <si>
    <t>Student_782</t>
  </si>
  <si>
    <t>Student_783</t>
  </si>
  <si>
    <t>Student_784</t>
  </si>
  <si>
    <t>Student_785</t>
  </si>
  <si>
    <t>Student_786</t>
  </si>
  <si>
    <t>Student_787</t>
  </si>
  <si>
    <t>Student_788</t>
  </si>
  <si>
    <t>Student_789</t>
  </si>
  <si>
    <t>Student_790</t>
  </si>
  <si>
    <t>Student_791</t>
  </si>
  <si>
    <t>Student_792</t>
  </si>
  <si>
    <t>Student_793</t>
  </si>
  <si>
    <t>Student_794</t>
  </si>
  <si>
    <t>Student_795</t>
  </si>
  <si>
    <t>Student_796</t>
  </si>
  <si>
    <t>Student_797</t>
  </si>
  <si>
    <t>Student_798</t>
  </si>
  <si>
    <t>Student_799</t>
  </si>
  <si>
    <t>Student_800</t>
  </si>
  <si>
    <t>Student_801</t>
  </si>
  <si>
    <t>Student_802</t>
  </si>
  <si>
    <t>Student_803</t>
  </si>
  <si>
    <t>Student_804</t>
  </si>
  <si>
    <t>Student_805</t>
  </si>
  <si>
    <t>Student_806</t>
  </si>
  <si>
    <t>Student_807</t>
  </si>
  <si>
    <t>Student_808</t>
  </si>
  <si>
    <t>Student_809</t>
  </si>
  <si>
    <t>Student_810</t>
  </si>
  <si>
    <t>Student_811</t>
  </si>
  <si>
    <t>Student_812</t>
  </si>
  <si>
    <t>Student_813</t>
  </si>
  <si>
    <t>Student_814</t>
  </si>
  <si>
    <t>Student_815</t>
  </si>
  <si>
    <t>Student_816</t>
  </si>
  <si>
    <t>Student_817</t>
  </si>
  <si>
    <t>Student_818</t>
  </si>
  <si>
    <t>Student_819</t>
  </si>
  <si>
    <t>Student_820</t>
  </si>
  <si>
    <t>Student_821</t>
  </si>
  <si>
    <t>Student_822</t>
  </si>
  <si>
    <t>Student_823</t>
  </si>
  <si>
    <t>Student_824</t>
  </si>
  <si>
    <t>Student_825</t>
  </si>
  <si>
    <t>Student_826</t>
  </si>
  <si>
    <t>Student_827</t>
  </si>
  <si>
    <t>Student_828</t>
  </si>
  <si>
    <t>Student_829</t>
  </si>
  <si>
    <t>Student_830</t>
  </si>
  <si>
    <t>Student_831</t>
  </si>
  <si>
    <t>Student_832</t>
  </si>
  <si>
    <t>Student_833</t>
  </si>
  <si>
    <t>Student_834</t>
  </si>
  <si>
    <t>Student_835</t>
  </si>
  <si>
    <t>Student_836</t>
  </si>
  <si>
    <t>Student_837</t>
  </si>
  <si>
    <t>Student_838</t>
  </si>
  <si>
    <t>Student_839</t>
  </si>
  <si>
    <t>Student_840</t>
  </si>
  <si>
    <t>Student_841</t>
  </si>
  <si>
    <t>Student_842</t>
  </si>
  <si>
    <t>Student_843</t>
  </si>
  <si>
    <t>Student_844</t>
  </si>
  <si>
    <t>Student_845</t>
  </si>
  <si>
    <t>Student_846</t>
  </si>
  <si>
    <t>Student_847</t>
  </si>
  <si>
    <t>Student_848</t>
  </si>
  <si>
    <t>Student_849</t>
  </si>
  <si>
    <t>Student_850</t>
  </si>
  <si>
    <t>Student_851</t>
  </si>
  <si>
    <t>Student_852</t>
  </si>
  <si>
    <t>Student_853</t>
  </si>
  <si>
    <t>Student_854</t>
  </si>
  <si>
    <t>Student_855</t>
  </si>
  <si>
    <t>Student_856</t>
  </si>
  <si>
    <t>Student_857</t>
  </si>
  <si>
    <t>Student_858</t>
  </si>
  <si>
    <t>Student_859</t>
  </si>
  <si>
    <t>Student_860</t>
  </si>
  <si>
    <t>Student_861</t>
  </si>
  <si>
    <t>Student_862</t>
  </si>
  <si>
    <t>Student_863</t>
  </si>
  <si>
    <t>Student_864</t>
  </si>
  <si>
    <t>Student_865</t>
  </si>
  <si>
    <t>Student_866</t>
  </si>
  <si>
    <t>Student_867</t>
  </si>
  <si>
    <t>Student_868</t>
  </si>
  <si>
    <t>Student_869</t>
  </si>
  <si>
    <t>Student_870</t>
  </si>
  <si>
    <t>Student_871</t>
  </si>
  <si>
    <t>Student_872</t>
  </si>
  <si>
    <t>Student_873</t>
  </si>
  <si>
    <t>Student_874</t>
  </si>
  <si>
    <t>Student_875</t>
  </si>
  <si>
    <t>Student_876</t>
  </si>
  <si>
    <t>Student_877</t>
  </si>
  <si>
    <t>Student_878</t>
  </si>
  <si>
    <t>Student_879</t>
  </si>
  <si>
    <t>Student_880</t>
  </si>
  <si>
    <t>Student_881</t>
  </si>
  <si>
    <t>Student_882</t>
  </si>
  <si>
    <t>Student_883</t>
  </si>
  <si>
    <t>Student_884</t>
  </si>
  <si>
    <t>Student_885</t>
  </si>
  <si>
    <t>Student_886</t>
  </si>
  <si>
    <t>Student_887</t>
  </si>
  <si>
    <t>Student_888</t>
  </si>
  <si>
    <t>Student_889</t>
  </si>
  <si>
    <t>Student_890</t>
  </si>
  <si>
    <t>Student_891</t>
  </si>
  <si>
    <t>Student_892</t>
  </si>
  <si>
    <t>Student_893</t>
  </si>
  <si>
    <t>Student_894</t>
  </si>
  <si>
    <t>Student_895</t>
  </si>
  <si>
    <t>Student_896</t>
  </si>
  <si>
    <t>Student_897</t>
  </si>
  <si>
    <t>Student_898</t>
  </si>
  <si>
    <t>Student_899</t>
  </si>
  <si>
    <t>Student_900</t>
  </si>
  <si>
    <t>Student_901</t>
  </si>
  <si>
    <t>Student_902</t>
  </si>
  <si>
    <t>Student_903</t>
  </si>
  <si>
    <t>Student_904</t>
  </si>
  <si>
    <t>Student_905</t>
  </si>
  <si>
    <t>Student_906</t>
  </si>
  <si>
    <t>Student_907</t>
  </si>
  <si>
    <t>Student_908</t>
  </si>
  <si>
    <t>Student_909</t>
  </si>
  <si>
    <t>Student_910</t>
  </si>
  <si>
    <t>Student_911</t>
  </si>
  <si>
    <t>Student_912</t>
  </si>
  <si>
    <t>Student_913</t>
  </si>
  <si>
    <t>Student_914</t>
  </si>
  <si>
    <t>Student_915</t>
  </si>
  <si>
    <t>Student_916</t>
  </si>
  <si>
    <t>Student_917</t>
  </si>
  <si>
    <t>Student_918</t>
  </si>
  <si>
    <t>Student_919</t>
  </si>
  <si>
    <t>Student_920</t>
  </si>
  <si>
    <t>Student_921</t>
  </si>
  <si>
    <t>Student_922</t>
  </si>
  <si>
    <t>Student_923</t>
  </si>
  <si>
    <t>Student_924</t>
  </si>
  <si>
    <t>Student_925</t>
  </si>
  <si>
    <t>Student_926</t>
  </si>
  <si>
    <t>Student_927</t>
  </si>
  <si>
    <t>Student_928</t>
  </si>
  <si>
    <t>Student_929</t>
  </si>
  <si>
    <t>Student_930</t>
  </si>
  <si>
    <t>Student_931</t>
  </si>
  <si>
    <t>Student_932</t>
  </si>
  <si>
    <t>Student_933</t>
  </si>
  <si>
    <t>Student_934</t>
  </si>
  <si>
    <t>Student_935</t>
  </si>
  <si>
    <t>Student_936</t>
  </si>
  <si>
    <t>Student_937</t>
  </si>
  <si>
    <t>Student_938</t>
  </si>
  <si>
    <t>Student_939</t>
  </si>
  <si>
    <t>Student_940</t>
  </si>
  <si>
    <t>Student_941</t>
  </si>
  <si>
    <t>Student_942</t>
  </si>
  <si>
    <t>Student_943</t>
  </si>
  <si>
    <t>Student_944</t>
  </si>
  <si>
    <t>Student_945</t>
  </si>
  <si>
    <t>Student_946</t>
  </si>
  <si>
    <t>Student_947</t>
  </si>
  <si>
    <t>Student_948</t>
  </si>
  <si>
    <t>Student_949</t>
  </si>
  <si>
    <t>Student_950</t>
  </si>
  <si>
    <t>Student_951</t>
  </si>
  <si>
    <t>Student_952</t>
  </si>
  <si>
    <t>Student_953</t>
  </si>
  <si>
    <t>Student_954</t>
  </si>
  <si>
    <t>Student_955</t>
  </si>
  <si>
    <t>Student_956</t>
  </si>
  <si>
    <t>Student_957</t>
  </si>
  <si>
    <t>Student_958</t>
  </si>
  <si>
    <t>Student_959</t>
  </si>
  <si>
    <t>Student_960</t>
  </si>
  <si>
    <t>Student_961</t>
  </si>
  <si>
    <t>Student_962</t>
  </si>
  <si>
    <t>Student_963</t>
  </si>
  <si>
    <t>Student_964</t>
  </si>
  <si>
    <t>Student_965</t>
  </si>
  <si>
    <t>Student_966</t>
  </si>
  <si>
    <t>Student_967</t>
  </si>
  <si>
    <t>Student_968</t>
  </si>
  <si>
    <t>Student_969</t>
  </si>
  <si>
    <t>Student_970</t>
  </si>
  <si>
    <t>Student_971</t>
  </si>
  <si>
    <t>Student_972</t>
  </si>
  <si>
    <t>Student_973</t>
  </si>
  <si>
    <t>Student_974</t>
  </si>
  <si>
    <t>Student_975</t>
  </si>
  <si>
    <t>Student_976</t>
  </si>
  <si>
    <t>Student_977</t>
  </si>
  <si>
    <t>Student_978</t>
  </si>
  <si>
    <t>Student_979</t>
  </si>
  <si>
    <t>Student_980</t>
  </si>
  <si>
    <t>Student_981</t>
  </si>
  <si>
    <t>Student_982</t>
  </si>
  <si>
    <t>Student_983</t>
  </si>
  <si>
    <t>Student_984</t>
  </si>
  <si>
    <t>Student_985</t>
  </si>
  <si>
    <t>Student_986</t>
  </si>
  <si>
    <t>Student_987</t>
  </si>
  <si>
    <t>Student_988</t>
  </si>
  <si>
    <t>Student_989</t>
  </si>
  <si>
    <t>Student_990</t>
  </si>
  <si>
    <t>Student_991</t>
  </si>
  <si>
    <t>Student_992</t>
  </si>
  <si>
    <t>Student_993</t>
  </si>
  <si>
    <t>Student_994</t>
  </si>
  <si>
    <t>Student_995</t>
  </si>
  <si>
    <t>Student_996</t>
  </si>
  <si>
    <t>Student_997</t>
  </si>
  <si>
    <t>Student_998</t>
  </si>
  <si>
    <t>Student_999</t>
  </si>
  <si>
    <t>Student_1000</t>
  </si>
  <si>
    <t>Student_1001</t>
  </si>
  <si>
    <t>Student_1002</t>
  </si>
  <si>
    <t>Student_1003</t>
  </si>
  <si>
    <t>Student_1004</t>
  </si>
  <si>
    <t>Student_1005</t>
  </si>
  <si>
    <t>Student_1006</t>
  </si>
  <si>
    <t>Student_1007</t>
  </si>
  <si>
    <t>Student_1008</t>
  </si>
  <si>
    <t>Student_1009</t>
  </si>
  <si>
    <t>Student_1010</t>
  </si>
  <si>
    <t>Student_1011</t>
  </si>
  <si>
    <t>Student_1012</t>
  </si>
  <si>
    <t>Student_1013</t>
  </si>
  <si>
    <t>Student_1014</t>
  </si>
  <si>
    <t>Student_1015</t>
  </si>
  <si>
    <t>Student_1016</t>
  </si>
  <si>
    <t>Student_1017</t>
  </si>
  <si>
    <t>Student_1018</t>
  </si>
  <si>
    <t>Student_1019</t>
  </si>
  <si>
    <t>Student_1020</t>
  </si>
  <si>
    <t>Student_1021</t>
  </si>
  <si>
    <t>Student_1022</t>
  </si>
  <si>
    <t>Student_1023</t>
  </si>
  <si>
    <t>Student_1024</t>
  </si>
  <si>
    <t>Student_1025</t>
  </si>
  <si>
    <t>Student_1026</t>
  </si>
  <si>
    <t>Student_1027</t>
  </si>
  <si>
    <t>Student_1028</t>
  </si>
  <si>
    <t>Student_1029</t>
  </si>
  <si>
    <t>Student_1030</t>
  </si>
  <si>
    <t>Student_1031</t>
  </si>
  <si>
    <t>Student_1032</t>
  </si>
  <si>
    <t>Student_1033</t>
  </si>
  <si>
    <t>Student_1034</t>
  </si>
  <si>
    <t>Student_1035</t>
  </si>
  <si>
    <t>Student_1036</t>
  </si>
  <si>
    <t>Student_1037</t>
  </si>
  <si>
    <t>Student_1038</t>
  </si>
  <si>
    <t>Student_1039</t>
  </si>
  <si>
    <t>Student_1040</t>
  </si>
  <si>
    <t>Student_1041</t>
  </si>
  <si>
    <t>Student_1042</t>
  </si>
  <si>
    <t>Student_1043</t>
  </si>
  <si>
    <t>Student_1044</t>
  </si>
  <si>
    <t>Student_1045</t>
  </si>
  <si>
    <t>Student_1046</t>
  </si>
  <si>
    <t>Student_1047</t>
  </si>
  <si>
    <t>Student_1048</t>
  </si>
  <si>
    <t>Student_1049</t>
  </si>
  <si>
    <t>Student_1050</t>
  </si>
  <si>
    <t>Student_1051</t>
  </si>
  <si>
    <t>Student_1052</t>
  </si>
  <si>
    <t>Student_1053</t>
  </si>
  <si>
    <t>Student_1054</t>
  </si>
  <si>
    <t>Student_1055</t>
  </si>
  <si>
    <t>Student_1056</t>
  </si>
  <si>
    <t>Student_1057</t>
  </si>
  <si>
    <t>Student_1058</t>
  </si>
  <si>
    <t>Student_1059</t>
  </si>
  <si>
    <t>Student_1060</t>
  </si>
  <si>
    <t>Student_1061</t>
  </si>
  <si>
    <t>Student_1062</t>
  </si>
  <si>
    <t>Student_1063</t>
  </si>
  <si>
    <t>Student_1064</t>
  </si>
  <si>
    <t>Student_1065</t>
  </si>
  <si>
    <t>Student_1066</t>
  </si>
  <si>
    <t>Student_1067</t>
  </si>
  <si>
    <t>Student_1068</t>
  </si>
  <si>
    <t>Student_1069</t>
  </si>
  <si>
    <t>Student_1070</t>
  </si>
  <si>
    <t>Student_1071</t>
  </si>
  <si>
    <t>Student_1072</t>
  </si>
  <si>
    <t>Student_1073</t>
  </si>
  <si>
    <t>Student_1074</t>
  </si>
  <si>
    <t>Student_1075</t>
  </si>
  <si>
    <t>Student_1076</t>
  </si>
  <si>
    <t>Student_1077</t>
  </si>
  <si>
    <t>Student_1078</t>
  </si>
  <si>
    <t>Student_1079</t>
  </si>
  <si>
    <t>Student_1080</t>
  </si>
  <si>
    <t>Student_1081</t>
  </si>
  <si>
    <t>Student_1082</t>
  </si>
  <si>
    <t>Student_1083</t>
  </si>
  <si>
    <t>Student_1084</t>
  </si>
  <si>
    <t>Student_1085</t>
  </si>
  <si>
    <t>Student_1086</t>
  </si>
  <si>
    <t>Student_1087</t>
  </si>
  <si>
    <t>Student_1088</t>
  </si>
  <si>
    <t>Student_1089</t>
  </si>
  <si>
    <t>Student_1090</t>
  </si>
  <si>
    <t>Student_1091</t>
  </si>
  <si>
    <t>Student_1092</t>
  </si>
  <si>
    <t>Student_1093</t>
  </si>
  <si>
    <t>Student_1094</t>
  </si>
  <si>
    <t>Student_1095</t>
  </si>
  <si>
    <t>Student_1096</t>
  </si>
  <si>
    <t>Student_1097</t>
  </si>
  <si>
    <t>Student_1098</t>
  </si>
  <si>
    <t>Student_1099</t>
  </si>
  <si>
    <t>Student_1100</t>
  </si>
  <si>
    <t>Student_1101</t>
  </si>
  <si>
    <t>Student_1102</t>
  </si>
  <si>
    <t>Student_1103</t>
  </si>
  <si>
    <t>Student_1104</t>
  </si>
  <si>
    <t>Student_1105</t>
  </si>
  <si>
    <t>Student_1106</t>
  </si>
  <si>
    <t>Student_1107</t>
  </si>
  <si>
    <t>Student_1108</t>
  </si>
  <si>
    <t>Student_1109</t>
  </si>
  <si>
    <t>Student_1110</t>
  </si>
  <si>
    <t>Student_1111</t>
  </si>
  <si>
    <t>Student_1112</t>
  </si>
  <si>
    <t>Student_1113</t>
  </si>
  <si>
    <t>Student_1114</t>
  </si>
  <si>
    <t>Student_1115</t>
  </si>
  <si>
    <t>Student_1116</t>
  </si>
  <si>
    <t>Student_1117</t>
  </si>
  <si>
    <t>Student_1118</t>
  </si>
  <si>
    <t>Student_1119</t>
  </si>
  <si>
    <t>Student_1120</t>
  </si>
  <si>
    <t>Student_1121</t>
  </si>
  <si>
    <t>Student_1122</t>
  </si>
  <si>
    <t>Student_1123</t>
  </si>
  <si>
    <t>Student_1124</t>
  </si>
  <si>
    <t>Student_1125</t>
  </si>
  <si>
    <t>Student_1126</t>
  </si>
  <si>
    <t>Student_1127</t>
  </si>
  <si>
    <t>Student_1128</t>
  </si>
  <si>
    <t>Student_1129</t>
  </si>
  <si>
    <t>Student_1130</t>
  </si>
  <si>
    <t>Student_1131</t>
  </si>
  <si>
    <t>Student_1132</t>
  </si>
  <si>
    <t>Student_1133</t>
  </si>
  <si>
    <t>Student_1134</t>
  </si>
  <si>
    <t>Student_1135</t>
  </si>
  <si>
    <t>Student_1136</t>
  </si>
  <si>
    <t>Student_1137</t>
  </si>
  <si>
    <t>Student_1138</t>
  </si>
  <si>
    <t>Student_1139</t>
  </si>
  <si>
    <t>Student_1140</t>
  </si>
  <si>
    <t>Student_1141</t>
  </si>
  <si>
    <t>Student_1142</t>
  </si>
  <si>
    <t>Student_1143</t>
  </si>
  <si>
    <t>Student_1144</t>
  </si>
  <si>
    <t>Student_1145</t>
  </si>
  <si>
    <t>Student_1146</t>
  </si>
  <si>
    <t>Student_1147</t>
  </si>
  <si>
    <t>Student_1148</t>
  </si>
  <si>
    <t>Student_1149</t>
  </si>
  <si>
    <t>Student_1150</t>
  </si>
  <si>
    <t>Student_1151</t>
  </si>
  <si>
    <t>Student_1152</t>
  </si>
  <si>
    <t>Student_1153</t>
  </si>
  <si>
    <t>Student_1154</t>
  </si>
  <si>
    <t>Student_1155</t>
  </si>
  <si>
    <t>Student_1156</t>
  </si>
  <si>
    <t>Student_1157</t>
  </si>
  <si>
    <t>Student_1158</t>
  </si>
  <si>
    <t>Student_1159</t>
  </si>
  <si>
    <t>Student_1160</t>
  </si>
  <si>
    <t>Student_1161</t>
  </si>
  <si>
    <t>Student_1162</t>
  </si>
  <si>
    <t>Student_1163</t>
  </si>
  <si>
    <t>Student_1164</t>
  </si>
  <si>
    <t>Student_1165</t>
  </si>
  <si>
    <t>Student_1166</t>
  </si>
  <si>
    <t>Student_1167</t>
  </si>
  <si>
    <t>Student_1168</t>
  </si>
  <si>
    <t>Student_1169</t>
  </si>
  <si>
    <t>Student_1170</t>
  </si>
  <si>
    <t>Student_1171</t>
  </si>
  <si>
    <t>Student_1172</t>
  </si>
  <si>
    <t>Student_1173</t>
  </si>
  <si>
    <t>Student_1174</t>
  </si>
  <si>
    <t>Student_1175</t>
  </si>
  <si>
    <t>Student_1176</t>
  </si>
  <si>
    <t>Student_1177</t>
  </si>
  <si>
    <t>Student_1178</t>
  </si>
  <si>
    <t>Student_1179</t>
  </si>
  <si>
    <t>Student_1180</t>
  </si>
  <si>
    <t>Student_1181</t>
  </si>
  <si>
    <t>Student_1182</t>
  </si>
  <si>
    <t>Student_1183</t>
  </si>
  <si>
    <t>Student_1184</t>
  </si>
  <si>
    <t>Student_1185</t>
  </si>
  <si>
    <t>Student_1186</t>
  </si>
  <si>
    <t>Student_1187</t>
  </si>
  <si>
    <t>Student_1188</t>
  </si>
  <si>
    <t>Student_1189</t>
  </si>
  <si>
    <t>Student_1190</t>
  </si>
  <si>
    <t>Student_1191</t>
  </si>
  <si>
    <t>Student_1192</t>
  </si>
  <si>
    <t>Student_1193</t>
  </si>
  <si>
    <t>Student_1194</t>
  </si>
  <si>
    <t>Student_1195</t>
  </si>
  <si>
    <t>Student_1196</t>
  </si>
  <si>
    <t>Student_1197</t>
  </si>
  <si>
    <t>Student_1198</t>
  </si>
  <si>
    <t>Student_1199</t>
  </si>
  <si>
    <t>Total_Enrollments</t>
  </si>
  <si>
    <t>Total_Revenue</t>
  </si>
  <si>
    <t>Sneha</t>
  </si>
  <si>
    <t>Vishal</t>
  </si>
  <si>
    <t>Sana</t>
  </si>
  <si>
    <t>Rohan</t>
  </si>
  <si>
    <t>Kavya</t>
  </si>
  <si>
    <t>Joseph</t>
  </si>
  <si>
    <t>Meera</t>
  </si>
  <si>
    <t>Arun</t>
  </si>
  <si>
    <t>Satisfaction_Score</t>
  </si>
  <si>
    <t>Students_Assigned</t>
  </si>
  <si>
    <t>Course_Assigned</t>
  </si>
  <si>
    <t>Trainer_Name</t>
  </si>
  <si>
    <t>Trainer_ID</t>
  </si>
  <si>
    <t>Affiliates</t>
  </si>
  <si>
    <t>Email</t>
  </si>
  <si>
    <t>YouTube</t>
  </si>
  <si>
    <t>Instagram</t>
  </si>
  <si>
    <t>LinkedIn</t>
  </si>
  <si>
    <t>Google Ads</t>
  </si>
  <si>
    <t>Leads_Generated</t>
  </si>
  <si>
    <t>Spend</t>
  </si>
  <si>
    <t>Channel</t>
  </si>
  <si>
    <t>Payment Status</t>
  </si>
  <si>
    <t>High val Student Flag</t>
  </si>
  <si>
    <t>Total Enrollments</t>
  </si>
  <si>
    <t>Total Revenue</t>
  </si>
  <si>
    <t>Total Leads</t>
  </si>
  <si>
    <t>Marketing Spend</t>
  </si>
  <si>
    <t>CAC</t>
  </si>
  <si>
    <t xml:space="preserve">Trainer </t>
  </si>
  <si>
    <t>Satisfaction Score</t>
  </si>
  <si>
    <t>Student</t>
  </si>
  <si>
    <t>Row Labels</t>
  </si>
  <si>
    <t>Grand Total</t>
  </si>
  <si>
    <t>Count of Enrollment_ID</t>
  </si>
  <si>
    <t>Sum of Total_Revenue</t>
  </si>
  <si>
    <t>Sum of Spend</t>
  </si>
  <si>
    <t>Sum of Leads_Generated</t>
  </si>
  <si>
    <t>Course Enrollments</t>
  </si>
  <si>
    <t xml:space="preserve"> Enrollments by City and Course </t>
  </si>
  <si>
    <t>Revenue Trend by Month</t>
  </si>
  <si>
    <t xml:space="preserve">Marketing Spend &amp; Leads by Channel </t>
  </si>
  <si>
    <t>Count of Student_Name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</si>
</sst>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quot;₹&quot;\ * #,##0_ ;_ &quot;₹&quot;\ * \-#,##0_ ;_ &quot;₹&quot;\ * &quot;-&quot;_ ;_ @_ "/>
    <numFmt numFmtId="44" formatCode="_ &quot;₹&quot;\ * #,##0.00_ ;_ &quot;₹&quot;\ * \-#,##0.00_ ;_ &quot;₹&quot;\ * &quot;-&quot;??_ ;_ @_ "/>
    <numFmt numFmtId="164" formatCode="_ [$₹-4009]\ * #,##0.00_ ;_ [$₹-4009]\ * \-#,##0.00_ ;_ [$₹-4009]\ * &quot;-&quot;??_ ;_ @_ "/>
    <numFmt numFmtId="167" formatCode="_ &quot;₹&quot;\ * #,##0.0_ ;_ &quot;₹&quot;\ * \-#,##0.0_ ;_ &quot;₹&quot;\ * &quot;-&quot;?_ ;_ @_ "/>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theme="8" tint="-0.499984740745262"/>
      <name val="Calibri"/>
      <family val="2"/>
      <scheme val="minor"/>
    </font>
    <font>
      <b/>
      <sz val="48"/>
      <color theme="8" tint="-0.499984740745262"/>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499984740745262"/>
        <bgColor indexed="64"/>
      </patternFill>
    </fill>
    <fill>
      <patternFill patternType="solid">
        <fgColor theme="4"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14" fontId="0" fillId="0" borderId="0" xfId="0" applyNumberFormat="1"/>
    <xf numFmtId="0" fontId="0" fillId="33" borderId="0" xfId="0" applyFill="1"/>
    <xf numFmtId="44" fontId="0" fillId="33" borderId="0" xfId="1" applyFont="1" applyFill="1"/>
    <xf numFmtId="164" fontId="0" fillId="33" borderId="0" xfId="1" applyNumberFormat="1" applyFont="1" applyFill="1"/>
    <xf numFmtId="44" fontId="0" fillId="0" borderId="0" xfId="1" applyFont="1"/>
    <xf numFmtId="2" fontId="0" fillId="0" borderId="0" xfId="0" applyNumberFormat="1"/>
    <xf numFmtId="2" fontId="0" fillId="33" borderId="0" xfId="0" applyNumberFormat="1" applyFill="1"/>
    <xf numFmtId="44" fontId="0" fillId="0" borderId="0" xfId="1" applyNumberFormat="1" applyFont="1"/>
    <xf numFmtId="44" fontId="0" fillId="0" borderId="0" xfId="0" applyNumberFormat="1"/>
    <xf numFmtId="44" fontId="0" fillId="33" borderId="0" xfId="1" applyNumberFormat="1" applyFont="1" applyFill="1"/>
    <xf numFmtId="0" fontId="0" fillId="0" borderId="0" xfId="0" applyNumberFormat="1"/>
    <xf numFmtId="0" fontId="0" fillId="0" borderId="0" xfId="0" pivotButton="1"/>
    <xf numFmtId="0" fontId="0" fillId="0" borderId="0" xfId="0" applyAlignment="1">
      <alignment horizontal="left"/>
    </xf>
    <xf numFmtId="167" fontId="0" fillId="0" borderId="0" xfId="0" applyNumberFormat="1"/>
    <xf numFmtId="0" fontId="0" fillId="0" borderId="0" xfId="0" applyAlignment="1">
      <alignment horizontal="center"/>
    </xf>
    <xf numFmtId="0" fontId="16" fillId="0" borderId="0" xfId="0" applyFont="1" applyAlignment="1">
      <alignment horizontal="center"/>
    </xf>
    <xf numFmtId="0" fontId="16" fillId="0" borderId="0" xfId="0" applyFont="1" applyAlignment="1"/>
    <xf numFmtId="0" fontId="0" fillId="0" borderId="0" xfId="0" applyAlignment="1"/>
    <xf numFmtId="42" fontId="0" fillId="0" borderId="0" xfId="0" applyNumberFormat="1"/>
    <xf numFmtId="0" fontId="19" fillId="34" borderId="0" xfId="0" applyFont="1" applyFill="1"/>
    <xf numFmtId="0" fontId="20" fillId="34" borderId="0" xfId="0" applyFont="1" applyFill="1"/>
    <xf numFmtId="0" fontId="0" fillId="35" borderId="0" xfId="0"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
    <dxf>
      <numFmt numFmtId="167" formatCode="_ &quot;₹&quot;\ * #,##0.0_ ;_ &quot;₹&quot;\ * \-#,##0.0_ ;_ &quot;₹&quot;\ * &quot;-&quot;?_ ;_ @_ "/>
    </dxf>
    <dxf>
      <numFmt numFmtId="167" formatCode="_ &quot;₹&quot;\ * #,##0.0_ ;_ &quot;₹&quot;\ * \-#,##0.0_ ;_ &quot;₹&quot;\ * &quot;-&quot;?_ ;_ @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sheetMetadata" Target="metadata.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[Excel_Assignment1.xlsm]Pivot_Tables!PivotTable1</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Course Enrollments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Pivot_Tables!$C$4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Pivot_Tables!$B$5:$B$11</c:f>
              <c:strCache>
                <c:ptCount val="6"/>
                <c:pt idx="0">
                  <c:v>AI &amp; ML</c:v>
                </c:pt>
                <c:pt idx="1">
                  <c:v>Business Analytics</c:v>
                </c:pt>
                <c:pt idx="2">
                  <c:v>Data Analytics</c:v>
                </c:pt>
                <c:pt idx="3">
                  <c:v>Data Science</c:v>
                </c:pt>
                <c:pt idx="4">
                  <c:v>Power BI</c:v>
                </c:pt>
                <c:pt idx="5">
                  <c:v>Python Full Stack</c:v>
                </c:pt>
              </c:strCache>
            </c:strRef>
          </c:cat>
          <c:val>
            <c:numRef>
              <c:f>Pivot_Tables!$C$5:$C$11</c:f>
              <c:numCache>
                <c:formatCode>General</c:formatCode>
                <c:ptCount val="6"/>
                <c:pt idx="0">
                  <c:v>190</c:v>
                </c:pt>
                <c:pt idx="1">
                  <c:v>204</c:v>
                </c:pt>
                <c:pt idx="2">
                  <c:v>207</c:v>
                </c:pt>
                <c:pt idx="3">
                  <c:v>195</c:v>
                </c:pt>
                <c:pt idx="4">
                  <c:v>206</c:v>
                </c:pt>
                <c:pt idx="5">
                  <c:v>198</c:v>
                </c:pt>
              </c:numCache>
            </c:numRef>
          </c:val>
          <c:extLst>
            <c:ext xmlns:c16="http://schemas.microsoft.com/office/drawing/2014/chart" uri="{C3380CC4-5D6E-409C-BE32-E72D297353CC}">
              <c16:uniqueId val="{00000000-99D5-4A98-A8AD-28797FB62146}"/>
            </c:ext>
          </c:extLst>
        </c:ser>
        <c:dLbls>
          <c:showLegendKey val="0"/>
          <c:showVal val="0"/>
          <c:showCatName val="0"/>
          <c:showSerName val="0"/>
          <c:showPercent val="0"/>
          <c:showBubbleSize val="0"/>
        </c:dLbls>
        <c:gapWidth val="100"/>
        <c:overlap val="-24"/>
        <c:axId val="2122317872"/>
        <c:axId val="2122332016"/>
      </c:barChart>
      <c:catAx>
        <c:axId val="21223178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2332016"/>
        <c:crosses val="autoZero"/>
        <c:auto val="1"/>
        <c:lblAlgn val="ctr"/>
        <c:lblOffset val="100"/>
        <c:noMultiLvlLbl val="0"/>
      </c:catAx>
      <c:valAx>
        <c:axId val="2122332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2317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[Excel_Assignment1.xlsm]Pivot_Tables!PivotTable7</c:name>
    <c:fmtId val="5"/>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Monthly Revenue Trend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Pivot_Tables!$C$15</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Pivot_Tables!$B$16:$B$28</c:f>
              <c:strCache>
                <c:ptCount val="12"/>
                <c:pt idx="0">
                  <c:v>2025-01</c:v>
                </c:pt>
                <c:pt idx="1">
                  <c:v>2025-02</c:v>
                </c:pt>
                <c:pt idx="2">
                  <c:v>2025-03</c:v>
                </c:pt>
                <c:pt idx="3">
                  <c:v>2025-04</c:v>
                </c:pt>
                <c:pt idx="4">
                  <c:v>2025-05</c:v>
                </c:pt>
                <c:pt idx="5">
                  <c:v>2025-06</c:v>
                </c:pt>
                <c:pt idx="6">
                  <c:v>2025-07</c:v>
                </c:pt>
                <c:pt idx="7">
                  <c:v>2025-08</c:v>
                </c:pt>
                <c:pt idx="8">
                  <c:v>2025-09</c:v>
                </c:pt>
                <c:pt idx="9">
                  <c:v>2025-10</c:v>
                </c:pt>
                <c:pt idx="10">
                  <c:v>2025-11</c:v>
                </c:pt>
                <c:pt idx="11">
                  <c:v>2025-12</c:v>
                </c:pt>
              </c:strCache>
            </c:strRef>
          </c:cat>
          <c:val>
            <c:numRef>
              <c:f>Pivot_Tables!$C$16:$C$28</c:f>
              <c:numCache>
                <c:formatCode>_ "₹"\ * #,##0.0_ ;_ "₹"\ * \-#,##0.0_ ;_ "₹"\ * "-"?_ ;_ @_ </c:formatCode>
                <c:ptCount val="12"/>
                <c:pt idx="0">
                  <c:v>3313031</c:v>
                </c:pt>
                <c:pt idx="1">
                  <c:v>2837630</c:v>
                </c:pt>
                <c:pt idx="2">
                  <c:v>3545893</c:v>
                </c:pt>
                <c:pt idx="3">
                  <c:v>3399338</c:v>
                </c:pt>
                <c:pt idx="4">
                  <c:v>4034138</c:v>
                </c:pt>
                <c:pt idx="5">
                  <c:v>3231986</c:v>
                </c:pt>
                <c:pt idx="6">
                  <c:v>2480854</c:v>
                </c:pt>
                <c:pt idx="7">
                  <c:v>3393793</c:v>
                </c:pt>
                <c:pt idx="8">
                  <c:v>3448691</c:v>
                </c:pt>
                <c:pt idx="9">
                  <c:v>3366455</c:v>
                </c:pt>
                <c:pt idx="10">
                  <c:v>2876138</c:v>
                </c:pt>
                <c:pt idx="11">
                  <c:v>3194551</c:v>
                </c:pt>
              </c:numCache>
            </c:numRef>
          </c:val>
          <c:smooth val="0"/>
          <c:extLst>
            <c:ext xmlns:c16="http://schemas.microsoft.com/office/drawing/2014/chart" uri="{C3380CC4-5D6E-409C-BE32-E72D297353CC}">
              <c16:uniqueId val="{00000000-E404-4B80-97D5-9855F2D8DBB8}"/>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17512336"/>
        <c:axId val="2017510256"/>
      </c:lineChart>
      <c:catAx>
        <c:axId val="20175123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17510256"/>
        <c:crosses val="autoZero"/>
        <c:auto val="1"/>
        <c:lblAlgn val="ctr"/>
        <c:lblOffset val="100"/>
        <c:noMultiLvlLbl val="0"/>
      </c:catAx>
      <c:valAx>
        <c:axId val="2017510256"/>
        <c:scaling>
          <c:orientation val="minMax"/>
        </c:scaling>
        <c:delete val="0"/>
        <c:axPos val="l"/>
        <c:numFmt formatCode="_ &quot;₹&quot;\ * #,##0.0_ ;_ &quot;₹&quot;\ * \-#,##0.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1751233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Marketing</a:t>
            </a:r>
            <a:r>
              <a:rPr lang="en-US" baseline="0"/>
              <a:t> Spend Share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doughnutChart>
        <c:varyColors val="1"/>
        <c:ser>
          <c:idx val="0"/>
          <c:order val="0"/>
          <c:tx>
            <c:v>Total</c:v>
          </c:tx>
          <c:dPt>
            <c:idx val="0"/>
            <c:bubble3D val="0"/>
            <c:spPr>
              <a:solidFill>
                <a:schemeClr val="accent1"/>
              </a:solidFill>
              <a:ln>
                <a:noFill/>
              </a:ln>
              <a:effectLst/>
            </c:spPr>
            <c:extLst>
              <c:ext xmlns:c16="http://schemas.microsoft.com/office/drawing/2014/chart" uri="{C3380CC4-5D6E-409C-BE32-E72D297353CC}">
                <c16:uniqueId val="{00000001-CA97-4E82-81AF-92C7ED9346C0}"/>
              </c:ext>
            </c:extLst>
          </c:dPt>
          <c:dPt>
            <c:idx val="1"/>
            <c:bubble3D val="0"/>
            <c:spPr>
              <a:solidFill>
                <a:schemeClr val="accent2"/>
              </a:solidFill>
              <a:ln>
                <a:noFill/>
              </a:ln>
              <a:effectLst/>
            </c:spPr>
            <c:extLst>
              <c:ext xmlns:c16="http://schemas.microsoft.com/office/drawing/2014/chart" uri="{C3380CC4-5D6E-409C-BE32-E72D297353CC}">
                <c16:uniqueId val="{00000003-CA97-4E82-81AF-92C7ED9346C0}"/>
              </c:ext>
            </c:extLst>
          </c:dPt>
          <c:dPt>
            <c:idx val="2"/>
            <c:bubble3D val="0"/>
            <c:spPr>
              <a:solidFill>
                <a:schemeClr val="accent3"/>
              </a:solidFill>
              <a:ln>
                <a:noFill/>
              </a:ln>
              <a:effectLst/>
            </c:spPr>
            <c:extLst>
              <c:ext xmlns:c16="http://schemas.microsoft.com/office/drawing/2014/chart" uri="{C3380CC4-5D6E-409C-BE32-E72D297353CC}">
                <c16:uniqueId val="{00000005-CA97-4E82-81AF-92C7ED9346C0}"/>
              </c:ext>
            </c:extLst>
          </c:dPt>
          <c:dPt>
            <c:idx val="3"/>
            <c:bubble3D val="0"/>
            <c:spPr>
              <a:solidFill>
                <a:schemeClr val="accent4"/>
              </a:solidFill>
              <a:ln>
                <a:noFill/>
              </a:ln>
              <a:effectLst/>
            </c:spPr>
            <c:extLst>
              <c:ext xmlns:c16="http://schemas.microsoft.com/office/drawing/2014/chart" uri="{C3380CC4-5D6E-409C-BE32-E72D297353CC}">
                <c16:uniqueId val="{00000007-CA97-4E82-81AF-92C7ED9346C0}"/>
              </c:ext>
            </c:extLst>
          </c:dPt>
          <c:dPt>
            <c:idx val="4"/>
            <c:bubble3D val="0"/>
            <c:spPr>
              <a:solidFill>
                <a:schemeClr val="accent5"/>
              </a:solidFill>
              <a:ln>
                <a:noFill/>
              </a:ln>
              <a:effectLst/>
            </c:spPr>
            <c:extLst>
              <c:ext xmlns:c16="http://schemas.microsoft.com/office/drawing/2014/chart" uri="{C3380CC4-5D6E-409C-BE32-E72D297353CC}">
                <c16:uniqueId val="{00000009-CA97-4E82-81AF-92C7ED9346C0}"/>
              </c:ext>
            </c:extLst>
          </c:dPt>
          <c:dPt>
            <c:idx val="5"/>
            <c:bubble3D val="0"/>
            <c:spPr>
              <a:solidFill>
                <a:schemeClr val="accent6"/>
              </a:solidFill>
              <a:ln>
                <a:noFill/>
              </a:ln>
              <a:effectLst/>
            </c:spPr>
            <c:extLst>
              <c:ext xmlns:c16="http://schemas.microsoft.com/office/drawing/2014/chart" uri="{C3380CC4-5D6E-409C-BE32-E72D297353CC}">
                <c16:uniqueId val="{0000000B-CA97-4E82-81AF-92C7ED9346C0}"/>
              </c:ext>
            </c:extLst>
          </c:dPt>
          <c:cat>
            <c:strLit>
              <c:ptCount val="6"/>
              <c:pt idx="0">
                <c:v>Affiliates</c:v>
              </c:pt>
              <c:pt idx="1">
                <c:v>Email</c:v>
              </c:pt>
              <c:pt idx="2">
                <c:v>Google Ads</c:v>
              </c:pt>
              <c:pt idx="3">
                <c:v>Instagram</c:v>
              </c:pt>
              <c:pt idx="4">
                <c:v>LinkedIn</c:v>
              </c:pt>
              <c:pt idx="5">
                <c:v>YouTube</c:v>
              </c:pt>
            </c:strLit>
          </c:cat>
          <c:val>
            <c:numLit>
              <c:formatCode>General</c:formatCode>
              <c:ptCount val="6"/>
              <c:pt idx="0">
                <c:v>2120633</c:v>
              </c:pt>
              <c:pt idx="1">
                <c:v>2382119</c:v>
              </c:pt>
              <c:pt idx="2">
                <c:v>3144799</c:v>
              </c:pt>
              <c:pt idx="3">
                <c:v>2291822</c:v>
              </c:pt>
              <c:pt idx="4">
                <c:v>2405681</c:v>
              </c:pt>
              <c:pt idx="5">
                <c:v>2380070</c:v>
              </c:pt>
            </c:numLit>
          </c:val>
          <c:extLst>
            <c:ext xmlns:c16="http://schemas.microsoft.com/office/drawing/2014/chart" uri="{C3380CC4-5D6E-409C-BE32-E72D297353CC}">
              <c16:uniqueId val="{0000000C-CA97-4E82-81AF-92C7ED9346C0}"/>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Top 5 Cities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Lit>
              <c:ptCount val="5"/>
              <c:pt idx="0">
                <c:v>Bangalore</c:v>
              </c:pt>
              <c:pt idx="1">
                <c:v>Chennai</c:v>
              </c:pt>
              <c:pt idx="2">
                <c:v>Hyderabad</c:v>
              </c:pt>
              <c:pt idx="3">
                <c:v>Kolkata</c:v>
              </c:pt>
              <c:pt idx="4">
                <c:v>Pune</c:v>
              </c:pt>
            </c:strLit>
          </c:cat>
          <c:val>
            <c:numLit>
              <c:formatCode>General</c:formatCode>
              <c:ptCount val="5"/>
              <c:pt idx="0">
                <c:v>3198</c:v>
              </c:pt>
              <c:pt idx="1">
                <c:v>3200</c:v>
              </c:pt>
              <c:pt idx="2">
                <c:v>3197</c:v>
              </c:pt>
              <c:pt idx="3">
                <c:v>3199</c:v>
              </c:pt>
              <c:pt idx="4">
                <c:v>3196</c:v>
              </c:pt>
            </c:numLit>
          </c:val>
          <c:extLst>
            <c:ext xmlns:c16="http://schemas.microsoft.com/office/drawing/2014/chart" uri="{C3380CC4-5D6E-409C-BE32-E72D297353CC}">
              <c16:uniqueId val="{00000000-0B32-479D-A1C4-74DCBB9D14CC}"/>
            </c:ext>
          </c:extLst>
        </c:ser>
        <c:dLbls>
          <c:showLegendKey val="0"/>
          <c:showVal val="0"/>
          <c:showCatName val="0"/>
          <c:showSerName val="0"/>
          <c:showPercent val="0"/>
          <c:showBubbleSize val="0"/>
        </c:dLbls>
        <c:gapWidth val="100"/>
        <c:overlap val="-24"/>
        <c:axId val="2123072048"/>
        <c:axId val="2123074128"/>
      </c:barChart>
      <c:catAx>
        <c:axId val="21230720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3074128"/>
        <c:crosses val="autoZero"/>
        <c:auto val="1"/>
        <c:lblAlgn val="ctr"/>
        <c:lblOffset val="100"/>
        <c:noMultiLvlLbl val="0"/>
      </c:catAx>
      <c:valAx>
        <c:axId val="2123074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307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[Excel_Assignment1.xlsm]Pivot_Tables!PivotTable1</c:name>
    <c:fmtId val="12"/>
  </c:pivotSource>
  <c:chart>
    <c:title>
      <c:tx>
        <c:rich>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r>
              <a:rPr lang="en-IN" sz="1800"/>
              <a:t>Course Enrollments</a:t>
            </a:r>
          </a:p>
        </c:rich>
      </c:tx>
      <c:layout>
        <c:manualLayout>
          <c:xMode val="edge"/>
          <c:yMode val="edge"/>
          <c:x val="0.31676886938208804"/>
          <c:y val="4.7394834995424615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280560860022094E-2"/>
          <c:y val="0.15415590925522379"/>
          <c:w val="0.76439963721835225"/>
          <c:h val="0.71253855965746316"/>
        </c:manualLayout>
      </c:layout>
      <c:barChart>
        <c:barDir val="col"/>
        <c:grouping val="clustered"/>
        <c:varyColors val="0"/>
        <c:ser>
          <c:idx val="0"/>
          <c:order val="0"/>
          <c:tx>
            <c:strRef>
              <c:f>Pivot_Tables!$C$4</c:f>
              <c:strCache>
                <c:ptCount val="1"/>
                <c:pt idx="0">
                  <c:v>Total</c:v>
                </c:pt>
              </c:strCache>
            </c:strRef>
          </c:tx>
          <c:spPr>
            <a:solidFill>
              <a:schemeClr val="accent5">
                <a:lumMod val="50000"/>
              </a:schemeClr>
            </a:solidFill>
            <a:ln>
              <a:noFill/>
            </a:ln>
            <a:effectLst/>
          </c:spPr>
          <c:invertIfNegative val="0"/>
          <c:cat>
            <c:strRef>
              <c:f>Pivot_Tables!$B$5:$B$11</c:f>
              <c:strCache>
                <c:ptCount val="6"/>
                <c:pt idx="0">
                  <c:v>AI &amp; ML</c:v>
                </c:pt>
                <c:pt idx="1">
                  <c:v>Business Analytics</c:v>
                </c:pt>
                <c:pt idx="2">
                  <c:v>Data Analytics</c:v>
                </c:pt>
                <c:pt idx="3">
                  <c:v>Data Science</c:v>
                </c:pt>
                <c:pt idx="4">
                  <c:v>Power BI</c:v>
                </c:pt>
                <c:pt idx="5">
                  <c:v>Python Full Stack</c:v>
                </c:pt>
              </c:strCache>
            </c:strRef>
          </c:cat>
          <c:val>
            <c:numRef>
              <c:f>Pivot_Tables!$C$5:$C$11</c:f>
              <c:numCache>
                <c:formatCode>General</c:formatCode>
                <c:ptCount val="6"/>
                <c:pt idx="0">
                  <c:v>190</c:v>
                </c:pt>
                <c:pt idx="1">
                  <c:v>204</c:v>
                </c:pt>
                <c:pt idx="2">
                  <c:v>207</c:v>
                </c:pt>
                <c:pt idx="3">
                  <c:v>195</c:v>
                </c:pt>
                <c:pt idx="4">
                  <c:v>206</c:v>
                </c:pt>
                <c:pt idx="5">
                  <c:v>198</c:v>
                </c:pt>
              </c:numCache>
            </c:numRef>
          </c:val>
          <c:extLst>
            <c:ext xmlns:c16="http://schemas.microsoft.com/office/drawing/2014/chart" uri="{C3380CC4-5D6E-409C-BE32-E72D297353CC}">
              <c16:uniqueId val="{00000000-FBBD-42D7-9CDA-8CB074E10458}"/>
            </c:ext>
          </c:extLst>
        </c:ser>
        <c:dLbls>
          <c:showLegendKey val="0"/>
          <c:showVal val="0"/>
          <c:showCatName val="0"/>
          <c:showSerName val="0"/>
          <c:showPercent val="0"/>
          <c:showBubbleSize val="0"/>
        </c:dLbls>
        <c:gapWidth val="100"/>
        <c:overlap val="-24"/>
        <c:axId val="2122317872"/>
        <c:axId val="2122332016"/>
      </c:barChart>
      <c:catAx>
        <c:axId val="21223178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122332016"/>
        <c:crosses val="autoZero"/>
        <c:auto val="1"/>
        <c:lblAlgn val="ctr"/>
        <c:lblOffset val="100"/>
        <c:noMultiLvlLbl val="0"/>
      </c:catAx>
      <c:valAx>
        <c:axId val="2122332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122317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50000"/>
        </a:schemeClr>
      </a:solidFill>
      <a:round/>
    </a:ln>
    <a:effectLst/>
  </c:spPr>
  <c:txPr>
    <a:bodyPr/>
    <a:lstStyle/>
    <a:p>
      <a:pPr>
        <a:defRPr sz="10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[Excel_Assignment1.xlsm]Pivot_Tables!PivotTable7</c:name>
    <c:fmtId val="8"/>
  </c:pivotSource>
  <c:chart>
    <c:title>
      <c:tx>
        <c:rich>
          <a:bodyPr rot="0" spcFirstLastPara="1" vertOverflow="ellipsis" vert="horz" wrap="square" anchor="ctr" anchorCtr="1"/>
          <a:lstStyle/>
          <a:p>
            <a:pPr>
              <a:defRPr sz="1400" b="0" i="0" u="none" strike="noStrike" kern="1200" cap="none" spc="20" baseline="0">
                <a:solidFill>
                  <a:schemeClr val="tx2">
                    <a:lumMod val="50000"/>
                  </a:schemeClr>
                </a:solidFill>
                <a:latin typeface="+mn-lt"/>
                <a:ea typeface="+mn-ea"/>
                <a:cs typeface="+mn-cs"/>
              </a:defRPr>
            </a:pPr>
            <a:r>
              <a:rPr lang="en-US" sz="1600" b="1">
                <a:solidFill>
                  <a:schemeClr val="accent1">
                    <a:lumMod val="50000"/>
                  </a:schemeClr>
                </a:solidFill>
              </a:rPr>
              <a:t>Monthly Revenue Trend</a:t>
            </a:r>
          </a:p>
        </c:rich>
      </c:tx>
      <c:layout>
        <c:manualLayout>
          <c:xMode val="edge"/>
          <c:yMode val="edge"/>
          <c:x val="0.28931327491666931"/>
          <c:y val="3.720930232558139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5">
                <a:lumMod val="50000"/>
              </a:schemeClr>
            </a:solidFill>
            <a:round/>
          </a:ln>
          <a:effectLst>
            <a:outerShdw blurRad="50800" dist="50800" dir="5400000" algn="ctr" rotWithShape="0">
              <a:schemeClr val="accent1">
                <a:lumMod val="50000"/>
              </a:schemeClr>
            </a:outerShdw>
          </a:effectLst>
        </c:spPr>
        <c:marker>
          <c:symbol val="circle"/>
          <c:size val="4"/>
          <c:spPr>
            <a:solidFill>
              <a:schemeClr val="accent1"/>
            </a:solidFill>
            <a:ln w="9525" cap="flat" cmpd="sng" algn="ctr">
              <a:solidFill>
                <a:schemeClr val="accent1"/>
              </a:solidFill>
              <a:round/>
            </a:ln>
            <a:effectLst>
              <a:outerShdw blurRad="50800" dist="50800" dir="5400000" algn="ctr" rotWithShape="0">
                <a:schemeClr val="accent1">
                  <a:lumMod val="50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047275023265926"/>
          <c:y val="0.14802987087264921"/>
          <c:w val="0.6354965996559343"/>
          <c:h val="0.69326360301884093"/>
        </c:manualLayout>
      </c:layout>
      <c:lineChart>
        <c:grouping val="standard"/>
        <c:varyColors val="0"/>
        <c:ser>
          <c:idx val="0"/>
          <c:order val="0"/>
          <c:tx>
            <c:strRef>
              <c:f>Pivot_Tables!$C$15</c:f>
              <c:strCache>
                <c:ptCount val="1"/>
                <c:pt idx="0">
                  <c:v>Total</c:v>
                </c:pt>
              </c:strCache>
            </c:strRef>
          </c:tx>
          <c:spPr>
            <a:ln w="22225" cap="rnd" cmpd="sng" algn="ctr">
              <a:solidFill>
                <a:schemeClr val="accent5">
                  <a:lumMod val="50000"/>
                </a:schemeClr>
              </a:solidFill>
              <a:round/>
            </a:ln>
            <a:effectLst>
              <a:outerShdw blurRad="50800" dist="50800" dir="5400000" algn="ctr" rotWithShape="0">
                <a:schemeClr val="accent1">
                  <a:lumMod val="50000"/>
                </a:schemeClr>
              </a:outerShdw>
            </a:effectLst>
          </c:spPr>
          <c:marker>
            <c:symbol val="circle"/>
            <c:size val="4"/>
            <c:spPr>
              <a:solidFill>
                <a:schemeClr val="accent1"/>
              </a:solidFill>
              <a:ln w="9525" cap="flat" cmpd="sng" algn="ctr">
                <a:solidFill>
                  <a:schemeClr val="accent1"/>
                </a:solidFill>
                <a:round/>
              </a:ln>
              <a:effectLst>
                <a:outerShdw blurRad="50800" dist="50800" dir="5400000" algn="ctr" rotWithShape="0">
                  <a:schemeClr val="accent1">
                    <a:lumMod val="50000"/>
                  </a:schemeClr>
                </a:outerShdw>
              </a:effectLst>
            </c:spPr>
          </c:marker>
          <c:cat>
            <c:strRef>
              <c:f>Pivot_Tables!$B$16:$B$28</c:f>
              <c:strCache>
                <c:ptCount val="12"/>
                <c:pt idx="0">
                  <c:v>2025-01</c:v>
                </c:pt>
                <c:pt idx="1">
                  <c:v>2025-02</c:v>
                </c:pt>
                <c:pt idx="2">
                  <c:v>2025-03</c:v>
                </c:pt>
                <c:pt idx="3">
                  <c:v>2025-04</c:v>
                </c:pt>
                <c:pt idx="4">
                  <c:v>2025-05</c:v>
                </c:pt>
                <c:pt idx="5">
                  <c:v>2025-06</c:v>
                </c:pt>
                <c:pt idx="6">
                  <c:v>2025-07</c:v>
                </c:pt>
                <c:pt idx="7">
                  <c:v>2025-08</c:v>
                </c:pt>
                <c:pt idx="8">
                  <c:v>2025-09</c:v>
                </c:pt>
                <c:pt idx="9">
                  <c:v>2025-10</c:v>
                </c:pt>
                <c:pt idx="10">
                  <c:v>2025-11</c:v>
                </c:pt>
                <c:pt idx="11">
                  <c:v>2025-12</c:v>
                </c:pt>
              </c:strCache>
            </c:strRef>
          </c:cat>
          <c:val>
            <c:numRef>
              <c:f>Pivot_Tables!$C$16:$C$28</c:f>
              <c:numCache>
                <c:formatCode>_ "₹"\ * #,##0.0_ ;_ "₹"\ * \-#,##0.0_ ;_ "₹"\ * "-"?_ ;_ @_ </c:formatCode>
                <c:ptCount val="12"/>
                <c:pt idx="0">
                  <c:v>3313031</c:v>
                </c:pt>
                <c:pt idx="1">
                  <c:v>2837630</c:v>
                </c:pt>
                <c:pt idx="2">
                  <c:v>3545893</c:v>
                </c:pt>
                <c:pt idx="3">
                  <c:v>3399338</c:v>
                </c:pt>
                <c:pt idx="4">
                  <c:v>4034138</c:v>
                </c:pt>
                <c:pt idx="5">
                  <c:v>3231986</c:v>
                </c:pt>
                <c:pt idx="6">
                  <c:v>2480854</c:v>
                </c:pt>
                <c:pt idx="7">
                  <c:v>3393793</c:v>
                </c:pt>
                <c:pt idx="8">
                  <c:v>3448691</c:v>
                </c:pt>
                <c:pt idx="9">
                  <c:v>3366455</c:v>
                </c:pt>
                <c:pt idx="10">
                  <c:v>2876138</c:v>
                </c:pt>
                <c:pt idx="11">
                  <c:v>3194551</c:v>
                </c:pt>
              </c:numCache>
            </c:numRef>
          </c:val>
          <c:smooth val="0"/>
          <c:extLst>
            <c:ext xmlns:c16="http://schemas.microsoft.com/office/drawing/2014/chart" uri="{C3380CC4-5D6E-409C-BE32-E72D297353CC}">
              <c16:uniqueId val="{00000000-D414-4436-A90C-11F3BEF6AFED}"/>
            </c:ext>
          </c:extLst>
        </c:ser>
        <c:dLbls>
          <c:showLegendKey val="0"/>
          <c:showVal val="0"/>
          <c:showCatName val="0"/>
          <c:showSerName val="0"/>
          <c:showPercent val="0"/>
          <c:showBubbleSize val="0"/>
        </c:dLbls>
        <c:dropLines>
          <c:spPr>
            <a:ln w="9525" cap="flat" cmpd="sng" algn="ctr">
              <a:noFill/>
              <a:round/>
            </a:ln>
            <a:effectLst/>
          </c:spPr>
        </c:dropLines>
        <c:marker val="1"/>
        <c:smooth val="0"/>
        <c:axId val="2017512336"/>
        <c:axId val="2017510256"/>
      </c:lineChart>
      <c:catAx>
        <c:axId val="20175123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20" b="0" i="0" u="none" strike="noStrike" kern="1200" spc="20" baseline="0">
                <a:solidFill>
                  <a:schemeClr val="dk1">
                    <a:lumMod val="65000"/>
                    <a:lumOff val="35000"/>
                  </a:schemeClr>
                </a:solidFill>
                <a:latin typeface="+mn-lt"/>
                <a:ea typeface="+mn-ea"/>
                <a:cs typeface="+mn-cs"/>
              </a:defRPr>
            </a:pPr>
            <a:endParaRPr lang="en-US"/>
          </a:p>
        </c:txPr>
        <c:crossAx val="2017510256"/>
        <c:crosses val="autoZero"/>
        <c:auto val="1"/>
        <c:lblAlgn val="ctr"/>
        <c:lblOffset val="100"/>
        <c:noMultiLvlLbl val="0"/>
      </c:catAx>
      <c:valAx>
        <c:axId val="2017510256"/>
        <c:scaling>
          <c:orientation val="minMax"/>
        </c:scaling>
        <c:delete val="0"/>
        <c:axPos val="l"/>
        <c:numFmt formatCode="_ &quot;₹&quot;\ * #,##0.0_ ;_ &quot;₹&quot;\ * \-#,##0.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1020" b="0" i="0" u="none" strike="noStrike" kern="1200" spc="20" baseline="0">
                <a:solidFill>
                  <a:schemeClr val="dk1">
                    <a:lumMod val="65000"/>
                    <a:lumOff val="35000"/>
                  </a:schemeClr>
                </a:solidFill>
                <a:latin typeface="+mn-lt"/>
                <a:ea typeface="+mn-ea"/>
                <a:cs typeface="+mn-cs"/>
              </a:defRPr>
            </a:pPr>
            <a:endParaRPr lang="en-US"/>
          </a:p>
        </c:txPr>
        <c:crossAx val="2017512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bg2">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2000">
                <a:solidFill>
                  <a:schemeClr val="accent1">
                    <a:lumMod val="50000"/>
                  </a:schemeClr>
                </a:solidFill>
              </a:rPr>
              <a:t>Marketing Spend Share</a:t>
            </a:r>
          </a:p>
        </c:rich>
      </c:tx>
      <c:layout>
        <c:manualLayout>
          <c:xMode val="edge"/>
          <c:yMode val="edge"/>
          <c:x val="0.25489435699362339"/>
          <c:y val="3.4260165220321187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9.6913285696437465E-2"/>
          <c:y val="0.15865236612949837"/>
          <c:w val="0.59164357325891259"/>
          <c:h val="0.7942951661588683"/>
        </c:manualLayout>
      </c:layout>
      <c:doughnutChart>
        <c:varyColors val="1"/>
        <c:ser>
          <c:idx val="0"/>
          <c:order val="0"/>
          <c:tx>
            <c:v>Total</c:v>
          </c:tx>
          <c:dPt>
            <c:idx val="0"/>
            <c:bubble3D val="0"/>
            <c:spPr>
              <a:solidFill>
                <a:schemeClr val="accent5">
                  <a:tint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6B4-4A17-9F97-0DB2484E27CE}"/>
              </c:ext>
            </c:extLst>
          </c:dPt>
          <c:dPt>
            <c:idx val="1"/>
            <c:bubble3D val="0"/>
            <c:spPr>
              <a:solidFill>
                <a:schemeClr val="accent5">
                  <a:tint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6B4-4A17-9F97-0DB2484E27CE}"/>
              </c:ext>
            </c:extLst>
          </c:dPt>
          <c:dPt>
            <c:idx val="2"/>
            <c:bubble3D val="0"/>
            <c:spPr>
              <a:solidFill>
                <a:schemeClr val="accent5">
                  <a:tint val="9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6B4-4A17-9F97-0DB2484E27CE}"/>
              </c:ext>
            </c:extLst>
          </c:dPt>
          <c:dPt>
            <c:idx val="3"/>
            <c:bubble3D val="0"/>
            <c:spPr>
              <a:solidFill>
                <a:schemeClr val="accent5">
                  <a:shade val="9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6B4-4A17-9F97-0DB2484E27CE}"/>
              </c:ext>
            </c:extLst>
          </c:dPt>
          <c:dPt>
            <c:idx val="4"/>
            <c:bubble3D val="0"/>
            <c:spPr>
              <a:solidFill>
                <a:schemeClr val="accent5">
                  <a:shade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6B4-4A17-9F97-0DB2484E27CE}"/>
              </c:ext>
            </c:extLst>
          </c:dPt>
          <c:dPt>
            <c:idx val="5"/>
            <c:bubble3D val="0"/>
            <c:spPr>
              <a:solidFill>
                <a:schemeClr val="accent5">
                  <a:shade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6B4-4A17-9F97-0DB2484E27CE}"/>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Affiliates</c:v>
              </c:pt>
              <c:pt idx="1">
                <c:v>Email</c:v>
              </c:pt>
              <c:pt idx="2">
                <c:v>Google Ads</c:v>
              </c:pt>
              <c:pt idx="3">
                <c:v>Instagram</c:v>
              </c:pt>
              <c:pt idx="4">
                <c:v>LinkedIn</c:v>
              </c:pt>
              <c:pt idx="5">
                <c:v>YouTube</c:v>
              </c:pt>
            </c:strLit>
          </c:cat>
          <c:val>
            <c:numLit>
              <c:formatCode>General</c:formatCode>
              <c:ptCount val="6"/>
              <c:pt idx="0">
                <c:v>2120633</c:v>
              </c:pt>
              <c:pt idx="1">
                <c:v>2382119</c:v>
              </c:pt>
              <c:pt idx="2">
                <c:v>3144799</c:v>
              </c:pt>
              <c:pt idx="3">
                <c:v>2291822</c:v>
              </c:pt>
              <c:pt idx="4">
                <c:v>2405681</c:v>
              </c:pt>
              <c:pt idx="5">
                <c:v>2380070</c:v>
              </c:pt>
            </c:numLit>
          </c:val>
          <c:extLst>
            <c:ext xmlns:c16="http://schemas.microsoft.com/office/drawing/2014/chart" uri="{C3380CC4-5D6E-409C-BE32-E72D297353CC}">
              <c16:uniqueId val="{0000000C-B6B4-4A17-9F97-0DB2484E27C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720" b="1" i="0" u="none" strike="noStrike" kern="1200" baseline="0">
                <a:solidFill>
                  <a:schemeClr val="tx2"/>
                </a:solidFill>
                <a:latin typeface="+mn-lt"/>
                <a:ea typeface="+mn-ea"/>
                <a:cs typeface="+mn-cs"/>
              </a:defRPr>
            </a:pPr>
            <a:r>
              <a:rPr lang="en-US" sz="2000" baseline="0"/>
              <a:t>Top 5 Cities</a:t>
            </a:r>
          </a:p>
        </c:rich>
      </c:tx>
      <c:layout>
        <c:manualLayout>
          <c:xMode val="edge"/>
          <c:yMode val="edge"/>
          <c:x val="0.44618619439980856"/>
          <c:y val="5.033233562319428E-2"/>
        </c:manualLayout>
      </c:layout>
      <c:overlay val="0"/>
      <c:spPr>
        <a:noFill/>
        <a:ln>
          <a:noFill/>
        </a:ln>
        <a:effectLst/>
      </c:spPr>
      <c:txPr>
        <a:bodyPr rot="0" spcFirstLastPara="1" vertOverflow="ellipsis" vert="horz" wrap="square" anchor="ctr" anchorCtr="1"/>
        <a:lstStyle/>
        <a:p>
          <a:pPr>
            <a:defRPr sz="1720" b="1" i="0" u="none" strike="noStrike" kern="120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989637626051855E-2"/>
          <c:y val="0.13301081783111171"/>
          <c:w val="0.88460173489387217"/>
          <c:h val="0.73842921300410991"/>
        </c:manualLayout>
      </c:layout>
      <c:barChart>
        <c:barDir val="col"/>
        <c:grouping val="clustered"/>
        <c:varyColors val="0"/>
        <c:ser>
          <c:idx val="0"/>
          <c:order val="0"/>
          <c:tx>
            <c:v>Total</c:v>
          </c:tx>
          <c:spPr>
            <a:solidFill>
              <a:schemeClr val="accent5">
                <a:lumMod val="50000"/>
              </a:schemeClr>
            </a:solidFill>
            <a:ln>
              <a:noFill/>
            </a:ln>
            <a:effectLst/>
          </c:spPr>
          <c:invertIfNegative val="0"/>
          <c:cat>
            <c:strLit>
              <c:ptCount val="5"/>
              <c:pt idx="0">
                <c:v>Bangalore</c:v>
              </c:pt>
              <c:pt idx="1">
                <c:v>Chennai</c:v>
              </c:pt>
              <c:pt idx="2">
                <c:v>Hyderabad</c:v>
              </c:pt>
              <c:pt idx="3">
                <c:v>Kolkata</c:v>
              </c:pt>
              <c:pt idx="4">
                <c:v>Pune</c:v>
              </c:pt>
            </c:strLit>
          </c:cat>
          <c:val>
            <c:numLit>
              <c:formatCode>General</c:formatCode>
              <c:ptCount val="5"/>
              <c:pt idx="0">
                <c:v>3198</c:v>
              </c:pt>
              <c:pt idx="1">
                <c:v>3200</c:v>
              </c:pt>
              <c:pt idx="2">
                <c:v>3197</c:v>
              </c:pt>
              <c:pt idx="3">
                <c:v>3199</c:v>
              </c:pt>
              <c:pt idx="4">
                <c:v>3196</c:v>
              </c:pt>
            </c:numLit>
          </c:val>
          <c:extLst>
            <c:ext xmlns:c16="http://schemas.microsoft.com/office/drawing/2014/chart" uri="{C3380CC4-5D6E-409C-BE32-E72D297353CC}">
              <c16:uniqueId val="{00000000-7579-4703-A74D-1B14B1ECDCE5}"/>
            </c:ext>
          </c:extLst>
        </c:ser>
        <c:dLbls>
          <c:showLegendKey val="0"/>
          <c:showVal val="0"/>
          <c:showCatName val="0"/>
          <c:showSerName val="0"/>
          <c:showPercent val="0"/>
          <c:showBubbleSize val="0"/>
        </c:dLbls>
        <c:gapWidth val="100"/>
        <c:overlap val="-24"/>
        <c:axId val="2123072048"/>
        <c:axId val="2123074128"/>
      </c:barChart>
      <c:catAx>
        <c:axId val="21230720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123074128"/>
        <c:crosses val="autoZero"/>
        <c:auto val="1"/>
        <c:lblAlgn val="ctr"/>
        <c:lblOffset val="100"/>
        <c:noMultiLvlLbl val="0"/>
      </c:catAx>
      <c:valAx>
        <c:axId val="2123074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10" b="0" i="0" u="none" strike="noStrike" kern="1200" baseline="0">
                <a:solidFill>
                  <a:schemeClr val="tx2"/>
                </a:solidFill>
                <a:latin typeface="+mn-lt"/>
                <a:ea typeface="+mn-ea"/>
                <a:cs typeface="+mn-cs"/>
              </a:defRPr>
            </a:pPr>
            <a:endParaRPr lang="en-US"/>
          </a:p>
        </c:txPr>
        <c:crossAx val="212307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5">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3" Type="http://schemas.openxmlformats.org/officeDocument/2006/relationships/chart" Target="../charts/chart7.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6.xml"/><Relationship Id="rId16" Type="http://schemas.openxmlformats.org/officeDocument/2006/relationships/image" Target="../media/image12.svg"/><Relationship Id="rId1" Type="http://schemas.openxmlformats.org/officeDocument/2006/relationships/chart" Target="../charts/chart5.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1.png"/><Relationship Id="rId10" Type="http://schemas.openxmlformats.org/officeDocument/2006/relationships/image" Target="../media/image6.svg"/><Relationship Id="rId4" Type="http://schemas.openxmlformats.org/officeDocument/2006/relationships/chart" Target="../charts/chart8.xml"/><Relationship Id="rId9" Type="http://schemas.openxmlformats.org/officeDocument/2006/relationships/image" Target="../media/image5.pn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6</xdr:col>
      <xdr:colOff>12700</xdr:colOff>
      <xdr:row>10</xdr:row>
      <xdr:rowOff>177800</xdr:rowOff>
    </xdr:from>
    <xdr:to>
      <xdr:col>10</xdr:col>
      <xdr:colOff>0</xdr:colOff>
      <xdr:row>24</xdr:row>
      <xdr:rowOff>0</xdr:rowOff>
    </xdr:to>
    <xdr:sp macro="" textlink="">
      <xdr:nvSpPr>
        <xdr:cNvPr id="2" name="TextBox 1">
          <a:extLst>
            <a:ext uri="{FF2B5EF4-FFF2-40B4-BE49-F238E27FC236}">
              <a16:creationId xmlns:a16="http://schemas.microsoft.com/office/drawing/2014/main" id="{1B6E75FB-B7A9-4199-A960-3E67810E2320}"/>
            </a:ext>
          </a:extLst>
        </xdr:cNvPr>
        <xdr:cNvSpPr txBox="1"/>
      </xdr:nvSpPr>
      <xdr:spPr>
        <a:xfrm>
          <a:off x="6604000" y="2019300"/>
          <a:ext cx="4013200" cy="2400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Data Consistency</a:t>
          </a:r>
          <a:r>
            <a:rPr lang="en-IN" sz="1400" b="1" baseline="0"/>
            <a:t> Observation</a:t>
          </a:r>
        </a:p>
        <a:p>
          <a:pPr algn="ctr"/>
          <a:endParaRPr lang="en-IN" sz="1400" b="1" baseline="0"/>
        </a:p>
        <a:p>
          <a:r>
            <a:rPr lang="en-IN" sz="900"/>
            <a:t>The analysis of the trainer dataset and the student enrollment dataset reveals an inconsistency in trainer allocation. While the student enrollment dataset records a total of </a:t>
          </a:r>
          <a:r>
            <a:rPr lang="en-IN" sz="900" b="1"/>
            <a:t>1200 students</a:t>
          </a:r>
          <a:r>
            <a:rPr lang="en-IN" sz="900"/>
            <a:t>, the combined student capacity assigned to trainers accounts for only </a:t>
          </a:r>
          <a:r>
            <a:rPr lang="en-IN" sz="900" b="1"/>
            <a:t>1166 students</a:t>
          </a:r>
          <a:r>
            <a:rPr lang="en-IN" sz="900"/>
            <a:t>. This creates a difference of </a:t>
          </a:r>
          <a:r>
            <a:rPr lang="en-IN" sz="900" b="1"/>
            <a:t>34 students who are not mapped to any trainer</a:t>
          </a:r>
          <a:r>
            <a:rPr lang="en-IN" sz="900"/>
            <a:t>.</a:t>
          </a:r>
        </a:p>
        <a:p>
          <a:r>
            <a:rPr lang="en-IN" sz="900"/>
            <a:t>Additionally, the </a:t>
          </a:r>
          <a:r>
            <a:rPr lang="en-IN" sz="900" b="1"/>
            <a:t>Data Analytics course does not have an assigned trainer in the trainer dataset</a:t>
          </a:r>
          <a:r>
            <a:rPr lang="en-IN" sz="900"/>
            <a:t>, even though students are enrolled in that course. This discrepancy suggests a potential data entry or mapping issue in the trainer-course dataset. Such inconsistencies highlight the importance of validating training capacity and ensuring accurate trainer assignments to support all enrolled students.</a:t>
          </a:r>
        </a:p>
        <a:p>
          <a:pPr algn="ctr"/>
          <a:endParaRPr lang="en-IN" sz="14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329079</xdr:colOff>
      <xdr:row>2</xdr:row>
      <xdr:rowOff>125133</xdr:rowOff>
    </xdr:from>
    <xdr:to>
      <xdr:col>8</xdr:col>
      <xdr:colOff>46692</xdr:colOff>
      <xdr:row>17</xdr:row>
      <xdr:rowOff>168088</xdr:rowOff>
    </xdr:to>
    <xdr:graphicFrame macro="">
      <xdr:nvGraphicFramePr>
        <xdr:cNvPr id="9" name="Chart 8">
          <a:extLst>
            <a:ext uri="{FF2B5EF4-FFF2-40B4-BE49-F238E27FC236}">
              <a16:creationId xmlns:a16="http://schemas.microsoft.com/office/drawing/2014/main" id="{780A04AC-3F2B-45F8-8423-F6A598E3FB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37353</xdr:colOff>
      <xdr:row>2</xdr:row>
      <xdr:rowOff>112431</xdr:rowOff>
    </xdr:from>
    <xdr:to>
      <xdr:col>18</xdr:col>
      <xdr:colOff>121397</xdr:colOff>
      <xdr:row>17</xdr:row>
      <xdr:rowOff>158749</xdr:rowOff>
    </xdr:to>
    <xdr:graphicFrame macro="">
      <xdr:nvGraphicFramePr>
        <xdr:cNvPr id="10" name="Chart 9">
          <a:extLst>
            <a:ext uri="{FF2B5EF4-FFF2-40B4-BE49-F238E27FC236}">
              <a16:creationId xmlns:a16="http://schemas.microsoft.com/office/drawing/2014/main" id="{B695C9D7-5A1D-4660-8AE3-C539837FFC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340659</xdr:colOff>
      <xdr:row>19</xdr:row>
      <xdr:rowOff>134471</xdr:rowOff>
    </xdr:from>
    <xdr:to>
      <xdr:col>8</xdr:col>
      <xdr:colOff>38474</xdr:colOff>
      <xdr:row>34</xdr:row>
      <xdr:rowOff>115421</xdr:rowOff>
    </xdr:to>
    <xdr:graphicFrame macro="">
      <xdr:nvGraphicFramePr>
        <xdr:cNvPr id="11" name="Chart 10">
          <a:extLst>
            <a:ext uri="{FF2B5EF4-FFF2-40B4-BE49-F238E27FC236}">
              <a16:creationId xmlns:a16="http://schemas.microsoft.com/office/drawing/2014/main" id="{3D8EA235-FFA6-4066-94D2-52CA5F99A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65367</xdr:colOff>
      <xdr:row>19</xdr:row>
      <xdr:rowOff>37352</xdr:rowOff>
    </xdr:from>
    <xdr:to>
      <xdr:col>18</xdr:col>
      <xdr:colOff>143933</xdr:colOff>
      <xdr:row>34</xdr:row>
      <xdr:rowOff>135465</xdr:rowOff>
    </xdr:to>
    <xdr:graphicFrame macro="">
      <xdr:nvGraphicFramePr>
        <xdr:cNvPr id="12" name="Chart 11">
          <a:extLst>
            <a:ext uri="{FF2B5EF4-FFF2-40B4-BE49-F238E27FC236}">
              <a16:creationId xmlns:a16="http://schemas.microsoft.com/office/drawing/2014/main" id="{41ACDD2F-EE89-4878-BF1E-E4F9CDD86C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414694</xdr:colOff>
      <xdr:row>5</xdr:row>
      <xdr:rowOff>388775</xdr:rowOff>
    </xdr:from>
    <xdr:to>
      <xdr:col>28</xdr:col>
      <xdr:colOff>574360</xdr:colOff>
      <xdr:row>27</xdr:row>
      <xdr:rowOff>56972</xdr:rowOff>
    </xdr:to>
    <xdr:graphicFrame macro="">
      <xdr:nvGraphicFramePr>
        <xdr:cNvPr id="5" name="Chart 4">
          <a:extLst>
            <a:ext uri="{FF2B5EF4-FFF2-40B4-BE49-F238E27FC236}">
              <a16:creationId xmlns:a16="http://schemas.microsoft.com/office/drawing/2014/main" id="{259CA60F-FCA8-4818-97D8-BC22AE86F9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401734</xdr:colOff>
      <xdr:row>28</xdr:row>
      <xdr:rowOff>43149</xdr:rowOff>
    </xdr:from>
    <xdr:to>
      <xdr:col>28</xdr:col>
      <xdr:colOff>601950</xdr:colOff>
      <xdr:row>48</xdr:row>
      <xdr:rowOff>168468</xdr:rowOff>
    </xdr:to>
    <xdr:graphicFrame macro="">
      <xdr:nvGraphicFramePr>
        <xdr:cNvPr id="6" name="Chart 5">
          <a:extLst>
            <a:ext uri="{FF2B5EF4-FFF2-40B4-BE49-F238E27FC236}">
              <a16:creationId xmlns:a16="http://schemas.microsoft.com/office/drawing/2014/main" id="{8F6EF593-AE23-41BB-ACCF-6DC609848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168939</xdr:colOff>
      <xdr:row>28</xdr:row>
      <xdr:rowOff>51235</xdr:rowOff>
    </xdr:from>
    <xdr:to>
      <xdr:col>39</xdr:col>
      <xdr:colOff>272143</xdr:colOff>
      <xdr:row>49</xdr:row>
      <xdr:rowOff>0</xdr:rowOff>
    </xdr:to>
    <xdr:graphicFrame macro="">
      <xdr:nvGraphicFramePr>
        <xdr:cNvPr id="7" name="Chart 6">
          <a:extLst>
            <a:ext uri="{FF2B5EF4-FFF2-40B4-BE49-F238E27FC236}">
              <a16:creationId xmlns:a16="http://schemas.microsoft.com/office/drawing/2014/main" id="{E9DA78DB-F907-4358-8346-559763483D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116632</xdr:colOff>
      <xdr:row>5</xdr:row>
      <xdr:rowOff>388775</xdr:rowOff>
    </xdr:from>
    <xdr:to>
      <xdr:col>39</xdr:col>
      <xdr:colOff>285101</xdr:colOff>
      <xdr:row>27</xdr:row>
      <xdr:rowOff>90713</xdr:rowOff>
    </xdr:to>
    <xdr:graphicFrame macro="">
      <xdr:nvGraphicFramePr>
        <xdr:cNvPr id="8" name="Chart 7">
          <a:extLst>
            <a:ext uri="{FF2B5EF4-FFF2-40B4-BE49-F238E27FC236}">
              <a16:creationId xmlns:a16="http://schemas.microsoft.com/office/drawing/2014/main" id="{47A869EF-3E50-4537-9971-5EC58D7FCF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281299</xdr:colOff>
      <xdr:row>5</xdr:row>
      <xdr:rowOff>65171</xdr:rowOff>
    </xdr:from>
    <xdr:to>
      <xdr:col>6</xdr:col>
      <xdr:colOff>287548</xdr:colOff>
      <xdr:row>14</xdr:row>
      <xdr:rowOff>59904</xdr:rowOff>
    </xdr:to>
    <xdr:sp macro="" textlink="Month_KPIs!B14">
      <xdr:nvSpPr>
        <xdr:cNvPr id="10" name="Rectangle: Rounded Corners 9">
          <a:extLst>
            <a:ext uri="{FF2B5EF4-FFF2-40B4-BE49-F238E27FC236}">
              <a16:creationId xmlns:a16="http://schemas.microsoft.com/office/drawing/2014/main" id="{7FA38BB5-F36C-4D97-8BA7-F671E9A82508}"/>
            </a:ext>
          </a:extLst>
        </xdr:cNvPr>
        <xdr:cNvSpPr/>
      </xdr:nvSpPr>
      <xdr:spPr>
        <a:xfrm>
          <a:off x="281299" y="963756"/>
          <a:ext cx="3672475" cy="2211242"/>
        </a:xfrm>
        <a:prstGeom prst="roundRect">
          <a:avLst>
            <a:gd name="adj" fmla="val 20312"/>
          </a:avLst>
        </a:prstGeom>
        <a:solidFill>
          <a:schemeClr val="bg1">
            <a:lumMod val="95000"/>
          </a:schemeClr>
        </a:solidFill>
        <a:ln>
          <a:solidFill>
            <a:schemeClr val="bg2">
              <a:lumMod val="75000"/>
            </a:schemeClr>
          </a:solidFill>
        </a:ln>
        <a:effectLst>
          <a:glow rad="63500">
            <a:schemeClr val="accent3">
              <a:satMod val="175000"/>
              <a:alpha val="40000"/>
            </a:schemeClr>
          </a:glow>
          <a:innerShdw blurRad="114300">
            <a:schemeClr val="accent1">
              <a:lumMod val="50000"/>
            </a:schemeClr>
          </a:innerShdw>
        </a:effectLst>
        <a:scene3d>
          <a:camera prst="orthographicFront"/>
          <a:lightRig rig="threePt" dir="t"/>
        </a:scene3d>
        <a:sp3d>
          <a:bevelT/>
          <a:bevelB h="69850"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i="0" u="none" strike="noStrike">
              <a:solidFill>
                <a:srgbClr val="000000"/>
              </a:solidFill>
              <a:latin typeface="Calibri"/>
              <a:ea typeface="Calibri"/>
              <a:cs typeface="Calibri"/>
            </a:rPr>
            <a:t>Total Enrollments</a:t>
          </a:r>
        </a:p>
        <a:p>
          <a:pPr algn="ctr"/>
          <a:fld id="{0DBA03E9-4746-4823-9B65-87D05E832DD2}" type="TxLink">
            <a:rPr lang="en-US" sz="3200" b="1" i="0" u="none" strike="noStrike">
              <a:solidFill>
                <a:srgbClr val="000000"/>
              </a:solidFill>
              <a:latin typeface="Calibri"/>
              <a:ea typeface="Calibri"/>
              <a:cs typeface="Calibri"/>
            </a:rPr>
            <a:t>1200</a:t>
          </a:fld>
          <a:endParaRPr lang="en-US" sz="3200" b="1" i="0" u="none" strike="noStrike">
            <a:solidFill>
              <a:srgbClr val="000000"/>
            </a:solidFill>
            <a:latin typeface="Calibri"/>
            <a:ea typeface="Calibri"/>
            <a:cs typeface="Calibri"/>
          </a:endParaRPr>
        </a:p>
      </xdr:txBody>
    </xdr:sp>
    <xdr:clientData/>
  </xdr:twoCellAnchor>
  <xdr:twoCellAnchor>
    <xdr:from>
      <xdr:col>7</xdr:col>
      <xdr:colOff>34744</xdr:colOff>
      <xdr:row>5</xdr:row>
      <xdr:rowOff>34061</xdr:rowOff>
    </xdr:from>
    <xdr:to>
      <xdr:col>12</xdr:col>
      <xdr:colOff>419339</xdr:colOff>
      <xdr:row>14</xdr:row>
      <xdr:rowOff>95850</xdr:rowOff>
    </xdr:to>
    <xdr:sp macro="" textlink="Month_KPIs!C14">
      <xdr:nvSpPr>
        <xdr:cNvPr id="11" name="Rectangle: Rounded Corners 10">
          <a:extLst>
            <a:ext uri="{FF2B5EF4-FFF2-40B4-BE49-F238E27FC236}">
              <a16:creationId xmlns:a16="http://schemas.microsoft.com/office/drawing/2014/main" id="{308B1AFA-E25A-48EB-A84A-007B5FCBEBB2}"/>
            </a:ext>
          </a:extLst>
        </xdr:cNvPr>
        <xdr:cNvSpPr/>
      </xdr:nvSpPr>
      <xdr:spPr>
        <a:xfrm>
          <a:off x="4312008" y="932646"/>
          <a:ext cx="3439784" cy="2278298"/>
        </a:xfrm>
        <a:prstGeom prst="roundRect">
          <a:avLst>
            <a:gd name="adj" fmla="val 20312"/>
          </a:avLst>
        </a:prstGeom>
        <a:solidFill>
          <a:schemeClr val="bg1">
            <a:lumMod val="95000"/>
          </a:schemeClr>
        </a:solidFill>
        <a:ln>
          <a:solidFill>
            <a:schemeClr val="bg2">
              <a:lumMod val="75000"/>
            </a:schemeClr>
          </a:solidFill>
        </a:ln>
        <a:effectLst>
          <a:glow rad="101600">
            <a:schemeClr val="accent3">
              <a:satMod val="175000"/>
              <a:alpha val="40000"/>
            </a:schemeClr>
          </a:glow>
          <a:innerShdw blurRad="114300">
            <a:schemeClr val="accent1">
              <a:lumMod val="50000"/>
            </a:schemeClr>
          </a:innerShdw>
        </a:effectLst>
        <a:scene3d>
          <a:camera prst="orthographicFront"/>
          <a:lightRig rig="threePt" dir="t"/>
        </a:scene3d>
        <a:sp3d>
          <a:bevelT/>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i="0" u="none" strike="noStrike">
              <a:solidFill>
                <a:srgbClr val="000000"/>
              </a:solidFill>
              <a:latin typeface="Calibri"/>
              <a:ea typeface="Calibri"/>
              <a:cs typeface="Calibri"/>
            </a:rPr>
            <a:t>Total Revenue</a:t>
          </a:r>
        </a:p>
        <a:p>
          <a:pPr algn="ctr"/>
          <a:fld id="{1FA1414B-F17D-4AF7-9A61-ADC71E202F2F}" type="TxLink">
            <a:rPr lang="en-US" sz="3200" b="1" i="0" u="none" strike="noStrike">
              <a:solidFill>
                <a:srgbClr val="000000"/>
              </a:solidFill>
              <a:latin typeface="Calibri"/>
              <a:ea typeface="Calibri"/>
              <a:cs typeface="Calibri"/>
            </a:rPr>
            <a:t> ₹ 3,91,22,498.00 </a:t>
          </a:fld>
          <a:endParaRPr lang="en-IN" sz="3200" b="1">
            <a:latin typeface="+mn-lt"/>
            <a:cs typeface="Arial" panose="020B0604020202020204" pitchFamily="34" charset="0"/>
          </a:endParaRPr>
        </a:p>
      </xdr:txBody>
    </xdr:sp>
    <xdr:clientData/>
  </xdr:twoCellAnchor>
  <xdr:twoCellAnchor>
    <xdr:from>
      <xdr:col>0</xdr:col>
      <xdr:colOff>321534</xdr:colOff>
      <xdr:row>15</xdr:row>
      <xdr:rowOff>33989</xdr:rowOff>
    </xdr:from>
    <xdr:to>
      <xdr:col>6</xdr:col>
      <xdr:colOff>213704</xdr:colOff>
      <xdr:row>27</xdr:row>
      <xdr:rowOff>81913</xdr:rowOff>
    </xdr:to>
    <xdr:sp macro="" textlink="Month_KPIs!D19">
      <xdr:nvSpPr>
        <xdr:cNvPr id="12" name="Rectangle: Rounded Corners 11">
          <a:extLst>
            <a:ext uri="{FF2B5EF4-FFF2-40B4-BE49-F238E27FC236}">
              <a16:creationId xmlns:a16="http://schemas.microsoft.com/office/drawing/2014/main" id="{0D631179-A3A8-4278-8A3B-8C22F11B9312}"/>
            </a:ext>
          </a:extLst>
        </xdr:cNvPr>
        <xdr:cNvSpPr/>
      </xdr:nvSpPr>
      <xdr:spPr>
        <a:xfrm>
          <a:off x="321534" y="3351540"/>
          <a:ext cx="3546660" cy="2225067"/>
        </a:xfrm>
        <a:prstGeom prst="roundRect">
          <a:avLst>
            <a:gd name="adj" fmla="val 20312"/>
          </a:avLst>
        </a:prstGeom>
        <a:solidFill>
          <a:schemeClr val="bg1">
            <a:lumMod val="95000"/>
          </a:schemeClr>
        </a:solidFill>
        <a:ln>
          <a:solidFill>
            <a:schemeClr val="bg2">
              <a:lumMod val="50000"/>
            </a:schemeClr>
          </a:solidFill>
        </a:ln>
        <a:effectLst>
          <a:glow rad="63500">
            <a:schemeClr val="accent3">
              <a:satMod val="175000"/>
              <a:alpha val="40000"/>
            </a:schemeClr>
          </a:glow>
          <a:innerShdw blurRad="114300">
            <a:schemeClr val="accent1">
              <a:lumMod val="50000"/>
            </a:schemeClr>
          </a:innerShdw>
        </a:effectLst>
        <a:scene3d>
          <a:camera prst="orthographicFront"/>
          <a:lightRig rig="threePt" dir="t"/>
        </a:scene3d>
        <a:sp3d>
          <a:bevelT/>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u="none" strike="noStrike">
              <a:solidFill>
                <a:srgbClr val="000000"/>
              </a:solidFill>
              <a:latin typeface="Calibri"/>
              <a:ea typeface="Calibri"/>
              <a:cs typeface="Calibri"/>
            </a:rPr>
            <a:t>CAC</a:t>
          </a:r>
        </a:p>
        <a:p>
          <a:pPr algn="ctr"/>
          <a:fld id="{108F7E18-ABF3-45CE-9080-87EE9586AAA1}" type="TxLink">
            <a:rPr lang="en-US" sz="3200" b="1" i="0" u="none" strike="noStrike">
              <a:solidFill>
                <a:srgbClr val="000000"/>
              </a:solidFill>
              <a:latin typeface="Calibri"/>
              <a:ea typeface="Calibri"/>
              <a:cs typeface="Calibri"/>
            </a:rPr>
            <a:t> ₹ 12,270.94 </a:t>
          </a:fld>
          <a:endParaRPr lang="en-US" sz="3600" b="1" i="0" u="none" strike="noStrike">
            <a:solidFill>
              <a:srgbClr val="000000"/>
            </a:solidFill>
            <a:latin typeface="Calibri"/>
            <a:ea typeface="Calibri"/>
            <a:cs typeface="Calibri"/>
          </a:endParaRPr>
        </a:p>
      </xdr:txBody>
    </xdr:sp>
    <xdr:clientData/>
  </xdr:twoCellAnchor>
  <xdr:twoCellAnchor>
    <xdr:from>
      <xdr:col>13</xdr:col>
      <xdr:colOff>168470</xdr:colOff>
      <xdr:row>5</xdr:row>
      <xdr:rowOff>51838</xdr:rowOff>
    </xdr:from>
    <xdr:to>
      <xdr:col>19</xdr:col>
      <xdr:colOff>191699</xdr:colOff>
      <xdr:row>14</xdr:row>
      <xdr:rowOff>77756</xdr:rowOff>
    </xdr:to>
    <xdr:sp macro="" textlink="">
      <xdr:nvSpPr>
        <xdr:cNvPr id="13" name="Rectangle: Rounded Corners 12">
          <a:extLst>
            <a:ext uri="{FF2B5EF4-FFF2-40B4-BE49-F238E27FC236}">
              <a16:creationId xmlns:a16="http://schemas.microsoft.com/office/drawing/2014/main" id="{D699666D-BF0D-49E2-8842-7F2FC95DE79B}"/>
            </a:ext>
          </a:extLst>
        </xdr:cNvPr>
        <xdr:cNvSpPr/>
      </xdr:nvSpPr>
      <xdr:spPr>
        <a:xfrm>
          <a:off x="8086531" y="958981"/>
          <a:ext cx="3677719" cy="2254897"/>
        </a:xfrm>
        <a:prstGeom prst="roundRect">
          <a:avLst>
            <a:gd name="adj" fmla="val 20312"/>
          </a:avLst>
        </a:prstGeom>
        <a:solidFill>
          <a:schemeClr val="bg1">
            <a:lumMod val="95000"/>
          </a:schemeClr>
        </a:solidFill>
        <a:ln>
          <a:solidFill>
            <a:schemeClr val="bg2">
              <a:lumMod val="50000"/>
            </a:schemeClr>
          </a:solidFill>
        </a:ln>
        <a:effectLst>
          <a:glow rad="63500">
            <a:schemeClr val="accent3">
              <a:satMod val="175000"/>
              <a:alpha val="40000"/>
            </a:schemeClr>
          </a:glow>
          <a:innerShdw blurRad="114300">
            <a:schemeClr val="bg1">
              <a:lumMod val="50000"/>
            </a:schemeClr>
          </a:innerShdw>
        </a:effectLst>
        <a:scene3d>
          <a:camera prst="orthographicFront"/>
          <a:lightRig rig="threePt" dir="t"/>
        </a:scene3d>
        <a:sp3d>
          <a:bevelT/>
          <a:bevelB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i="0" u="none" strike="noStrike">
              <a:solidFill>
                <a:srgbClr val="000000"/>
              </a:solidFill>
              <a:latin typeface="Calibri"/>
              <a:ea typeface="Calibri"/>
              <a:cs typeface="Calibri"/>
            </a:rPr>
            <a:t>Top Performing</a:t>
          </a:r>
          <a:r>
            <a:rPr lang="en-US" sz="2400" b="1" i="0" u="none" strike="noStrike" baseline="0">
              <a:solidFill>
                <a:srgbClr val="000000"/>
              </a:solidFill>
              <a:latin typeface="Calibri"/>
              <a:ea typeface="Calibri"/>
              <a:cs typeface="Calibri"/>
            </a:rPr>
            <a:t> </a:t>
          </a:r>
          <a:r>
            <a:rPr lang="en-US" sz="2400" b="1" i="0" u="none" strike="noStrike">
              <a:solidFill>
                <a:srgbClr val="000000"/>
              </a:solidFill>
              <a:latin typeface="Calibri"/>
              <a:ea typeface="Calibri"/>
              <a:cs typeface="Calibri"/>
            </a:rPr>
            <a:t>Course</a:t>
          </a:r>
          <a:r>
            <a:rPr lang="en-US" sz="4400" b="1" i="0" u="none" strike="noStrike">
              <a:solidFill>
                <a:srgbClr val="000000"/>
              </a:solidFill>
              <a:latin typeface="Calibri"/>
              <a:ea typeface="Calibri"/>
              <a:cs typeface="Calibri"/>
            </a:rPr>
            <a:t> </a:t>
          </a:r>
          <a:r>
            <a:rPr lang="en-US" sz="3200" b="1" i="0" u="none" strike="noStrike">
              <a:solidFill>
                <a:srgbClr val="000000"/>
              </a:solidFill>
              <a:latin typeface="Calibri"/>
              <a:ea typeface="Calibri"/>
              <a:cs typeface="Calibri"/>
            </a:rPr>
            <a:t> </a:t>
          </a:r>
        </a:p>
        <a:p>
          <a:pPr algn="ctr">
            <a:spcBef>
              <a:spcPts val="0"/>
            </a:spcBef>
          </a:pPr>
          <a:r>
            <a:rPr lang="en-IN" sz="2800" b="1" i="0" u="none" strike="noStrike">
              <a:solidFill>
                <a:schemeClr val="tx1">
                  <a:lumMod val="95000"/>
                  <a:lumOff val="5000"/>
                </a:schemeClr>
              </a:solidFill>
              <a:effectLst/>
              <a:latin typeface="+mn-lt"/>
              <a:ea typeface="+mn-ea"/>
              <a:cs typeface="+mn-cs"/>
            </a:rPr>
            <a:t>Data Analytics</a:t>
          </a:r>
          <a:r>
            <a:rPr lang="en-IN" sz="3600" b="1">
              <a:solidFill>
                <a:schemeClr val="tx1">
                  <a:lumMod val="95000"/>
                  <a:lumOff val="5000"/>
                </a:schemeClr>
              </a:solidFill>
              <a:latin typeface="+mn-lt"/>
            </a:rPr>
            <a:t> </a:t>
          </a:r>
          <a:endParaRPr lang="en-US" sz="3600" b="1" i="0" u="none" strike="noStrike">
            <a:solidFill>
              <a:schemeClr val="tx1">
                <a:lumMod val="95000"/>
                <a:lumOff val="5000"/>
              </a:schemeClr>
            </a:solidFill>
            <a:latin typeface="+mn-lt"/>
            <a:ea typeface="Calibri"/>
            <a:cs typeface="Calibri"/>
          </a:endParaRPr>
        </a:p>
      </xdr:txBody>
    </xdr:sp>
    <xdr:clientData/>
  </xdr:twoCellAnchor>
  <xdr:twoCellAnchor>
    <xdr:from>
      <xdr:col>6</xdr:col>
      <xdr:colOff>561159</xdr:colOff>
      <xdr:row>15</xdr:row>
      <xdr:rowOff>163579</xdr:rowOff>
    </xdr:from>
    <xdr:to>
      <xdr:col>13</xdr:col>
      <xdr:colOff>194388</xdr:colOff>
      <xdr:row>27</xdr:row>
      <xdr:rowOff>0</xdr:rowOff>
    </xdr:to>
    <xdr:sp macro="" textlink="'Cleaned Trainer Data'!D13">
      <xdr:nvSpPr>
        <xdr:cNvPr id="14" name="Rectangle: Rounded Corners 13">
          <a:extLst>
            <a:ext uri="{FF2B5EF4-FFF2-40B4-BE49-F238E27FC236}">
              <a16:creationId xmlns:a16="http://schemas.microsoft.com/office/drawing/2014/main" id="{30A115AE-7FA9-49A1-B672-5009C8F1D58F}"/>
            </a:ext>
          </a:extLst>
        </xdr:cNvPr>
        <xdr:cNvSpPr/>
      </xdr:nvSpPr>
      <xdr:spPr>
        <a:xfrm>
          <a:off x="4215649" y="3481130"/>
          <a:ext cx="3896800" cy="2013564"/>
        </a:xfrm>
        <a:prstGeom prst="roundRect">
          <a:avLst>
            <a:gd name="adj" fmla="val 20312"/>
          </a:avLst>
        </a:prstGeom>
        <a:solidFill>
          <a:schemeClr val="bg1">
            <a:lumMod val="95000"/>
          </a:schemeClr>
        </a:solidFill>
        <a:ln>
          <a:solidFill>
            <a:schemeClr val="bg2">
              <a:lumMod val="50000"/>
            </a:schemeClr>
          </a:solidFill>
        </a:ln>
        <a:effectLst>
          <a:glow rad="63500">
            <a:schemeClr val="accent3">
              <a:satMod val="175000"/>
              <a:alpha val="40000"/>
            </a:schemeClr>
          </a:glow>
          <a:innerShdw blurRad="114300">
            <a:schemeClr val="accent1">
              <a:lumMod val="50000"/>
            </a:scheme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u="none" strike="noStrike">
              <a:solidFill>
                <a:srgbClr val="000000"/>
              </a:solidFill>
              <a:latin typeface="Calibri"/>
              <a:ea typeface="Calibri"/>
              <a:cs typeface="Calibri"/>
            </a:rPr>
            <a:t>Highest Satisfaction Trainer</a:t>
          </a:r>
        </a:p>
        <a:p>
          <a:pPr algn="ctr"/>
          <a:fld id="{89F7C1C7-5F48-4D00-8C0F-B33B1E8755D4}" type="TxLink">
            <a:rPr lang="en-US" sz="3600" b="1" i="0" u="none" strike="noStrike">
              <a:solidFill>
                <a:srgbClr val="000000"/>
              </a:solidFill>
              <a:latin typeface="Calibri"/>
              <a:ea typeface="Calibri"/>
              <a:cs typeface="Calibri"/>
            </a:rPr>
            <a:t>Meera</a:t>
          </a:fld>
          <a:endParaRPr lang="en-US" sz="3600" b="1" i="0" u="none" strike="noStrike">
            <a:ea typeface="Calibri"/>
            <a:cs typeface="Calibri"/>
          </a:endParaRPr>
        </a:p>
      </xdr:txBody>
    </xdr:sp>
    <xdr:clientData/>
  </xdr:twoCellAnchor>
  <xdr:twoCellAnchor editAs="oneCell">
    <xdr:from>
      <xdr:col>15</xdr:col>
      <xdr:colOff>141329</xdr:colOff>
      <xdr:row>29</xdr:row>
      <xdr:rowOff>52080</xdr:rowOff>
    </xdr:from>
    <xdr:to>
      <xdr:col>19</xdr:col>
      <xdr:colOff>450882</xdr:colOff>
      <xdr:row>49</xdr:row>
      <xdr:rowOff>168470</xdr:rowOff>
    </xdr:to>
    <mc:AlternateContent xmlns:mc="http://schemas.openxmlformats.org/markup-compatibility/2006">
      <mc:Choice xmlns:a14="http://schemas.microsoft.com/office/drawing/2010/main" Requires="a14">
        <xdr:graphicFrame macro="">
          <xdr:nvGraphicFramePr>
            <xdr:cNvPr id="18" name="City 1">
              <a:extLst>
                <a:ext uri="{FF2B5EF4-FFF2-40B4-BE49-F238E27FC236}">
                  <a16:creationId xmlns:a16="http://schemas.microsoft.com/office/drawing/2014/main" id="{ABCC17C5-7686-4A93-BAD2-3E223D2C331F}"/>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9277553" y="5909631"/>
              <a:ext cx="2745880" cy="37449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231278</xdr:colOff>
      <xdr:row>29</xdr:row>
      <xdr:rowOff>83287</xdr:rowOff>
    </xdr:from>
    <xdr:to>
      <xdr:col>9</xdr:col>
      <xdr:colOff>418296</xdr:colOff>
      <xdr:row>49</xdr:row>
      <xdr:rowOff>176343</xdr:rowOff>
    </xdr:to>
    <mc:AlternateContent xmlns:mc="http://schemas.openxmlformats.org/markup-compatibility/2006">
      <mc:Choice xmlns:a14="http://schemas.microsoft.com/office/drawing/2010/main" Requires="a14">
        <xdr:graphicFrame macro="">
          <xdr:nvGraphicFramePr>
            <xdr:cNvPr id="20" name="Course 1">
              <a:extLst>
                <a:ext uri="{FF2B5EF4-FFF2-40B4-BE49-F238E27FC236}">
                  <a16:creationId xmlns:a16="http://schemas.microsoft.com/office/drawing/2014/main" id="{70A555C3-2C52-4202-A5C9-9D8BA547D23D}"/>
                </a:ext>
              </a:extLst>
            </xdr:cNvPr>
            <xdr:cNvGraphicFramePr/>
          </xdr:nvGraphicFramePr>
          <xdr:xfrm>
            <a:off x="0" y="0"/>
            <a:ext cx="0" cy="0"/>
          </xdr:xfrm>
          <a:graphic>
            <a:graphicData uri="http://schemas.microsoft.com/office/drawing/2010/slicer">
              <sle:slicer xmlns:sle="http://schemas.microsoft.com/office/drawing/2010/slicer" name="Course 1"/>
            </a:graphicData>
          </a:graphic>
        </xdr:graphicFrame>
      </mc:Choice>
      <mc:Fallback>
        <xdr:sp macro="" textlink="">
          <xdr:nvSpPr>
            <xdr:cNvPr id="0" name=""/>
            <xdr:cNvSpPr>
              <a:spLocks noTextEdit="1"/>
            </xdr:cNvSpPr>
          </xdr:nvSpPr>
          <xdr:spPr>
            <a:xfrm>
              <a:off x="3276686" y="5940838"/>
              <a:ext cx="2623345" cy="37216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144655</xdr:colOff>
      <xdr:row>29</xdr:row>
      <xdr:rowOff>71501</xdr:rowOff>
    </xdr:from>
    <xdr:to>
      <xdr:col>14</xdr:col>
      <xdr:colOff>410980</xdr:colOff>
      <xdr:row>49</xdr:row>
      <xdr:rowOff>155511</xdr:rowOff>
    </xdr:to>
    <mc:AlternateContent xmlns:mc="http://schemas.openxmlformats.org/markup-compatibility/2006">
      <mc:Choice xmlns:a14="http://schemas.microsoft.com/office/drawing/2010/main" Requires="a14">
        <xdr:graphicFrame macro="">
          <xdr:nvGraphicFramePr>
            <xdr:cNvPr id="22" name="Month 1">
              <a:extLst>
                <a:ext uri="{FF2B5EF4-FFF2-40B4-BE49-F238E27FC236}">
                  <a16:creationId xmlns:a16="http://schemas.microsoft.com/office/drawing/2014/main" id="{5BC3496A-E1D9-44D0-8B11-267803AAEBFA}"/>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6235471" y="5929052"/>
              <a:ext cx="2702652" cy="37125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64797</xdr:colOff>
      <xdr:row>0</xdr:row>
      <xdr:rowOff>95849</xdr:rowOff>
    </xdr:from>
    <xdr:to>
      <xdr:col>21</xdr:col>
      <xdr:colOff>505409</xdr:colOff>
      <xdr:row>4</xdr:row>
      <xdr:rowOff>38878</xdr:rowOff>
    </xdr:to>
    <xdr:sp macro="" textlink="">
      <xdr:nvSpPr>
        <xdr:cNvPr id="9" name="TextBox 8">
          <a:extLst>
            <a:ext uri="{FF2B5EF4-FFF2-40B4-BE49-F238E27FC236}">
              <a16:creationId xmlns:a16="http://schemas.microsoft.com/office/drawing/2014/main" id="{027F4F4F-E874-455A-AA36-7605FCDBD8AA}"/>
            </a:ext>
          </a:extLst>
        </xdr:cNvPr>
        <xdr:cNvSpPr txBox="1"/>
      </xdr:nvSpPr>
      <xdr:spPr>
        <a:xfrm>
          <a:off x="9810103" y="95849"/>
          <a:ext cx="3486020" cy="6687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accent1">
                  <a:lumMod val="50000"/>
                </a:schemeClr>
              </a:solidFill>
              <a:latin typeface="+mn-lt"/>
            </a:rPr>
            <a:t>Ed-Tech Dashboard</a:t>
          </a:r>
        </a:p>
      </xdr:txBody>
    </xdr:sp>
    <xdr:clientData/>
  </xdr:twoCellAnchor>
  <xdr:twoCellAnchor editAs="oneCell">
    <xdr:from>
      <xdr:col>0</xdr:col>
      <xdr:colOff>388777</xdr:colOff>
      <xdr:row>29</xdr:row>
      <xdr:rowOff>77756</xdr:rowOff>
    </xdr:from>
    <xdr:to>
      <xdr:col>4</xdr:col>
      <xdr:colOff>492448</xdr:colOff>
      <xdr:row>49</xdr:row>
      <xdr:rowOff>129593</xdr:rowOff>
    </xdr:to>
    <mc:AlternateContent xmlns:mc="http://schemas.openxmlformats.org/markup-compatibility/2006">
      <mc:Choice xmlns:a14="http://schemas.microsoft.com/office/drawing/2010/main" Requires="a14">
        <xdr:graphicFrame macro="">
          <xdr:nvGraphicFramePr>
            <xdr:cNvPr id="24" name="Channel 1">
              <a:extLst>
                <a:ext uri="{FF2B5EF4-FFF2-40B4-BE49-F238E27FC236}">
                  <a16:creationId xmlns:a16="http://schemas.microsoft.com/office/drawing/2014/main" id="{9181B361-8A0D-4366-948D-3B08ACF0EF9E}"/>
                </a:ext>
              </a:extLst>
            </xdr:cNvPr>
            <xdr:cNvGraphicFramePr/>
          </xdr:nvGraphicFramePr>
          <xdr:xfrm>
            <a:off x="0" y="0"/>
            <a:ext cx="0" cy="0"/>
          </xdr:xfrm>
          <a:graphic>
            <a:graphicData uri="http://schemas.microsoft.com/office/drawing/2010/slicer">
              <sle:slicer xmlns:sle="http://schemas.microsoft.com/office/drawing/2010/slicer" name="Channel 1"/>
            </a:graphicData>
          </a:graphic>
        </xdr:graphicFrame>
      </mc:Choice>
      <mc:Fallback>
        <xdr:sp macro="" textlink="">
          <xdr:nvSpPr>
            <xdr:cNvPr id="0" name=""/>
            <xdr:cNvSpPr>
              <a:spLocks noTextEdit="1"/>
            </xdr:cNvSpPr>
          </xdr:nvSpPr>
          <xdr:spPr>
            <a:xfrm>
              <a:off x="388777" y="5935307"/>
              <a:ext cx="2539998" cy="36804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142551</xdr:colOff>
      <xdr:row>4</xdr:row>
      <xdr:rowOff>64796</xdr:rowOff>
    </xdr:from>
    <xdr:to>
      <xdr:col>8</xdr:col>
      <xdr:colOff>362857</xdr:colOff>
      <xdr:row>5</xdr:row>
      <xdr:rowOff>712755</xdr:rowOff>
    </xdr:to>
    <xdr:pic>
      <xdr:nvPicPr>
        <xdr:cNvPr id="25" name="Graphic 24" descr="Coins with solid fill">
          <a:extLst>
            <a:ext uri="{FF2B5EF4-FFF2-40B4-BE49-F238E27FC236}">
              <a16:creationId xmlns:a16="http://schemas.microsoft.com/office/drawing/2014/main" id="{19E92A72-0DB7-4BA7-859B-02BA5911CD0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6122" y="790510"/>
          <a:ext cx="829388" cy="829388"/>
        </a:xfrm>
        <a:prstGeom prst="rect">
          <a:avLst/>
        </a:prstGeom>
      </xdr:spPr>
    </xdr:pic>
    <xdr:clientData/>
  </xdr:twoCellAnchor>
  <xdr:twoCellAnchor editAs="oneCell">
    <xdr:from>
      <xdr:col>6</xdr:col>
      <xdr:colOff>311020</xdr:colOff>
      <xdr:row>14</xdr:row>
      <xdr:rowOff>51838</xdr:rowOff>
    </xdr:from>
    <xdr:to>
      <xdr:col>7</xdr:col>
      <xdr:colOff>531326</xdr:colOff>
      <xdr:row>18</xdr:row>
      <xdr:rowOff>155510</xdr:rowOff>
    </xdr:to>
    <xdr:pic>
      <xdr:nvPicPr>
        <xdr:cNvPr id="27" name="Graphic 26" descr="User with solid fill">
          <a:extLst>
            <a:ext uri="{FF2B5EF4-FFF2-40B4-BE49-F238E27FC236}">
              <a16:creationId xmlns:a16="http://schemas.microsoft.com/office/drawing/2014/main" id="{4DCDF721-6039-4F2C-A642-64F61B932AB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65510" y="3187960"/>
          <a:ext cx="829387" cy="829387"/>
        </a:xfrm>
        <a:prstGeom prst="rect">
          <a:avLst/>
        </a:prstGeom>
      </xdr:spPr>
    </xdr:pic>
    <xdr:clientData/>
  </xdr:twoCellAnchor>
  <xdr:twoCellAnchor editAs="oneCell">
    <xdr:from>
      <xdr:col>13</xdr:col>
      <xdr:colOff>116633</xdr:colOff>
      <xdr:row>4</xdr:row>
      <xdr:rowOff>103673</xdr:rowOff>
    </xdr:from>
    <xdr:to>
      <xdr:col>14</xdr:col>
      <xdr:colOff>233266</xdr:colOff>
      <xdr:row>5</xdr:row>
      <xdr:rowOff>647959</xdr:rowOff>
    </xdr:to>
    <xdr:pic>
      <xdr:nvPicPr>
        <xdr:cNvPr id="29" name="Graphic 28" descr="Star with solid fill">
          <a:extLst>
            <a:ext uri="{FF2B5EF4-FFF2-40B4-BE49-F238E27FC236}">
              <a16:creationId xmlns:a16="http://schemas.microsoft.com/office/drawing/2014/main" id="{AAC42764-DB60-4219-BCCB-B44B2646AB4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034694" y="829387"/>
          <a:ext cx="725715" cy="725715"/>
        </a:xfrm>
        <a:prstGeom prst="rect">
          <a:avLst/>
        </a:prstGeom>
      </xdr:spPr>
    </xdr:pic>
    <xdr:clientData/>
  </xdr:twoCellAnchor>
  <xdr:twoCellAnchor editAs="oneCell">
    <xdr:from>
      <xdr:col>0</xdr:col>
      <xdr:colOff>325918</xdr:colOff>
      <xdr:row>14</xdr:row>
      <xdr:rowOff>14899</xdr:rowOff>
    </xdr:from>
    <xdr:to>
      <xdr:col>2</xdr:col>
      <xdr:colOff>125828</xdr:colOff>
      <xdr:row>19</xdr:row>
      <xdr:rowOff>125829</xdr:rowOff>
    </xdr:to>
    <xdr:pic>
      <xdr:nvPicPr>
        <xdr:cNvPr id="31" name="Graphic 30" descr="Money with solid fill">
          <a:extLst>
            <a:ext uri="{FF2B5EF4-FFF2-40B4-BE49-F238E27FC236}">
              <a16:creationId xmlns:a16="http://schemas.microsoft.com/office/drawing/2014/main" id="{ED01AD5B-3597-4418-9766-C14682AC0C7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25918" y="3151021"/>
          <a:ext cx="1018073" cy="1018073"/>
        </a:xfrm>
        <a:prstGeom prst="rect">
          <a:avLst/>
        </a:prstGeom>
      </xdr:spPr>
    </xdr:pic>
    <xdr:clientData/>
  </xdr:twoCellAnchor>
  <xdr:twoCellAnchor editAs="oneCell">
    <xdr:from>
      <xdr:col>0</xdr:col>
      <xdr:colOff>307451</xdr:colOff>
      <xdr:row>2</xdr:row>
      <xdr:rowOff>177860</xdr:rowOff>
    </xdr:from>
    <xdr:to>
      <xdr:col>2</xdr:col>
      <xdr:colOff>90712</xdr:colOff>
      <xdr:row>5</xdr:row>
      <xdr:rowOff>635000</xdr:rowOff>
    </xdr:to>
    <xdr:pic>
      <xdr:nvPicPr>
        <xdr:cNvPr id="33" name="Graphic 32" descr="Business Growth with solid fill">
          <a:extLst>
            <a:ext uri="{FF2B5EF4-FFF2-40B4-BE49-F238E27FC236}">
              <a16:creationId xmlns:a16="http://schemas.microsoft.com/office/drawing/2014/main" id="{C0F0CDAF-4398-4494-82E9-1974F747341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07451" y="540717"/>
          <a:ext cx="1001424" cy="1001426"/>
        </a:xfrm>
        <a:prstGeom prst="rect">
          <a:avLst/>
        </a:prstGeom>
      </xdr:spPr>
    </xdr:pic>
    <xdr:clientData/>
  </xdr:twoCellAnchor>
  <xdr:twoCellAnchor>
    <xdr:from>
      <xdr:col>14</xdr:col>
      <xdr:colOff>259185</xdr:colOff>
      <xdr:row>17</xdr:row>
      <xdr:rowOff>181427</xdr:rowOff>
    </xdr:from>
    <xdr:to>
      <xdr:col>18</xdr:col>
      <xdr:colOff>298062</xdr:colOff>
      <xdr:row>25</xdr:row>
      <xdr:rowOff>168468</xdr:rowOff>
    </xdr:to>
    <xdr:sp macro="[0]!Refresh_All" textlink="">
      <xdr:nvSpPr>
        <xdr:cNvPr id="51" name="Rectangle: Rounded Corners 50">
          <a:extLst>
            <a:ext uri="{FF2B5EF4-FFF2-40B4-BE49-F238E27FC236}">
              <a16:creationId xmlns:a16="http://schemas.microsoft.com/office/drawing/2014/main" id="{7C3CC2A4-93C6-4FAA-BB37-39DADE65F153}"/>
            </a:ext>
          </a:extLst>
        </xdr:cNvPr>
        <xdr:cNvSpPr/>
      </xdr:nvSpPr>
      <xdr:spPr>
        <a:xfrm>
          <a:off x="8786328" y="3861835"/>
          <a:ext cx="2475203" cy="1438470"/>
        </a:xfrm>
        <a:prstGeom prst="roundRect">
          <a:avLst/>
        </a:prstGeom>
        <a:solidFill>
          <a:schemeClr val="bg2"/>
        </a:solidFill>
        <a:ln/>
        <a:effectLst>
          <a:glow rad="101600">
            <a:schemeClr val="accent1">
              <a:lumMod val="20000"/>
              <a:lumOff val="80000"/>
              <a:alpha val="40000"/>
            </a:schemeClr>
          </a:glow>
          <a:innerShdw blurRad="114300">
            <a:schemeClr val="tx2">
              <a:lumMod val="75000"/>
            </a:schemeClr>
          </a:innerShdw>
        </a:effectLst>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endParaRPr lang="en-IN" sz="2800" b="1">
            <a:solidFill>
              <a:schemeClr val="tx1"/>
            </a:solidFill>
          </a:endParaRPr>
        </a:p>
        <a:p>
          <a:pPr algn="ctr"/>
          <a:r>
            <a:rPr lang="en-IN" sz="2800" b="1">
              <a:solidFill>
                <a:schemeClr val="tx1"/>
              </a:solidFill>
            </a:rPr>
            <a:t>Refresh Data</a:t>
          </a:r>
        </a:p>
      </xdr:txBody>
    </xdr:sp>
    <xdr:clientData/>
  </xdr:twoCellAnchor>
  <xdr:twoCellAnchor editAs="oneCell">
    <xdr:from>
      <xdr:col>15</xdr:col>
      <xdr:colOff>531327</xdr:colOff>
      <xdr:row>18</xdr:row>
      <xdr:rowOff>51837</xdr:rowOff>
    </xdr:from>
    <xdr:to>
      <xdr:col>17</xdr:col>
      <xdr:colOff>25919</xdr:colOff>
      <xdr:row>22</xdr:row>
      <xdr:rowOff>2013</xdr:rowOff>
    </xdr:to>
    <xdr:pic>
      <xdr:nvPicPr>
        <xdr:cNvPr id="53" name="Graphic 52" descr="Arrow circle with solid fill">
          <a:extLst>
            <a:ext uri="{FF2B5EF4-FFF2-40B4-BE49-F238E27FC236}">
              <a16:creationId xmlns:a16="http://schemas.microsoft.com/office/drawing/2014/main" id="{8B771E6C-332F-415F-8D1A-86CD70E230B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667551" y="3913674"/>
          <a:ext cx="712756" cy="6758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466118</xdr:colOff>
      <xdr:row>0</xdr:row>
      <xdr:rowOff>139295</xdr:rowOff>
    </xdr:from>
    <xdr:to>
      <xdr:col>13</xdr:col>
      <xdr:colOff>44046</xdr:colOff>
      <xdr:row>3</xdr:row>
      <xdr:rowOff>18645</xdr:rowOff>
    </xdr:to>
    <xdr:sp macro="" textlink="">
      <xdr:nvSpPr>
        <xdr:cNvPr id="2" name="TextBox 1">
          <a:extLst>
            <a:ext uri="{FF2B5EF4-FFF2-40B4-BE49-F238E27FC236}">
              <a16:creationId xmlns:a16="http://schemas.microsoft.com/office/drawing/2014/main" id="{9E391DCA-E42E-45ED-A4A2-DC929C0763AB}"/>
            </a:ext>
          </a:extLst>
        </xdr:cNvPr>
        <xdr:cNvSpPr txBox="1"/>
      </xdr:nvSpPr>
      <xdr:spPr>
        <a:xfrm>
          <a:off x="4721969" y="139295"/>
          <a:ext cx="3225800" cy="4265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solidFill>
                <a:schemeClr val="accent1">
                  <a:lumMod val="50000"/>
                </a:schemeClr>
              </a:solidFill>
            </a:rPr>
            <a:t>Ed-Tech Dashboard Insights</a:t>
          </a:r>
        </a:p>
      </xdr:txBody>
    </xdr:sp>
    <xdr:clientData/>
  </xdr:twoCellAnchor>
  <xdr:twoCellAnchor>
    <xdr:from>
      <xdr:col>0</xdr:col>
      <xdr:colOff>580958</xdr:colOff>
      <xdr:row>3</xdr:row>
      <xdr:rowOff>177800</xdr:rowOff>
    </xdr:from>
    <xdr:to>
      <xdr:col>10</xdr:col>
      <xdr:colOff>256703</xdr:colOff>
      <xdr:row>23</xdr:row>
      <xdr:rowOff>141862</xdr:rowOff>
    </xdr:to>
    <xdr:sp macro="" textlink="">
      <xdr:nvSpPr>
        <xdr:cNvPr id="3" name="TextBox 2">
          <a:extLst>
            <a:ext uri="{FF2B5EF4-FFF2-40B4-BE49-F238E27FC236}">
              <a16:creationId xmlns:a16="http://schemas.microsoft.com/office/drawing/2014/main" id="{8365B568-495D-4FCD-B69F-D0D7E0F2BC29}"/>
            </a:ext>
          </a:extLst>
        </xdr:cNvPr>
        <xdr:cNvSpPr txBox="1"/>
      </xdr:nvSpPr>
      <xdr:spPr>
        <a:xfrm>
          <a:off x="580958" y="724981"/>
          <a:ext cx="5755532" cy="3611934"/>
        </a:xfrm>
        <a:prstGeom prst="rect">
          <a:avLst/>
        </a:prstGeom>
        <a:solidFill>
          <a:schemeClr val="accent1">
            <a:lumMod val="20000"/>
            <a:lumOff val="80000"/>
          </a:schemeClr>
        </a:solidFill>
        <a:ln w="9525"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IN" sz="1800" b="1">
              <a:solidFill>
                <a:schemeClr val="accent1">
                  <a:lumMod val="50000"/>
                </a:schemeClr>
              </a:solidFill>
            </a:rPr>
            <a:t>Insight Summary</a:t>
          </a:r>
        </a:p>
        <a:p>
          <a:r>
            <a:rPr lang="en-IN" sz="1400"/>
            <a:t>The analysis of the Ed-Tech dataset reveals important trends in course demand, revenue performance, and trainer effectiveness. Data Analytics recorded the highest number of enrollments, indicating strong demand for data-driven skills among students. The monthly revenue trend shows moderate fluctuations across months but overall stable performance.</a:t>
          </a:r>
        </a:p>
        <a:p>
          <a:r>
            <a:rPr lang="en-IN" sz="1400"/>
            <a:t>City-wise analysis highlights Chennai as one of the leading contributors to enrollments. Trainer satisfaction analysis shows that Meera has the highest satisfaction score, reflecting strong training effectiveness and positive learner feedback.</a:t>
          </a:r>
        </a:p>
        <a:p>
          <a:r>
            <a:rPr lang="en-IN" sz="1400"/>
            <a:t>Additionally, a data consistency issue was observed in the trainer allocation dataset where the Data Analytics course initially had no assigned trainer. This discrepancy highlights the need for improved trainer allocation and better data validation processes.</a:t>
          </a:r>
        </a:p>
        <a:p>
          <a:pPr algn="l"/>
          <a:endParaRPr lang="en-IN" sz="1800" b="1"/>
        </a:p>
      </xdr:txBody>
    </xdr:sp>
    <xdr:clientData/>
  </xdr:twoCellAnchor>
  <xdr:twoCellAnchor>
    <xdr:from>
      <xdr:col>11</xdr:col>
      <xdr:colOff>472872</xdr:colOff>
      <xdr:row>3</xdr:row>
      <xdr:rowOff>155372</xdr:rowOff>
    </xdr:from>
    <xdr:to>
      <xdr:col>19</xdr:col>
      <xdr:colOff>94574</xdr:colOff>
      <xdr:row>23</xdr:row>
      <xdr:rowOff>162128</xdr:rowOff>
    </xdr:to>
    <xdr:sp macro="" textlink="">
      <xdr:nvSpPr>
        <xdr:cNvPr id="4" name="TextBox 3">
          <a:extLst>
            <a:ext uri="{FF2B5EF4-FFF2-40B4-BE49-F238E27FC236}">
              <a16:creationId xmlns:a16="http://schemas.microsoft.com/office/drawing/2014/main" id="{88518CB5-43E1-40FB-B68A-594103258C95}"/>
            </a:ext>
          </a:extLst>
        </xdr:cNvPr>
        <xdr:cNvSpPr txBox="1"/>
      </xdr:nvSpPr>
      <xdr:spPr>
        <a:xfrm>
          <a:off x="7160638" y="702553"/>
          <a:ext cx="4485532" cy="3654628"/>
        </a:xfrm>
        <a:prstGeom prst="rect">
          <a:avLst/>
        </a:prstGeom>
        <a:solidFill>
          <a:schemeClr val="accent1">
            <a:lumMod val="20000"/>
            <a:lumOff val="80000"/>
          </a:schemeClr>
        </a:solidFill>
        <a:ln w="9525"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solidFill>
                <a:schemeClr val="accent1">
                  <a:lumMod val="50000"/>
                </a:schemeClr>
              </a:solidFill>
            </a:rPr>
            <a:t>Key Insights</a:t>
          </a:r>
        </a:p>
        <a:p>
          <a:pPr algn="l"/>
          <a:r>
            <a:rPr lang="en-IN" sz="1600">
              <a:solidFill>
                <a:schemeClr val="dk1"/>
              </a:solidFill>
              <a:effectLst/>
              <a:latin typeface="+mn-lt"/>
              <a:ea typeface="+mn-ea"/>
              <a:cs typeface="+mn-cs"/>
            </a:rPr>
            <a:t>•</a:t>
          </a:r>
          <a:r>
            <a:rPr lang="en-IN" sz="1200">
              <a:solidFill>
                <a:schemeClr val="dk1"/>
              </a:solidFill>
              <a:effectLst/>
              <a:latin typeface="+mn-lt"/>
              <a:ea typeface="+mn-ea"/>
              <a:cs typeface="+mn-cs"/>
            </a:rPr>
            <a:t> </a:t>
          </a:r>
          <a:r>
            <a:rPr lang="en-IN" sz="1600"/>
            <a:t>Data Analytics is the top performing course by    enrollments</a:t>
          </a:r>
          <a:br>
            <a:rPr lang="en-IN" sz="1600"/>
          </a:br>
          <a:r>
            <a:rPr lang="en-IN" sz="1600"/>
            <a:t>• Meera has the highest trainer satisfaction score</a:t>
          </a:r>
          <a:br>
            <a:rPr lang="en-IN" sz="1600"/>
          </a:br>
          <a:r>
            <a:rPr lang="en-IN" sz="1600"/>
            <a:t>• Chennai contributes significantly to student enrollments</a:t>
          </a:r>
          <a:br>
            <a:rPr lang="en-IN" sz="1600"/>
          </a:br>
          <a:r>
            <a:rPr lang="en-IN" sz="1600"/>
            <a:t>• Marketing channels like Google Ads and Affiliates drive major leads</a:t>
          </a:r>
          <a:br>
            <a:rPr lang="en-IN" sz="1600"/>
          </a:br>
          <a:r>
            <a:rPr lang="en-IN" sz="1600"/>
            <a:t>• Data Analytics initially had no trainer assigned in the dataset</a:t>
          </a:r>
          <a:endParaRPr lang="en-IN" sz="1600" b="1">
            <a:solidFill>
              <a:schemeClr val="accent1">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Arvind" refreshedDate="46097.878054398148" missingItemsLimit="0" createdVersion="7" refreshedVersion="7" minRefreshableVersion="3" recordCount="1201">
  <cacheSource type="worksheet">
    <worksheetSource ref="A1:J1048576" sheet="Cleaned enrollment data"/>
  </cacheSource>
  <cacheFields count="10">
    <cacheField name="Enrollment_ID" numFmtId="0">
      <sharedItems containsString="0" containsBlank="1" containsNumber="1" containsInteger="1" minValue="2001" maxValue="3200"/>
    </cacheField>
    <cacheField name="Student_Name" numFmtId="0">
      <sharedItems containsBlank="1"/>
    </cacheField>
    <cacheField name="City" numFmtId="0">
      <sharedItems containsBlank="1" count="8">
        <s v="Kolkata"/>
        <s v="Mumbai"/>
        <s v="Delhi"/>
        <s v="Chennai"/>
        <s v="Bangalore"/>
        <s v="Pune"/>
        <s v="Hyderabad"/>
        <m/>
      </sharedItems>
    </cacheField>
    <cacheField name="Course" numFmtId="0">
      <sharedItems containsBlank="1" count="7">
        <s v="Business Analytics"/>
        <s v="Data Science"/>
        <s v="Power BI"/>
        <s v="AI &amp; ML"/>
        <s v="Python Full Stack"/>
        <s v="Data Analytics"/>
        <m/>
      </sharedItems>
    </cacheField>
    <cacheField name="Enrollment_Date" numFmtId="0">
      <sharedItems containsString="0" containsBlank="1" containsNumber="1" containsInteger="1" minValue="45658" maxValue="46022"/>
    </cacheField>
    <cacheField name="Course_Fee" numFmtId="0">
      <sharedItems containsString="0" containsBlank="1" containsNumber="1" containsInteger="1" minValue="20082" maxValue="59954"/>
    </cacheField>
    <cacheField name="Amount_Paid" numFmtId="0">
      <sharedItems containsString="0" containsBlank="1" containsNumber="1" containsInteger="1" minValue="5424" maxValue="59549"/>
    </cacheField>
    <cacheField name="Month" numFmtId="0">
      <sharedItems containsBlank="1"/>
    </cacheField>
    <cacheField name="Payment Status" numFmtId="0">
      <sharedItems containsBlank="1"/>
    </cacheField>
    <cacheField name="High val Student Flag" numFmtId="0">
      <sharedItems containsBlank="1"/>
    </cacheField>
  </cacheFields>
  <extLst>
    <ext xmlns:x14="http://schemas.microsoft.com/office/spreadsheetml/2009/9/main" uri="{725AE2AE-9491-48be-B2B4-4EB974FC3084}">
      <x14:pivotCacheDefinition pivotCacheId="1573148387"/>
    </ext>
  </extLst>
</pivotCacheDefinition>
</file>

<file path=xl/pivotCache/pivotCacheDefinition2.xml><?xml version="1.0" encoding="utf-8"?>
<pivotCacheDefinition xmlns="http://schemas.openxmlformats.org/spreadsheetml/2006/main" xmlns:r="http://schemas.openxmlformats.org/officeDocument/2006/relationships" r:id="rId1" refreshedBy="Arvind" refreshedDate="46097.878055208334" createdVersion="7" refreshedVersion="7" minRefreshableVersion="3" recordCount="1200">
  <cacheSource type="worksheet">
    <worksheetSource ref="A1:H1201" sheet="Enrollments"/>
  </cacheSource>
  <cacheFields count="8">
    <cacheField name="Enrollment_ID" numFmtId="0">
      <sharedItems containsSemiMixedTypes="0" containsString="0" containsNumber="1" containsInteger="1" minValue="2001" maxValue="3200"/>
    </cacheField>
    <cacheField name="Student_Name" numFmtId="0">
      <sharedItems/>
    </cacheField>
    <cacheField name="City" numFmtId="0">
      <sharedItems/>
    </cacheField>
    <cacheField name="Course" numFmtId="0">
      <sharedItems count="6">
        <s v="Business Analytics"/>
        <s v="Data Science"/>
        <s v="Power BI"/>
        <s v="AI &amp; ML"/>
        <s v="Python Full Stack"/>
        <s v="Data Analytics"/>
      </sharedItems>
    </cacheField>
    <cacheField name="Enrollment_Date" numFmtId="14">
      <sharedItems containsSemiMixedTypes="0" containsNonDate="0" containsDate="1" containsString="0" minDate="2025-01-01T00:00:00" maxDate="2026-01-01T00:00:00"/>
    </cacheField>
    <cacheField name="Course_Fee" numFmtId="0">
      <sharedItems containsSemiMixedTypes="0" containsString="0" containsNumber="1" containsInteger="1" minValue="20082" maxValue="59954"/>
    </cacheField>
    <cacheField name="Amount_Paid" numFmtId="0">
      <sharedItems containsSemiMixedTypes="0" containsString="0" containsNumber="1" containsInteger="1" minValue="5424" maxValue="59549"/>
    </cacheField>
    <cacheField name="Month"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rvind" refreshedDate="46097.878055787034" createdVersion="7" refreshedVersion="7" minRefreshableVersion="3" recordCount="72">
  <cacheSource type="worksheet">
    <worksheetSource ref="A1:D73" sheet="Cleaned Marketing data"/>
  </cacheSource>
  <cacheFields count="4">
    <cacheField name="Month" numFmtId="0">
      <sharedItems/>
    </cacheField>
    <cacheField name="Channel" numFmtId="0">
      <sharedItems count="6">
        <s v="YouTube"/>
        <s v="Google Ads"/>
        <s v="Instagram"/>
        <s v="Affiliates"/>
        <s v="Email"/>
        <s v="LinkedIn"/>
      </sharedItems>
    </cacheField>
    <cacheField name="Spend" numFmtId="2">
      <sharedItems containsSemiMixedTypes="0" containsString="0" containsNumber="1" containsInteger="1" minValue="76881" maxValue="349892"/>
    </cacheField>
    <cacheField name="Leads_Generated" numFmtId="0">
      <sharedItems containsSemiMixedTypes="0" containsString="0" containsNumber="1" containsInteger="1" minValue="433" maxValue="1974"/>
    </cacheField>
  </cacheFields>
  <extLst>
    <ext xmlns:x14="http://schemas.microsoft.com/office/spreadsheetml/2009/9/main" uri="{725AE2AE-9491-48be-B2B4-4EB974FC3084}">
      <x14:pivotCacheDefinition pivotCacheId="806532661"/>
    </ext>
  </extLst>
</pivotCacheDefinition>
</file>

<file path=xl/pivotCache/pivotCacheDefinition4.xml><?xml version="1.0" encoding="utf-8"?>
<pivotCacheDefinition xmlns="http://schemas.openxmlformats.org/spreadsheetml/2006/main" xmlns:r="http://schemas.openxmlformats.org/officeDocument/2006/relationships" r:id="rId1" refreshedBy="Arvind" refreshedDate="46097.878056250003" createdVersion="7" refreshedVersion="7" minRefreshableVersion="3" recordCount="12">
  <cacheSource type="worksheet">
    <worksheetSource ref="A1:C13" sheet="Cleaned Revenue data"/>
  </cacheSource>
  <cacheFields count="3">
    <cacheField name="Month" numFmtId="0">
      <sharedItems count="12">
        <s v="2025-01"/>
        <s v="2025-02"/>
        <s v="2025-03"/>
        <s v="2025-04"/>
        <s v="2025-05"/>
        <s v="2025-06"/>
        <s v="2025-07"/>
        <s v="2025-08"/>
        <s v="2025-09"/>
        <s v="2025-10"/>
        <s v="2025-11"/>
        <s v="2025-12"/>
      </sharedItems>
    </cacheField>
    <cacheField name="Total_Enrollments" numFmtId="0">
      <sharedItems containsSemiMixedTypes="0" containsString="0" containsNumber="1" containsInteger="1" minValue="83" maxValue="121"/>
    </cacheField>
    <cacheField name="Total_Revenue" numFmtId="2">
      <sharedItems containsSemiMixedTypes="0" containsString="0" containsNumber="1" containsInteger="1" minValue="2480854" maxValue="4034138"/>
    </cacheField>
  </cacheFields>
  <extLst>
    <ext xmlns:x14="http://schemas.microsoft.com/office/spreadsheetml/2009/9/main" uri="{725AE2AE-9491-48be-B2B4-4EB974FC3084}">
      <x14:pivotCacheDefinition pivotCacheId="893821250"/>
    </ext>
  </extLst>
</pivotCacheDefinition>
</file>

<file path=xl/pivotCache/pivotCacheRecords1.xml><?xml version="1.0" encoding="utf-8"?>
<pivotCacheRecords xmlns="http://schemas.openxmlformats.org/spreadsheetml/2006/main" xmlns:r="http://schemas.openxmlformats.org/officeDocument/2006/relationships" count="1201">
  <r>
    <n v="2001"/>
    <s v="Student_0"/>
    <x v="0"/>
    <x v="0"/>
    <n v="45759"/>
    <n v="42190"/>
    <n v="37756"/>
    <s v="2025-04"/>
    <s v="Partially Paid"/>
    <s v="NO"/>
  </r>
  <r>
    <n v="2002"/>
    <s v="Student_1"/>
    <x v="1"/>
    <x v="1"/>
    <n v="45676"/>
    <n v="21875"/>
    <n v="21217"/>
    <s v="2025-01"/>
    <s v="Partially Paid"/>
    <s v="NO"/>
  </r>
  <r>
    <n v="2003"/>
    <s v="Student_2"/>
    <x v="2"/>
    <x v="2"/>
    <n v="45739"/>
    <n v="43377"/>
    <n v="38320"/>
    <s v="2025-03"/>
    <s v="Partially Paid"/>
    <s v="NO"/>
  </r>
  <r>
    <n v="2004"/>
    <s v="Student_3"/>
    <x v="0"/>
    <x v="3"/>
    <n v="45936"/>
    <n v="24033"/>
    <n v="20025"/>
    <s v="2025-10"/>
    <s v="Partially Paid"/>
    <s v="NO"/>
  </r>
  <r>
    <n v="2005"/>
    <s v="Student_4"/>
    <x v="3"/>
    <x v="2"/>
    <n v="45996"/>
    <n v="58211"/>
    <n v="45495"/>
    <s v="2025-12"/>
    <s v="Partially Paid"/>
    <s v="YES"/>
  </r>
  <r>
    <n v="2006"/>
    <s v="Student_5"/>
    <x v="2"/>
    <x v="4"/>
    <n v="46022"/>
    <n v="37373"/>
    <n v="32379"/>
    <s v="2025-12"/>
    <s v="Partially Paid"/>
    <s v="NO"/>
  </r>
  <r>
    <n v="2007"/>
    <s v="Student_6"/>
    <x v="2"/>
    <x v="0"/>
    <n v="45988"/>
    <n v="23744"/>
    <n v="19510"/>
    <s v="2025-11"/>
    <s v="Partially Paid"/>
    <s v="NO"/>
  </r>
  <r>
    <n v="2008"/>
    <s v="Student_7"/>
    <x v="0"/>
    <x v="4"/>
    <n v="45786"/>
    <n v="44995"/>
    <n v="41231"/>
    <s v="2025-05"/>
    <s v="Partially Paid"/>
    <s v="NO"/>
  </r>
  <r>
    <n v="2009"/>
    <s v="Student_8"/>
    <x v="4"/>
    <x v="3"/>
    <n v="46001"/>
    <n v="36977"/>
    <n v="25796"/>
    <s v="2025-12"/>
    <s v="Partially Paid"/>
    <s v="NO"/>
  </r>
  <r>
    <n v="2010"/>
    <s v="Student_9"/>
    <x v="3"/>
    <x v="1"/>
    <n v="45967"/>
    <n v="52402"/>
    <n v="47765"/>
    <s v="2025-11"/>
    <s v="Partially Paid"/>
    <s v="YES"/>
  </r>
  <r>
    <n v="2011"/>
    <s v="Student_10"/>
    <x v="0"/>
    <x v="3"/>
    <n v="45746"/>
    <n v="54542"/>
    <n v="52438"/>
    <s v="2025-03"/>
    <s v="Partially Paid"/>
    <s v="YES"/>
  </r>
  <r>
    <n v="2012"/>
    <s v="Student_11"/>
    <x v="3"/>
    <x v="5"/>
    <n v="45870"/>
    <n v="30651"/>
    <n v="21204"/>
    <s v="2025-08"/>
    <s v="Partially Paid"/>
    <s v="NO"/>
  </r>
  <r>
    <n v="2013"/>
    <s v="Student_12"/>
    <x v="3"/>
    <x v="3"/>
    <n v="45800"/>
    <n v="53703"/>
    <n v="46902"/>
    <s v="2025-05"/>
    <s v="Partially Paid"/>
    <s v="YES"/>
  </r>
  <r>
    <n v="2014"/>
    <s v="Student_13"/>
    <x v="2"/>
    <x v="5"/>
    <n v="45722"/>
    <n v="33395"/>
    <n v="22721"/>
    <s v="2025-03"/>
    <s v="Partially Paid"/>
    <s v="NO"/>
  </r>
  <r>
    <n v="2015"/>
    <s v="Student_14"/>
    <x v="1"/>
    <x v="3"/>
    <n v="45733"/>
    <n v="49808"/>
    <n v="41233"/>
    <s v="2025-03"/>
    <s v="Partially Paid"/>
    <s v="NO"/>
  </r>
  <r>
    <n v="2016"/>
    <s v="Student_15"/>
    <x v="3"/>
    <x v="5"/>
    <n v="45856"/>
    <n v="56576"/>
    <n v="53969"/>
    <s v="2025-07"/>
    <s v="Partially Paid"/>
    <s v="YES"/>
  </r>
  <r>
    <n v="2017"/>
    <s v="Student_16"/>
    <x v="5"/>
    <x v="0"/>
    <n v="45800"/>
    <n v="36715"/>
    <n v="28330"/>
    <s v="2025-05"/>
    <s v="Partially Paid"/>
    <s v="NO"/>
  </r>
  <r>
    <n v="2018"/>
    <s v="Student_17"/>
    <x v="2"/>
    <x v="4"/>
    <n v="45973"/>
    <n v="44306"/>
    <n v="32307"/>
    <s v="2025-11"/>
    <s v="Partially Paid"/>
    <s v="NO"/>
  </r>
  <r>
    <n v="2019"/>
    <s v="Student_18"/>
    <x v="4"/>
    <x v="4"/>
    <n v="45750"/>
    <n v="39086"/>
    <n v="35367"/>
    <s v="2025-04"/>
    <s v="Partially Paid"/>
    <s v="NO"/>
  </r>
  <r>
    <n v="2020"/>
    <s v="Student_19"/>
    <x v="1"/>
    <x v="2"/>
    <n v="45962"/>
    <n v="34376"/>
    <n v="31795"/>
    <s v="2025-11"/>
    <s v="Partially Paid"/>
    <s v="NO"/>
  </r>
  <r>
    <n v="2021"/>
    <s v="Student_20"/>
    <x v="5"/>
    <x v="4"/>
    <n v="45881"/>
    <n v="25889"/>
    <n v="23324"/>
    <s v="2025-08"/>
    <s v="Partially Paid"/>
    <s v="NO"/>
  </r>
  <r>
    <n v="2022"/>
    <s v="Student_21"/>
    <x v="5"/>
    <x v="1"/>
    <n v="45948"/>
    <n v="57822"/>
    <n v="55059"/>
    <s v="2025-10"/>
    <s v="Partially Paid"/>
    <s v="YES"/>
  </r>
  <r>
    <n v="2023"/>
    <s v="Student_22"/>
    <x v="4"/>
    <x v="3"/>
    <n v="45759"/>
    <n v="56636"/>
    <n v="45646"/>
    <s v="2025-04"/>
    <s v="Partially Paid"/>
    <s v="YES"/>
  </r>
  <r>
    <n v="2024"/>
    <s v="Student_23"/>
    <x v="1"/>
    <x v="2"/>
    <n v="45924"/>
    <n v="40584"/>
    <n v="34256"/>
    <s v="2025-09"/>
    <s v="Partially Paid"/>
    <s v="NO"/>
  </r>
  <r>
    <n v="2025"/>
    <s v="Student_24"/>
    <x v="2"/>
    <x v="1"/>
    <n v="46012"/>
    <n v="54610"/>
    <n v="48619"/>
    <s v="2025-12"/>
    <s v="Partially Paid"/>
    <s v="YES"/>
  </r>
  <r>
    <n v="2026"/>
    <s v="Student_25"/>
    <x v="6"/>
    <x v="1"/>
    <n v="45767"/>
    <n v="30058"/>
    <n v="19527"/>
    <s v="2025-04"/>
    <s v="Partially Paid"/>
    <s v="NO"/>
  </r>
  <r>
    <n v="2027"/>
    <s v="Student_26"/>
    <x v="1"/>
    <x v="5"/>
    <n v="45987"/>
    <n v="29101"/>
    <n v="25695"/>
    <s v="2025-11"/>
    <s v="Partially Paid"/>
    <s v="NO"/>
  </r>
  <r>
    <n v="2028"/>
    <s v="Student_27"/>
    <x v="4"/>
    <x v="4"/>
    <n v="45922"/>
    <n v="32497"/>
    <n v="23574"/>
    <s v="2025-09"/>
    <s v="Partially Paid"/>
    <s v="NO"/>
  </r>
  <r>
    <n v="2029"/>
    <s v="Student_28"/>
    <x v="5"/>
    <x v="0"/>
    <n v="45660"/>
    <n v="24658"/>
    <n v="10207"/>
    <s v="2025-01"/>
    <s v="Partially Paid"/>
    <s v="NO"/>
  </r>
  <r>
    <n v="2030"/>
    <s v="Student_29"/>
    <x v="2"/>
    <x v="0"/>
    <n v="45742"/>
    <n v="31381"/>
    <n v="20317"/>
    <s v="2025-03"/>
    <s v="Partially Paid"/>
    <s v="NO"/>
  </r>
  <r>
    <n v="2031"/>
    <s v="Student_30"/>
    <x v="1"/>
    <x v="2"/>
    <n v="45939"/>
    <n v="37154"/>
    <n v="25842"/>
    <s v="2025-10"/>
    <s v="Partially Paid"/>
    <s v="NO"/>
  </r>
  <r>
    <n v="2032"/>
    <s v="Student_31"/>
    <x v="6"/>
    <x v="0"/>
    <n v="45985"/>
    <n v="39539"/>
    <n v="34759"/>
    <s v="2025-11"/>
    <s v="Partially Paid"/>
    <s v="NO"/>
  </r>
  <r>
    <n v="2033"/>
    <s v="Student_32"/>
    <x v="6"/>
    <x v="3"/>
    <n v="45961"/>
    <n v="31777"/>
    <n v="27600"/>
    <s v="2025-10"/>
    <s v="Partially Paid"/>
    <s v="NO"/>
  </r>
  <r>
    <n v="2034"/>
    <s v="Student_33"/>
    <x v="3"/>
    <x v="0"/>
    <n v="45774"/>
    <n v="54396"/>
    <n v="47920"/>
    <s v="2025-04"/>
    <s v="Partially Paid"/>
    <s v="YES"/>
  </r>
  <r>
    <n v="2035"/>
    <s v="Student_34"/>
    <x v="3"/>
    <x v="2"/>
    <n v="45878"/>
    <n v="50373"/>
    <n v="47769"/>
    <s v="2025-08"/>
    <s v="Partially Paid"/>
    <s v="YES"/>
  </r>
  <r>
    <n v="2036"/>
    <s v="Student_35"/>
    <x v="0"/>
    <x v="0"/>
    <n v="45811"/>
    <n v="53154"/>
    <n v="44973"/>
    <s v="2025-06"/>
    <s v="Partially Paid"/>
    <s v="YES"/>
  </r>
  <r>
    <n v="2037"/>
    <s v="Student_36"/>
    <x v="4"/>
    <x v="3"/>
    <n v="45810"/>
    <n v="26031"/>
    <n v="23649"/>
    <s v="2025-06"/>
    <s v="Partially Paid"/>
    <s v="NO"/>
  </r>
  <r>
    <n v="2038"/>
    <s v="Student_37"/>
    <x v="1"/>
    <x v="5"/>
    <n v="45669"/>
    <n v="47997"/>
    <n v="47466"/>
    <s v="2025-01"/>
    <s v="Partially Paid"/>
    <s v="NO"/>
  </r>
  <r>
    <n v="2039"/>
    <s v="Student_38"/>
    <x v="1"/>
    <x v="2"/>
    <n v="45790"/>
    <n v="26439"/>
    <n v="20360"/>
    <s v="2025-05"/>
    <s v="Partially Paid"/>
    <s v="NO"/>
  </r>
  <r>
    <n v="2040"/>
    <s v="Student_39"/>
    <x v="0"/>
    <x v="5"/>
    <n v="45961"/>
    <n v="42785"/>
    <n v="30277"/>
    <s v="2025-10"/>
    <s v="Partially Paid"/>
    <s v="NO"/>
  </r>
  <r>
    <n v="2041"/>
    <s v="Student_40"/>
    <x v="5"/>
    <x v="5"/>
    <n v="45950"/>
    <n v="33392"/>
    <n v="32758"/>
    <s v="2025-10"/>
    <s v="Partially Paid"/>
    <s v="NO"/>
  </r>
  <r>
    <n v="2042"/>
    <s v="Student_41"/>
    <x v="5"/>
    <x v="5"/>
    <n v="45957"/>
    <n v="48669"/>
    <n v="38708"/>
    <s v="2025-10"/>
    <s v="Partially Paid"/>
    <s v="NO"/>
  </r>
  <r>
    <n v="2043"/>
    <s v="Student_42"/>
    <x v="0"/>
    <x v="1"/>
    <n v="45885"/>
    <n v="48939"/>
    <n v="36943"/>
    <s v="2025-08"/>
    <s v="Partially Paid"/>
    <s v="NO"/>
  </r>
  <r>
    <n v="2044"/>
    <s v="Student_43"/>
    <x v="5"/>
    <x v="4"/>
    <n v="45928"/>
    <n v="22282"/>
    <n v="11720"/>
    <s v="2025-09"/>
    <s v="Partially Paid"/>
    <s v="NO"/>
  </r>
  <r>
    <n v="2045"/>
    <s v="Student_44"/>
    <x v="3"/>
    <x v="1"/>
    <n v="45700"/>
    <n v="54624"/>
    <n v="40462"/>
    <s v="2025-02"/>
    <s v="Partially Paid"/>
    <s v="YES"/>
  </r>
  <r>
    <n v="2046"/>
    <s v="Student_45"/>
    <x v="1"/>
    <x v="4"/>
    <n v="46000"/>
    <n v="44364"/>
    <n v="44362"/>
    <s v="2025-12"/>
    <s v="Partially Paid"/>
    <s v="NO"/>
  </r>
  <r>
    <n v="2047"/>
    <s v="Student_46"/>
    <x v="0"/>
    <x v="5"/>
    <n v="45983"/>
    <n v="21998"/>
    <n v="7993"/>
    <s v="2025-11"/>
    <s v="Partially Paid"/>
    <s v="NO"/>
  </r>
  <r>
    <n v="2048"/>
    <s v="Student_47"/>
    <x v="1"/>
    <x v="2"/>
    <n v="45959"/>
    <n v="51705"/>
    <n v="43308"/>
    <s v="2025-10"/>
    <s v="Partially Paid"/>
    <s v="YES"/>
  </r>
  <r>
    <n v="2049"/>
    <s v="Student_48"/>
    <x v="6"/>
    <x v="4"/>
    <n v="46021"/>
    <n v="58244"/>
    <n v="52293"/>
    <s v="2025-12"/>
    <s v="Partially Paid"/>
    <s v="YES"/>
  </r>
  <r>
    <n v="2050"/>
    <s v="Student_49"/>
    <x v="3"/>
    <x v="3"/>
    <n v="45678"/>
    <n v="29428"/>
    <n v="17101"/>
    <s v="2025-01"/>
    <s v="Partially Paid"/>
    <s v="NO"/>
  </r>
  <r>
    <n v="2051"/>
    <s v="Student_50"/>
    <x v="2"/>
    <x v="3"/>
    <n v="45764"/>
    <n v="57437"/>
    <n v="43043"/>
    <s v="2025-04"/>
    <s v="Partially Paid"/>
    <s v="YES"/>
  </r>
  <r>
    <n v="2052"/>
    <s v="Student_51"/>
    <x v="3"/>
    <x v="0"/>
    <n v="45993"/>
    <n v="32336"/>
    <n v="21523"/>
    <s v="2025-12"/>
    <s v="Partially Paid"/>
    <s v="NO"/>
  </r>
  <r>
    <n v="2053"/>
    <s v="Student_52"/>
    <x v="0"/>
    <x v="4"/>
    <n v="45960"/>
    <n v="29342"/>
    <n v="16411"/>
    <s v="2025-10"/>
    <s v="Partially Paid"/>
    <s v="NO"/>
  </r>
  <r>
    <n v="2054"/>
    <s v="Student_53"/>
    <x v="2"/>
    <x v="2"/>
    <n v="45774"/>
    <n v="59832"/>
    <n v="54206"/>
    <s v="2025-04"/>
    <s v="Partially Paid"/>
    <s v="YES"/>
  </r>
  <r>
    <n v="2055"/>
    <s v="Student_54"/>
    <x v="6"/>
    <x v="1"/>
    <n v="45781"/>
    <n v="27446"/>
    <n v="19707"/>
    <s v="2025-05"/>
    <s v="Partially Paid"/>
    <s v="NO"/>
  </r>
  <r>
    <n v="2056"/>
    <s v="Student_55"/>
    <x v="0"/>
    <x v="5"/>
    <n v="45938"/>
    <n v="58392"/>
    <n v="52389"/>
    <s v="2025-10"/>
    <s v="Partially Paid"/>
    <s v="YES"/>
  </r>
  <r>
    <n v="2057"/>
    <s v="Student_56"/>
    <x v="4"/>
    <x v="0"/>
    <n v="45949"/>
    <n v="27461"/>
    <n v="24571"/>
    <s v="2025-10"/>
    <s v="Partially Paid"/>
    <s v="NO"/>
  </r>
  <r>
    <n v="2058"/>
    <s v="Student_57"/>
    <x v="1"/>
    <x v="3"/>
    <n v="45860"/>
    <n v="54587"/>
    <n v="43202"/>
    <s v="2025-07"/>
    <s v="Partially Paid"/>
    <s v="YES"/>
  </r>
  <r>
    <n v="2059"/>
    <s v="Student_58"/>
    <x v="6"/>
    <x v="1"/>
    <n v="45708"/>
    <n v="30516"/>
    <n v="19658"/>
    <s v="2025-02"/>
    <s v="Partially Paid"/>
    <s v="NO"/>
  </r>
  <r>
    <n v="2060"/>
    <s v="Student_59"/>
    <x v="1"/>
    <x v="1"/>
    <n v="45928"/>
    <n v="33749"/>
    <n v="27510"/>
    <s v="2025-09"/>
    <s v="Partially Paid"/>
    <s v="NO"/>
  </r>
  <r>
    <n v="2061"/>
    <s v="Student_60"/>
    <x v="5"/>
    <x v="5"/>
    <n v="45981"/>
    <n v="37514"/>
    <n v="29488"/>
    <s v="2025-11"/>
    <s v="Partially Paid"/>
    <s v="NO"/>
  </r>
  <r>
    <n v="2062"/>
    <s v="Student_61"/>
    <x v="4"/>
    <x v="4"/>
    <n v="45934"/>
    <n v="55426"/>
    <n v="52120"/>
    <s v="2025-10"/>
    <s v="Partially Paid"/>
    <s v="YES"/>
  </r>
  <r>
    <n v="2063"/>
    <s v="Student_62"/>
    <x v="4"/>
    <x v="3"/>
    <n v="45798"/>
    <n v="56268"/>
    <n v="55371"/>
    <s v="2025-05"/>
    <s v="Partially Paid"/>
    <s v="YES"/>
  </r>
  <r>
    <n v="2064"/>
    <s v="Student_63"/>
    <x v="6"/>
    <x v="2"/>
    <n v="45932"/>
    <n v="44950"/>
    <n v="35673"/>
    <s v="2025-10"/>
    <s v="Partially Paid"/>
    <s v="NO"/>
  </r>
  <r>
    <n v="2065"/>
    <s v="Student_64"/>
    <x v="4"/>
    <x v="1"/>
    <n v="45947"/>
    <n v="54888"/>
    <n v="45417"/>
    <s v="2025-10"/>
    <s v="Partially Paid"/>
    <s v="YES"/>
  </r>
  <r>
    <n v="2066"/>
    <s v="Student_65"/>
    <x v="2"/>
    <x v="5"/>
    <n v="45991"/>
    <n v="56788"/>
    <n v="41892"/>
    <s v="2025-11"/>
    <s v="Partially Paid"/>
    <s v="YES"/>
  </r>
  <r>
    <n v="2067"/>
    <s v="Student_66"/>
    <x v="4"/>
    <x v="2"/>
    <n v="45709"/>
    <n v="30213"/>
    <n v="15530"/>
    <s v="2025-02"/>
    <s v="Partially Paid"/>
    <s v="NO"/>
  </r>
  <r>
    <n v="2068"/>
    <s v="Student_67"/>
    <x v="1"/>
    <x v="4"/>
    <n v="45684"/>
    <n v="56027"/>
    <n v="55357"/>
    <s v="2025-01"/>
    <s v="Partially Paid"/>
    <s v="YES"/>
  </r>
  <r>
    <n v="2069"/>
    <s v="Student_68"/>
    <x v="1"/>
    <x v="3"/>
    <n v="45814"/>
    <n v="48011"/>
    <n v="40720"/>
    <s v="2025-06"/>
    <s v="Partially Paid"/>
    <s v="NO"/>
  </r>
  <r>
    <n v="2070"/>
    <s v="Student_69"/>
    <x v="0"/>
    <x v="4"/>
    <n v="45896"/>
    <n v="54591"/>
    <n v="53086"/>
    <s v="2025-08"/>
    <s v="Partially Paid"/>
    <s v="YES"/>
  </r>
  <r>
    <n v="2071"/>
    <s v="Student_70"/>
    <x v="1"/>
    <x v="1"/>
    <n v="45813"/>
    <n v="37858"/>
    <n v="31398"/>
    <s v="2025-06"/>
    <s v="Partially Paid"/>
    <s v="NO"/>
  </r>
  <r>
    <n v="2072"/>
    <s v="Student_71"/>
    <x v="0"/>
    <x v="2"/>
    <n v="45948"/>
    <n v="38626"/>
    <n v="26859"/>
    <s v="2025-10"/>
    <s v="Partially Paid"/>
    <s v="NO"/>
  </r>
  <r>
    <n v="2073"/>
    <s v="Student_72"/>
    <x v="1"/>
    <x v="2"/>
    <n v="45793"/>
    <n v="33467"/>
    <n v="20461"/>
    <s v="2025-05"/>
    <s v="Partially Paid"/>
    <s v="NO"/>
  </r>
  <r>
    <n v="2074"/>
    <s v="Student_73"/>
    <x v="2"/>
    <x v="2"/>
    <n v="45801"/>
    <n v="59758"/>
    <n v="54591"/>
    <s v="2025-05"/>
    <s v="Partially Paid"/>
    <s v="YES"/>
  </r>
  <r>
    <n v="2075"/>
    <s v="Student_74"/>
    <x v="0"/>
    <x v="1"/>
    <n v="45763"/>
    <n v="23134"/>
    <n v="12987"/>
    <s v="2025-04"/>
    <s v="Partially Paid"/>
    <s v="NO"/>
  </r>
  <r>
    <n v="2076"/>
    <s v="Student_75"/>
    <x v="3"/>
    <x v="1"/>
    <n v="45815"/>
    <n v="36743"/>
    <n v="31488"/>
    <s v="2025-06"/>
    <s v="Partially Paid"/>
    <s v="NO"/>
  </r>
  <r>
    <n v="2077"/>
    <s v="Student_76"/>
    <x v="5"/>
    <x v="4"/>
    <n v="45803"/>
    <n v="35434"/>
    <n v="35185"/>
    <s v="2025-05"/>
    <s v="Partially Paid"/>
    <s v="NO"/>
  </r>
  <r>
    <n v="2078"/>
    <s v="Student_77"/>
    <x v="6"/>
    <x v="0"/>
    <n v="45659"/>
    <n v="30233"/>
    <n v="23776"/>
    <s v="2025-01"/>
    <s v="Partially Paid"/>
    <s v="NO"/>
  </r>
  <r>
    <n v="2079"/>
    <s v="Student_78"/>
    <x v="1"/>
    <x v="4"/>
    <n v="45734"/>
    <n v="21141"/>
    <n v="19249"/>
    <s v="2025-03"/>
    <s v="Partially Paid"/>
    <s v="NO"/>
  </r>
  <r>
    <n v="2080"/>
    <s v="Student_79"/>
    <x v="4"/>
    <x v="3"/>
    <n v="45789"/>
    <n v="38019"/>
    <n v="34580"/>
    <s v="2025-05"/>
    <s v="Partially Paid"/>
    <s v="NO"/>
  </r>
  <r>
    <n v="2081"/>
    <s v="Student_80"/>
    <x v="1"/>
    <x v="5"/>
    <n v="45747"/>
    <n v="40384"/>
    <n v="30339"/>
    <s v="2025-03"/>
    <s v="Partially Paid"/>
    <s v="NO"/>
  </r>
  <r>
    <n v="2082"/>
    <s v="Student_81"/>
    <x v="4"/>
    <x v="2"/>
    <n v="46002"/>
    <n v="56129"/>
    <n v="53275"/>
    <s v="2025-12"/>
    <s v="Partially Paid"/>
    <s v="YES"/>
  </r>
  <r>
    <n v="2083"/>
    <s v="Student_82"/>
    <x v="5"/>
    <x v="0"/>
    <n v="46007"/>
    <n v="42967"/>
    <n v="33272"/>
    <s v="2025-12"/>
    <s v="Partially Paid"/>
    <s v="NO"/>
  </r>
  <r>
    <n v="2084"/>
    <s v="Student_83"/>
    <x v="5"/>
    <x v="5"/>
    <n v="45920"/>
    <n v="31172"/>
    <n v="19595"/>
    <s v="2025-09"/>
    <s v="Partially Paid"/>
    <s v="NO"/>
  </r>
  <r>
    <n v="2085"/>
    <s v="Student_84"/>
    <x v="5"/>
    <x v="0"/>
    <n v="46008"/>
    <n v="36390"/>
    <n v="24627"/>
    <s v="2025-12"/>
    <s v="Partially Paid"/>
    <s v="NO"/>
  </r>
  <r>
    <n v="2086"/>
    <s v="Student_85"/>
    <x v="4"/>
    <x v="4"/>
    <n v="45765"/>
    <n v="23267"/>
    <n v="19475"/>
    <s v="2025-04"/>
    <s v="Partially Paid"/>
    <s v="NO"/>
  </r>
  <r>
    <n v="2087"/>
    <s v="Student_86"/>
    <x v="1"/>
    <x v="1"/>
    <n v="45731"/>
    <n v="59332"/>
    <n v="47714"/>
    <s v="2025-03"/>
    <s v="Partially Paid"/>
    <s v="YES"/>
  </r>
  <r>
    <n v="2088"/>
    <s v="Student_87"/>
    <x v="5"/>
    <x v="2"/>
    <n v="45696"/>
    <n v="46167"/>
    <n v="31347"/>
    <s v="2025-02"/>
    <s v="Partially Paid"/>
    <s v="NO"/>
  </r>
  <r>
    <n v="2089"/>
    <s v="Student_88"/>
    <x v="2"/>
    <x v="4"/>
    <n v="45816"/>
    <n v="41312"/>
    <n v="35982"/>
    <s v="2025-06"/>
    <s v="Partially Paid"/>
    <s v="NO"/>
  </r>
  <r>
    <n v="2090"/>
    <s v="Student_89"/>
    <x v="0"/>
    <x v="5"/>
    <n v="45728"/>
    <n v="47840"/>
    <n v="39969"/>
    <s v="2025-03"/>
    <s v="Partially Paid"/>
    <s v="NO"/>
  </r>
  <r>
    <n v="2091"/>
    <s v="Student_90"/>
    <x v="4"/>
    <x v="5"/>
    <n v="45969"/>
    <n v="38990"/>
    <n v="30755"/>
    <s v="2025-11"/>
    <s v="Partially Paid"/>
    <s v="NO"/>
  </r>
  <r>
    <n v="2092"/>
    <s v="Student_91"/>
    <x v="4"/>
    <x v="5"/>
    <n v="45898"/>
    <n v="25906"/>
    <n v="22294"/>
    <s v="2025-08"/>
    <s v="Partially Paid"/>
    <s v="NO"/>
  </r>
  <r>
    <n v="2093"/>
    <s v="Student_92"/>
    <x v="1"/>
    <x v="5"/>
    <n v="45955"/>
    <n v="37297"/>
    <n v="34679"/>
    <s v="2025-10"/>
    <s v="Partially Paid"/>
    <s v="NO"/>
  </r>
  <r>
    <n v="2094"/>
    <s v="Student_93"/>
    <x v="4"/>
    <x v="5"/>
    <n v="45693"/>
    <n v="22011"/>
    <n v="17333"/>
    <s v="2025-02"/>
    <s v="Partially Paid"/>
    <s v="NO"/>
  </r>
  <r>
    <n v="2095"/>
    <s v="Student_94"/>
    <x v="4"/>
    <x v="0"/>
    <n v="45741"/>
    <n v="31738"/>
    <n v="28575"/>
    <s v="2025-03"/>
    <s v="Partially Paid"/>
    <s v="NO"/>
  </r>
  <r>
    <n v="2096"/>
    <s v="Student_95"/>
    <x v="5"/>
    <x v="4"/>
    <n v="45920"/>
    <n v="48797"/>
    <n v="39317"/>
    <s v="2025-09"/>
    <s v="Partially Paid"/>
    <s v="NO"/>
  </r>
  <r>
    <n v="2097"/>
    <s v="Student_96"/>
    <x v="1"/>
    <x v="2"/>
    <n v="45967"/>
    <n v="31120"/>
    <n v="28178"/>
    <s v="2025-11"/>
    <s v="Partially Paid"/>
    <s v="NO"/>
  </r>
  <r>
    <n v="2098"/>
    <s v="Student_97"/>
    <x v="5"/>
    <x v="1"/>
    <n v="45829"/>
    <n v="28767"/>
    <n v="20356"/>
    <s v="2025-06"/>
    <s v="Partially Paid"/>
    <s v="NO"/>
  </r>
  <r>
    <n v="2099"/>
    <s v="Student_98"/>
    <x v="0"/>
    <x v="1"/>
    <n v="45830"/>
    <n v="42852"/>
    <n v="40927"/>
    <s v="2025-06"/>
    <s v="Partially Paid"/>
    <s v="NO"/>
  </r>
  <r>
    <n v="2100"/>
    <s v="Student_99"/>
    <x v="0"/>
    <x v="4"/>
    <n v="46019"/>
    <n v="33703"/>
    <n v="30731"/>
    <s v="2025-12"/>
    <s v="Partially Paid"/>
    <s v="NO"/>
  </r>
  <r>
    <n v="2101"/>
    <s v="Student_100"/>
    <x v="5"/>
    <x v="4"/>
    <n v="45704"/>
    <n v="20929"/>
    <n v="9224"/>
    <s v="2025-02"/>
    <s v="Partially Paid"/>
    <s v="NO"/>
  </r>
  <r>
    <n v="2102"/>
    <s v="Student_101"/>
    <x v="0"/>
    <x v="1"/>
    <n v="45798"/>
    <n v="31951"/>
    <n v="21311"/>
    <s v="2025-05"/>
    <s v="Partially Paid"/>
    <s v="NO"/>
  </r>
  <r>
    <n v="2103"/>
    <s v="Student_102"/>
    <x v="1"/>
    <x v="1"/>
    <n v="45775"/>
    <n v="46039"/>
    <n v="34376"/>
    <s v="2025-04"/>
    <s v="Partially Paid"/>
    <s v="NO"/>
  </r>
  <r>
    <n v="2104"/>
    <s v="Student_103"/>
    <x v="6"/>
    <x v="0"/>
    <n v="45934"/>
    <n v="49504"/>
    <n v="38538"/>
    <s v="2025-10"/>
    <s v="Partially Paid"/>
    <s v="NO"/>
  </r>
  <r>
    <n v="2105"/>
    <s v="Student_104"/>
    <x v="5"/>
    <x v="3"/>
    <n v="45871"/>
    <n v="37438"/>
    <n v="36448"/>
    <s v="2025-08"/>
    <s v="Partially Paid"/>
    <s v="NO"/>
  </r>
  <r>
    <n v="2106"/>
    <s v="Student_105"/>
    <x v="2"/>
    <x v="2"/>
    <n v="45877"/>
    <n v="25744"/>
    <n v="14606"/>
    <s v="2025-08"/>
    <s v="Partially Paid"/>
    <s v="NO"/>
  </r>
  <r>
    <n v="2107"/>
    <s v="Student_106"/>
    <x v="2"/>
    <x v="5"/>
    <n v="45683"/>
    <n v="38284"/>
    <n v="36472"/>
    <s v="2025-01"/>
    <s v="Partially Paid"/>
    <s v="NO"/>
  </r>
  <r>
    <n v="2108"/>
    <s v="Student_107"/>
    <x v="4"/>
    <x v="3"/>
    <n v="45666"/>
    <n v="59748"/>
    <n v="46603"/>
    <s v="2025-01"/>
    <s v="Partially Paid"/>
    <s v="YES"/>
  </r>
  <r>
    <n v="2109"/>
    <s v="Student_108"/>
    <x v="0"/>
    <x v="4"/>
    <n v="45928"/>
    <n v="27069"/>
    <n v="18074"/>
    <s v="2025-09"/>
    <s v="Partially Paid"/>
    <s v="NO"/>
  </r>
  <r>
    <n v="2110"/>
    <s v="Student_109"/>
    <x v="2"/>
    <x v="1"/>
    <n v="45667"/>
    <n v="39799"/>
    <n v="39310"/>
    <s v="2025-01"/>
    <s v="Partially Paid"/>
    <s v="NO"/>
  </r>
  <r>
    <n v="2111"/>
    <s v="Student_110"/>
    <x v="4"/>
    <x v="3"/>
    <n v="45778"/>
    <n v="53210"/>
    <n v="41462"/>
    <s v="2025-05"/>
    <s v="Partially Paid"/>
    <s v="YES"/>
  </r>
  <r>
    <n v="2112"/>
    <s v="Student_111"/>
    <x v="6"/>
    <x v="2"/>
    <n v="45782"/>
    <n v="48226"/>
    <n v="42350"/>
    <s v="2025-05"/>
    <s v="Partially Paid"/>
    <s v="NO"/>
  </r>
  <r>
    <n v="2113"/>
    <s v="Student_112"/>
    <x v="1"/>
    <x v="4"/>
    <n v="45827"/>
    <n v="24652"/>
    <n v="14967"/>
    <s v="2025-06"/>
    <s v="Partially Paid"/>
    <s v="NO"/>
  </r>
  <r>
    <n v="2114"/>
    <s v="Student_113"/>
    <x v="1"/>
    <x v="5"/>
    <n v="45729"/>
    <n v="44323"/>
    <n v="40678"/>
    <s v="2025-03"/>
    <s v="Partially Paid"/>
    <s v="NO"/>
  </r>
  <r>
    <n v="2115"/>
    <s v="Student_114"/>
    <x v="1"/>
    <x v="5"/>
    <n v="45809"/>
    <n v="27597"/>
    <n v="20516"/>
    <s v="2025-06"/>
    <s v="Partially Paid"/>
    <s v="NO"/>
  </r>
  <r>
    <n v="2116"/>
    <s v="Student_115"/>
    <x v="2"/>
    <x v="2"/>
    <n v="45865"/>
    <n v="57226"/>
    <n v="54335"/>
    <s v="2025-07"/>
    <s v="Partially Paid"/>
    <s v="YES"/>
  </r>
  <r>
    <n v="2117"/>
    <s v="Student_116"/>
    <x v="6"/>
    <x v="2"/>
    <n v="45706"/>
    <n v="26591"/>
    <n v="16694"/>
    <s v="2025-02"/>
    <s v="Partially Paid"/>
    <s v="NO"/>
  </r>
  <r>
    <n v="2118"/>
    <s v="Student_117"/>
    <x v="2"/>
    <x v="1"/>
    <n v="45811"/>
    <n v="45833"/>
    <n v="42317"/>
    <s v="2025-06"/>
    <s v="Partially Paid"/>
    <s v="NO"/>
  </r>
  <r>
    <n v="2119"/>
    <s v="Student_118"/>
    <x v="0"/>
    <x v="5"/>
    <n v="46004"/>
    <n v="31826"/>
    <n v="28486"/>
    <s v="2025-12"/>
    <s v="Partially Paid"/>
    <s v="NO"/>
  </r>
  <r>
    <n v="2120"/>
    <s v="Student_119"/>
    <x v="2"/>
    <x v="4"/>
    <n v="45950"/>
    <n v="46417"/>
    <n v="40007"/>
    <s v="2025-10"/>
    <s v="Partially Paid"/>
    <s v="NO"/>
  </r>
  <r>
    <n v="2121"/>
    <s v="Student_120"/>
    <x v="6"/>
    <x v="3"/>
    <n v="45725"/>
    <n v="38693"/>
    <n v="38640"/>
    <s v="2025-03"/>
    <s v="Partially Paid"/>
    <s v="NO"/>
  </r>
  <r>
    <n v="2122"/>
    <s v="Student_121"/>
    <x v="6"/>
    <x v="4"/>
    <n v="45707"/>
    <n v="34138"/>
    <n v="31563"/>
    <s v="2025-02"/>
    <s v="Partially Paid"/>
    <s v="NO"/>
  </r>
  <r>
    <n v="2123"/>
    <s v="Student_122"/>
    <x v="0"/>
    <x v="0"/>
    <n v="45809"/>
    <n v="22169"/>
    <n v="10386"/>
    <s v="2025-06"/>
    <s v="Partially Paid"/>
    <s v="NO"/>
  </r>
  <r>
    <n v="2124"/>
    <s v="Student_123"/>
    <x v="6"/>
    <x v="0"/>
    <n v="45676"/>
    <n v="38556"/>
    <n v="37941"/>
    <s v="2025-01"/>
    <s v="Partially Paid"/>
    <s v="NO"/>
  </r>
  <r>
    <n v="2125"/>
    <s v="Student_124"/>
    <x v="6"/>
    <x v="2"/>
    <n v="45757"/>
    <n v="42052"/>
    <n v="28682"/>
    <s v="2025-04"/>
    <s v="Partially Paid"/>
    <s v="NO"/>
  </r>
  <r>
    <n v="2126"/>
    <s v="Student_125"/>
    <x v="1"/>
    <x v="1"/>
    <n v="45717"/>
    <n v="26313"/>
    <n v="20369"/>
    <s v="2025-03"/>
    <s v="Partially Paid"/>
    <s v="NO"/>
  </r>
  <r>
    <n v="2127"/>
    <s v="Student_126"/>
    <x v="0"/>
    <x v="0"/>
    <n v="45824"/>
    <n v="28315"/>
    <n v="20911"/>
    <s v="2025-06"/>
    <s v="Partially Paid"/>
    <s v="NO"/>
  </r>
  <r>
    <n v="2128"/>
    <s v="Student_127"/>
    <x v="3"/>
    <x v="5"/>
    <n v="45859"/>
    <n v="28036"/>
    <n v="27082"/>
    <s v="2025-07"/>
    <s v="Partially Paid"/>
    <s v="NO"/>
  </r>
  <r>
    <n v="2129"/>
    <s v="Student_128"/>
    <x v="3"/>
    <x v="4"/>
    <n v="46002"/>
    <n v="51778"/>
    <n v="41153"/>
    <s v="2025-12"/>
    <s v="Partially Paid"/>
    <s v="YES"/>
  </r>
  <r>
    <n v="2130"/>
    <s v="Student_129"/>
    <x v="6"/>
    <x v="4"/>
    <n v="45803"/>
    <n v="47734"/>
    <n v="46105"/>
    <s v="2025-05"/>
    <s v="Partially Paid"/>
    <s v="NO"/>
  </r>
  <r>
    <n v="2131"/>
    <s v="Student_130"/>
    <x v="3"/>
    <x v="2"/>
    <n v="45821"/>
    <n v="43173"/>
    <n v="32200"/>
    <s v="2025-06"/>
    <s v="Partially Paid"/>
    <s v="NO"/>
  </r>
  <r>
    <n v="2132"/>
    <s v="Student_131"/>
    <x v="3"/>
    <x v="3"/>
    <n v="45899"/>
    <n v="50403"/>
    <n v="43544"/>
    <s v="2025-08"/>
    <s v="Partially Paid"/>
    <s v="YES"/>
  </r>
  <r>
    <n v="2133"/>
    <s v="Student_132"/>
    <x v="6"/>
    <x v="2"/>
    <n v="45726"/>
    <n v="20785"/>
    <n v="11944"/>
    <s v="2025-03"/>
    <s v="Partially Paid"/>
    <s v="NO"/>
  </r>
  <r>
    <n v="2134"/>
    <s v="Student_133"/>
    <x v="3"/>
    <x v="3"/>
    <n v="45832"/>
    <n v="26139"/>
    <n v="15600"/>
    <s v="2025-06"/>
    <s v="Partially Paid"/>
    <s v="NO"/>
  </r>
  <r>
    <n v="2135"/>
    <s v="Student_134"/>
    <x v="2"/>
    <x v="2"/>
    <n v="45706"/>
    <n v="26344"/>
    <n v="13662"/>
    <s v="2025-02"/>
    <s v="Partially Paid"/>
    <s v="NO"/>
  </r>
  <r>
    <n v="2136"/>
    <s v="Student_135"/>
    <x v="4"/>
    <x v="2"/>
    <n v="45765"/>
    <n v="38800"/>
    <n v="35522"/>
    <s v="2025-04"/>
    <s v="Partially Paid"/>
    <s v="NO"/>
  </r>
  <r>
    <n v="2137"/>
    <s v="Student_136"/>
    <x v="0"/>
    <x v="2"/>
    <n v="45883"/>
    <n v="45372"/>
    <n v="39917"/>
    <s v="2025-08"/>
    <s v="Partially Paid"/>
    <s v="NO"/>
  </r>
  <r>
    <n v="2138"/>
    <s v="Student_137"/>
    <x v="4"/>
    <x v="3"/>
    <n v="45818"/>
    <n v="40538"/>
    <n v="29706"/>
    <s v="2025-06"/>
    <s v="Partially Paid"/>
    <s v="NO"/>
  </r>
  <r>
    <n v="2139"/>
    <s v="Student_138"/>
    <x v="6"/>
    <x v="3"/>
    <n v="45776"/>
    <n v="34973"/>
    <n v="31172"/>
    <s v="2025-04"/>
    <s v="Partially Paid"/>
    <s v="NO"/>
  </r>
  <r>
    <n v="2140"/>
    <s v="Student_139"/>
    <x v="1"/>
    <x v="2"/>
    <n v="45806"/>
    <n v="25619"/>
    <n v="23058"/>
    <s v="2025-05"/>
    <s v="Partially Paid"/>
    <s v="NO"/>
  </r>
  <r>
    <n v="2141"/>
    <s v="Student_140"/>
    <x v="0"/>
    <x v="0"/>
    <n v="45807"/>
    <n v="54704"/>
    <n v="43263"/>
    <s v="2025-05"/>
    <s v="Partially Paid"/>
    <s v="YES"/>
  </r>
  <r>
    <n v="2142"/>
    <s v="Student_141"/>
    <x v="6"/>
    <x v="1"/>
    <n v="45950"/>
    <n v="56575"/>
    <n v="50036"/>
    <s v="2025-10"/>
    <s v="Partially Paid"/>
    <s v="YES"/>
  </r>
  <r>
    <n v="2143"/>
    <s v="Student_142"/>
    <x v="1"/>
    <x v="1"/>
    <n v="45800"/>
    <n v="59919"/>
    <n v="59549"/>
    <s v="2025-05"/>
    <s v="Partially Paid"/>
    <s v="YES"/>
  </r>
  <r>
    <n v="2144"/>
    <s v="Student_143"/>
    <x v="4"/>
    <x v="1"/>
    <n v="45817"/>
    <n v="47716"/>
    <n v="46859"/>
    <s v="2025-06"/>
    <s v="Partially Paid"/>
    <s v="NO"/>
  </r>
  <r>
    <n v="2145"/>
    <s v="Student_144"/>
    <x v="6"/>
    <x v="3"/>
    <n v="45668"/>
    <n v="23236"/>
    <n v="18350"/>
    <s v="2025-01"/>
    <s v="Partially Paid"/>
    <s v="NO"/>
  </r>
  <r>
    <n v="2146"/>
    <s v="Student_145"/>
    <x v="0"/>
    <x v="3"/>
    <n v="45795"/>
    <n v="35848"/>
    <n v="22903"/>
    <s v="2025-05"/>
    <s v="Partially Paid"/>
    <s v="NO"/>
  </r>
  <r>
    <n v="2147"/>
    <s v="Student_146"/>
    <x v="0"/>
    <x v="0"/>
    <n v="45735"/>
    <n v="22352"/>
    <n v="14867"/>
    <s v="2025-03"/>
    <s v="Partially Paid"/>
    <s v="NO"/>
  </r>
  <r>
    <n v="2148"/>
    <s v="Student_147"/>
    <x v="5"/>
    <x v="1"/>
    <n v="45734"/>
    <n v="21932"/>
    <n v="8252"/>
    <s v="2025-03"/>
    <s v="Partially Paid"/>
    <s v="NO"/>
  </r>
  <r>
    <n v="2149"/>
    <s v="Student_148"/>
    <x v="2"/>
    <x v="1"/>
    <n v="45911"/>
    <n v="30913"/>
    <n v="30530"/>
    <s v="2025-09"/>
    <s v="Partially Paid"/>
    <s v="NO"/>
  </r>
  <r>
    <n v="2150"/>
    <s v="Student_149"/>
    <x v="3"/>
    <x v="2"/>
    <n v="45915"/>
    <n v="28556"/>
    <n v="14159"/>
    <s v="2025-09"/>
    <s v="Partially Paid"/>
    <s v="NO"/>
  </r>
  <r>
    <n v="2151"/>
    <s v="Student_150"/>
    <x v="1"/>
    <x v="3"/>
    <n v="45977"/>
    <n v="41300"/>
    <n v="29231"/>
    <s v="2025-11"/>
    <s v="Partially Paid"/>
    <s v="NO"/>
  </r>
  <r>
    <n v="2152"/>
    <s v="Student_151"/>
    <x v="5"/>
    <x v="1"/>
    <n v="45948"/>
    <n v="25498"/>
    <n v="14754"/>
    <s v="2025-10"/>
    <s v="Partially Paid"/>
    <s v="NO"/>
  </r>
  <r>
    <n v="2153"/>
    <s v="Student_152"/>
    <x v="3"/>
    <x v="4"/>
    <n v="45920"/>
    <n v="30582"/>
    <n v="26248"/>
    <s v="2025-09"/>
    <s v="Partially Paid"/>
    <s v="NO"/>
  </r>
  <r>
    <n v="2154"/>
    <s v="Student_153"/>
    <x v="3"/>
    <x v="0"/>
    <n v="45742"/>
    <n v="29569"/>
    <n v="25279"/>
    <s v="2025-03"/>
    <s v="Partially Paid"/>
    <s v="NO"/>
  </r>
  <r>
    <n v="2155"/>
    <s v="Student_154"/>
    <x v="6"/>
    <x v="4"/>
    <n v="45803"/>
    <n v="24857"/>
    <n v="22132"/>
    <s v="2025-05"/>
    <s v="Partially Paid"/>
    <s v="NO"/>
  </r>
  <r>
    <n v="2156"/>
    <s v="Student_155"/>
    <x v="3"/>
    <x v="4"/>
    <n v="45980"/>
    <n v="20340"/>
    <n v="8114"/>
    <s v="2025-11"/>
    <s v="Partially Paid"/>
    <s v="NO"/>
  </r>
  <r>
    <n v="2157"/>
    <s v="Student_156"/>
    <x v="2"/>
    <x v="0"/>
    <n v="45699"/>
    <n v="36766"/>
    <n v="25281"/>
    <s v="2025-02"/>
    <s v="Partially Paid"/>
    <s v="NO"/>
  </r>
  <r>
    <n v="2158"/>
    <s v="Student_157"/>
    <x v="0"/>
    <x v="4"/>
    <n v="45782"/>
    <n v="46132"/>
    <n v="39928"/>
    <s v="2025-05"/>
    <s v="Partially Paid"/>
    <s v="NO"/>
  </r>
  <r>
    <n v="2159"/>
    <s v="Student_158"/>
    <x v="5"/>
    <x v="1"/>
    <n v="45824"/>
    <n v="28491"/>
    <n v="15051"/>
    <s v="2025-06"/>
    <s v="Partially Paid"/>
    <s v="NO"/>
  </r>
  <r>
    <n v="2160"/>
    <s v="Student_159"/>
    <x v="3"/>
    <x v="3"/>
    <n v="45898"/>
    <n v="20138"/>
    <n v="14027"/>
    <s v="2025-08"/>
    <s v="Partially Paid"/>
    <s v="NO"/>
  </r>
  <r>
    <n v="2161"/>
    <s v="Student_160"/>
    <x v="6"/>
    <x v="0"/>
    <n v="45937"/>
    <n v="20358"/>
    <n v="16107"/>
    <s v="2025-10"/>
    <s v="Partially Paid"/>
    <s v="NO"/>
  </r>
  <r>
    <n v="2162"/>
    <s v="Student_161"/>
    <x v="2"/>
    <x v="2"/>
    <n v="45845"/>
    <n v="29714"/>
    <n v="17534"/>
    <s v="2025-07"/>
    <s v="Partially Paid"/>
    <s v="NO"/>
  </r>
  <r>
    <n v="2163"/>
    <s v="Student_162"/>
    <x v="4"/>
    <x v="4"/>
    <n v="45959"/>
    <n v="39840"/>
    <n v="38918"/>
    <s v="2025-10"/>
    <s v="Partially Paid"/>
    <s v="NO"/>
  </r>
  <r>
    <n v="2164"/>
    <s v="Student_163"/>
    <x v="0"/>
    <x v="0"/>
    <n v="45676"/>
    <n v="54395"/>
    <n v="51480"/>
    <s v="2025-01"/>
    <s v="Partially Paid"/>
    <s v="YES"/>
  </r>
  <r>
    <n v="2165"/>
    <s v="Student_164"/>
    <x v="0"/>
    <x v="5"/>
    <n v="45725"/>
    <n v="50654"/>
    <n v="39512"/>
    <s v="2025-03"/>
    <s v="Partially Paid"/>
    <s v="YES"/>
  </r>
  <r>
    <n v="2166"/>
    <s v="Student_165"/>
    <x v="5"/>
    <x v="5"/>
    <n v="45875"/>
    <n v="45879"/>
    <n v="37922"/>
    <s v="2025-08"/>
    <s v="Partially Paid"/>
    <s v="NO"/>
  </r>
  <r>
    <n v="2167"/>
    <s v="Student_166"/>
    <x v="0"/>
    <x v="3"/>
    <n v="45759"/>
    <n v="35996"/>
    <n v="22099"/>
    <s v="2025-04"/>
    <s v="Partially Paid"/>
    <s v="NO"/>
  </r>
  <r>
    <n v="2168"/>
    <s v="Student_167"/>
    <x v="3"/>
    <x v="1"/>
    <n v="45699"/>
    <n v="57772"/>
    <n v="54726"/>
    <s v="2025-02"/>
    <s v="Partially Paid"/>
    <s v="YES"/>
  </r>
  <r>
    <n v="2169"/>
    <s v="Student_168"/>
    <x v="6"/>
    <x v="3"/>
    <n v="45945"/>
    <n v="46762"/>
    <n v="37596"/>
    <s v="2025-10"/>
    <s v="Partially Paid"/>
    <s v="NO"/>
  </r>
  <r>
    <n v="2170"/>
    <s v="Student_169"/>
    <x v="0"/>
    <x v="3"/>
    <n v="45824"/>
    <n v="33283"/>
    <n v="32053"/>
    <s v="2025-06"/>
    <s v="Partially Paid"/>
    <s v="NO"/>
  </r>
  <r>
    <n v="2171"/>
    <s v="Student_170"/>
    <x v="0"/>
    <x v="3"/>
    <n v="45766"/>
    <n v="59420"/>
    <n v="48793"/>
    <s v="2025-04"/>
    <s v="Partially Paid"/>
    <s v="YES"/>
  </r>
  <r>
    <n v="2172"/>
    <s v="Student_171"/>
    <x v="4"/>
    <x v="3"/>
    <n v="45693"/>
    <n v="39554"/>
    <n v="31907"/>
    <s v="2025-02"/>
    <s v="Partially Paid"/>
    <s v="NO"/>
  </r>
  <r>
    <n v="2173"/>
    <s v="Student_172"/>
    <x v="4"/>
    <x v="2"/>
    <n v="45889"/>
    <n v="40219"/>
    <n v="30213"/>
    <s v="2025-08"/>
    <s v="Partially Paid"/>
    <s v="NO"/>
  </r>
  <r>
    <n v="2174"/>
    <s v="Student_173"/>
    <x v="1"/>
    <x v="2"/>
    <n v="45886"/>
    <n v="54919"/>
    <n v="43793"/>
    <s v="2025-08"/>
    <s v="Partially Paid"/>
    <s v="YES"/>
  </r>
  <r>
    <n v="2175"/>
    <s v="Student_174"/>
    <x v="2"/>
    <x v="0"/>
    <n v="46010"/>
    <n v="29429"/>
    <n v="24496"/>
    <s v="2025-12"/>
    <s v="Partially Paid"/>
    <s v="NO"/>
  </r>
  <r>
    <n v="2176"/>
    <s v="Student_175"/>
    <x v="3"/>
    <x v="5"/>
    <n v="45821"/>
    <n v="59673"/>
    <n v="45378"/>
    <s v="2025-06"/>
    <s v="Partially Paid"/>
    <s v="YES"/>
  </r>
  <r>
    <n v="2177"/>
    <s v="Student_176"/>
    <x v="0"/>
    <x v="3"/>
    <n v="45730"/>
    <n v="39218"/>
    <n v="29663"/>
    <s v="2025-03"/>
    <s v="Partially Paid"/>
    <s v="NO"/>
  </r>
  <r>
    <n v="2178"/>
    <s v="Student_177"/>
    <x v="0"/>
    <x v="0"/>
    <n v="45793"/>
    <n v="32452"/>
    <n v="28512"/>
    <s v="2025-05"/>
    <s v="Partially Paid"/>
    <s v="NO"/>
  </r>
  <r>
    <n v="2179"/>
    <s v="Student_178"/>
    <x v="6"/>
    <x v="5"/>
    <n v="46010"/>
    <n v="38951"/>
    <n v="32468"/>
    <s v="2025-12"/>
    <s v="Partially Paid"/>
    <s v="NO"/>
  </r>
  <r>
    <n v="2180"/>
    <s v="Student_179"/>
    <x v="1"/>
    <x v="4"/>
    <n v="45727"/>
    <n v="21307"/>
    <n v="21104"/>
    <s v="2025-03"/>
    <s v="Partially Paid"/>
    <s v="NO"/>
  </r>
  <r>
    <n v="2181"/>
    <s v="Student_180"/>
    <x v="2"/>
    <x v="1"/>
    <n v="45853"/>
    <n v="34852"/>
    <n v="34692"/>
    <s v="2025-07"/>
    <s v="Partially Paid"/>
    <s v="NO"/>
  </r>
  <r>
    <n v="2182"/>
    <s v="Student_181"/>
    <x v="1"/>
    <x v="2"/>
    <n v="45926"/>
    <n v="45232"/>
    <n v="32553"/>
    <s v="2025-09"/>
    <s v="Partially Paid"/>
    <s v="NO"/>
  </r>
  <r>
    <n v="2183"/>
    <s v="Student_182"/>
    <x v="5"/>
    <x v="4"/>
    <n v="45706"/>
    <n v="55428"/>
    <n v="46468"/>
    <s v="2025-02"/>
    <s v="Partially Paid"/>
    <s v="YES"/>
  </r>
  <r>
    <n v="2184"/>
    <s v="Student_183"/>
    <x v="2"/>
    <x v="5"/>
    <n v="45973"/>
    <n v="46485"/>
    <n v="42737"/>
    <s v="2025-11"/>
    <s v="Partially Paid"/>
    <s v="NO"/>
  </r>
  <r>
    <n v="2185"/>
    <s v="Student_184"/>
    <x v="0"/>
    <x v="4"/>
    <n v="45787"/>
    <n v="30238"/>
    <n v="23520"/>
    <s v="2025-05"/>
    <s v="Partially Paid"/>
    <s v="NO"/>
  </r>
  <r>
    <n v="2186"/>
    <s v="Student_185"/>
    <x v="0"/>
    <x v="1"/>
    <n v="45662"/>
    <n v="58975"/>
    <n v="56394"/>
    <s v="2025-01"/>
    <s v="Partially Paid"/>
    <s v="YES"/>
  </r>
  <r>
    <n v="2187"/>
    <s v="Student_186"/>
    <x v="2"/>
    <x v="5"/>
    <n v="45684"/>
    <n v="21140"/>
    <n v="20047"/>
    <s v="2025-01"/>
    <s v="Partially Paid"/>
    <s v="NO"/>
  </r>
  <r>
    <n v="2188"/>
    <s v="Student_187"/>
    <x v="0"/>
    <x v="4"/>
    <n v="45817"/>
    <n v="44842"/>
    <n v="40342"/>
    <s v="2025-06"/>
    <s v="Partially Paid"/>
    <s v="NO"/>
  </r>
  <r>
    <n v="2189"/>
    <s v="Student_188"/>
    <x v="3"/>
    <x v="2"/>
    <n v="45806"/>
    <n v="46421"/>
    <n v="37622"/>
    <s v="2025-05"/>
    <s v="Partially Paid"/>
    <s v="NO"/>
  </r>
  <r>
    <n v="2190"/>
    <s v="Student_189"/>
    <x v="2"/>
    <x v="2"/>
    <n v="45921"/>
    <n v="21708"/>
    <n v="15998"/>
    <s v="2025-09"/>
    <s v="Partially Paid"/>
    <s v="NO"/>
  </r>
  <r>
    <n v="2191"/>
    <s v="Student_190"/>
    <x v="1"/>
    <x v="0"/>
    <n v="45887"/>
    <n v="23630"/>
    <n v="13898"/>
    <s v="2025-08"/>
    <s v="Partially Paid"/>
    <s v="NO"/>
  </r>
  <r>
    <n v="2192"/>
    <s v="Student_191"/>
    <x v="2"/>
    <x v="4"/>
    <n v="45857"/>
    <n v="39595"/>
    <n v="36720"/>
    <s v="2025-07"/>
    <s v="Partially Paid"/>
    <s v="NO"/>
  </r>
  <r>
    <n v="2193"/>
    <s v="Student_192"/>
    <x v="0"/>
    <x v="3"/>
    <n v="45707"/>
    <n v="30485"/>
    <n v="27294"/>
    <s v="2025-02"/>
    <s v="Partially Paid"/>
    <s v="NO"/>
  </r>
  <r>
    <n v="2194"/>
    <s v="Student_193"/>
    <x v="3"/>
    <x v="4"/>
    <n v="45724"/>
    <n v="48308"/>
    <n v="46471"/>
    <s v="2025-03"/>
    <s v="Partially Paid"/>
    <s v="NO"/>
  </r>
  <r>
    <n v="2195"/>
    <s v="Student_194"/>
    <x v="3"/>
    <x v="5"/>
    <n v="45957"/>
    <n v="46086"/>
    <n v="45397"/>
    <s v="2025-10"/>
    <s v="Partially Paid"/>
    <s v="NO"/>
  </r>
  <r>
    <n v="2196"/>
    <s v="Student_195"/>
    <x v="5"/>
    <x v="5"/>
    <n v="45715"/>
    <n v="36859"/>
    <n v="33100"/>
    <s v="2025-02"/>
    <s v="Partially Paid"/>
    <s v="NO"/>
  </r>
  <r>
    <n v="2197"/>
    <s v="Student_196"/>
    <x v="1"/>
    <x v="4"/>
    <n v="45916"/>
    <n v="27684"/>
    <n v="16543"/>
    <s v="2025-09"/>
    <s v="Partially Paid"/>
    <s v="NO"/>
  </r>
  <r>
    <n v="2198"/>
    <s v="Student_197"/>
    <x v="4"/>
    <x v="1"/>
    <n v="45999"/>
    <n v="45552"/>
    <n v="32024"/>
    <s v="2025-12"/>
    <s v="Partially Paid"/>
    <s v="NO"/>
  </r>
  <r>
    <n v="2199"/>
    <s v="Student_198"/>
    <x v="4"/>
    <x v="2"/>
    <n v="45983"/>
    <n v="21207"/>
    <n v="19104"/>
    <s v="2025-11"/>
    <s v="Partially Paid"/>
    <s v="NO"/>
  </r>
  <r>
    <n v="2200"/>
    <s v="Student_199"/>
    <x v="2"/>
    <x v="5"/>
    <n v="45787"/>
    <n v="21960"/>
    <n v="21595"/>
    <s v="2025-05"/>
    <s v="Partially Paid"/>
    <s v="NO"/>
  </r>
  <r>
    <n v="2201"/>
    <s v="Student_200"/>
    <x v="5"/>
    <x v="2"/>
    <n v="45872"/>
    <n v="20557"/>
    <n v="6547"/>
    <s v="2025-08"/>
    <s v="Partially Paid"/>
    <s v="NO"/>
  </r>
  <r>
    <n v="2202"/>
    <s v="Student_201"/>
    <x v="6"/>
    <x v="5"/>
    <n v="45829"/>
    <n v="49689"/>
    <n v="37922"/>
    <s v="2025-06"/>
    <s v="Partially Paid"/>
    <s v="NO"/>
  </r>
  <r>
    <n v="2203"/>
    <s v="Student_202"/>
    <x v="2"/>
    <x v="0"/>
    <n v="45915"/>
    <n v="33893"/>
    <n v="25801"/>
    <s v="2025-09"/>
    <s v="Partially Paid"/>
    <s v="NO"/>
  </r>
  <r>
    <n v="2204"/>
    <s v="Student_203"/>
    <x v="5"/>
    <x v="3"/>
    <n v="45759"/>
    <n v="52272"/>
    <n v="39530"/>
    <s v="2025-04"/>
    <s v="Partially Paid"/>
    <s v="YES"/>
  </r>
  <r>
    <n v="2205"/>
    <s v="Student_204"/>
    <x v="1"/>
    <x v="5"/>
    <n v="45866"/>
    <n v="20882"/>
    <n v="8491"/>
    <s v="2025-07"/>
    <s v="Partially Paid"/>
    <s v="NO"/>
  </r>
  <r>
    <n v="2206"/>
    <s v="Student_205"/>
    <x v="1"/>
    <x v="2"/>
    <n v="45948"/>
    <n v="57529"/>
    <n v="53357"/>
    <s v="2025-10"/>
    <s v="Partially Paid"/>
    <s v="YES"/>
  </r>
  <r>
    <n v="2207"/>
    <s v="Student_206"/>
    <x v="1"/>
    <x v="0"/>
    <n v="46011"/>
    <n v="58635"/>
    <n v="46118"/>
    <s v="2025-12"/>
    <s v="Partially Paid"/>
    <s v="YES"/>
  </r>
  <r>
    <n v="2208"/>
    <s v="Student_207"/>
    <x v="1"/>
    <x v="5"/>
    <n v="45943"/>
    <n v="49535"/>
    <n v="43502"/>
    <s v="2025-10"/>
    <s v="Partially Paid"/>
    <s v="NO"/>
  </r>
  <r>
    <n v="2209"/>
    <s v="Student_208"/>
    <x v="1"/>
    <x v="1"/>
    <n v="45773"/>
    <n v="32869"/>
    <n v="30491"/>
    <s v="2025-04"/>
    <s v="Partially Paid"/>
    <s v="NO"/>
  </r>
  <r>
    <n v="2210"/>
    <s v="Student_209"/>
    <x v="5"/>
    <x v="3"/>
    <n v="45921"/>
    <n v="27166"/>
    <n v="25961"/>
    <s v="2025-09"/>
    <s v="Partially Paid"/>
    <s v="NO"/>
  </r>
  <r>
    <n v="2211"/>
    <s v="Student_210"/>
    <x v="5"/>
    <x v="5"/>
    <n v="45807"/>
    <n v="32982"/>
    <n v="27994"/>
    <s v="2025-05"/>
    <s v="Partially Paid"/>
    <s v="NO"/>
  </r>
  <r>
    <n v="2212"/>
    <s v="Student_211"/>
    <x v="3"/>
    <x v="0"/>
    <n v="45957"/>
    <n v="58115"/>
    <n v="46084"/>
    <s v="2025-10"/>
    <s v="Partially Paid"/>
    <s v="YES"/>
  </r>
  <r>
    <n v="2213"/>
    <s v="Student_212"/>
    <x v="4"/>
    <x v="1"/>
    <n v="45693"/>
    <n v="27269"/>
    <n v="21600"/>
    <s v="2025-02"/>
    <s v="Partially Paid"/>
    <s v="NO"/>
  </r>
  <r>
    <n v="2214"/>
    <s v="Student_213"/>
    <x v="0"/>
    <x v="4"/>
    <n v="45990"/>
    <n v="48064"/>
    <n v="45329"/>
    <s v="2025-11"/>
    <s v="Partially Paid"/>
    <s v="NO"/>
  </r>
  <r>
    <n v="2215"/>
    <s v="Student_214"/>
    <x v="1"/>
    <x v="0"/>
    <n v="45944"/>
    <n v="33527"/>
    <n v="19165"/>
    <s v="2025-10"/>
    <s v="Partially Paid"/>
    <s v="NO"/>
  </r>
  <r>
    <n v="2216"/>
    <s v="Student_215"/>
    <x v="6"/>
    <x v="0"/>
    <n v="45960"/>
    <n v="22454"/>
    <n v="10915"/>
    <s v="2025-10"/>
    <s v="Partially Paid"/>
    <s v="NO"/>
  </r>
  <r>
    <n v="2217"/>
    <s v="Student_216"/>
    <x v="0"/>
    <x v="1"/>
    <n v="45968"/>
    <n v="40878"/>
    <n v="31011"/>
    <s v="2025-11"/>
    <s v="Partially Paid"/>
    <s v="NO"/>
  </r>
  <r>
    <n v="2218"/>
    <s v="Student_217"/>
    <x v="5"/>
    <x v="0"/>
    <n v="45865"/>
    <n v="32991"/>
    <n v="24501"/>
    <s v="2025-07"/>
    <s v="Partially Paid"/>
    <s v="NO"/>
  </r>
  <r>
    <n v="2219"/>
    <s v="Student_218"/>
    <x v="6"/>
    <x v="1"/>
    <n v="45763"/>
    <n v="22808"/>
    <n v="21852"/>
    <s v="2025-04"/>
    <s v="Partially Paid"/>
    <s v="NO"/>
  </r>
  <r>
    <n v="2220"/>
    <s v="Student_219"/>
    <x v="6"/>
    <x v="5"/>
    <n v="45815"/>
    <n v="59410"/>
    <n v="50104"/>
    <s v="2025-06"/>
    <s v="Partially Paid"/>
    <s v="YES"/>
  </r>
  <r>
    <n v="2221"/>
    <s v="Student_220"/>
    <x v="6"/>
    <x v="1"/>
    <n v="45778"/>
    <n v="56593"/>
    <n v="49970"/>
    <s v="2025-05"/>
    <s v="Partially Paid"/>
    <s v="YES"/>
  </r>
  <r>
    <n v="2222"/>
    <s v="Student_221"/>
    <x v="3"/>
    <x v="1"/>
    <n v="45712"/>
    <n v="56304"/>
    <n v="41396"/>
    <s v="2025-02"/>
    <s v="Partially Paid"/>
    <s v="YES"/>
  </r>
  <r>
    <n v="2223"/>
    <s v="Student_222"/>
    <x v="5"/>
    <x v="3"/>
    <n v="45669"/>
    <n v="50386"/>
    <n v="39689"/>
    <s v="2025-01"/>
    <s v="Partially Paid"/>
    <s v="YES"/>
  </r>
  <r>
    <n v="2224"/>
    <s v="Student_223"/>
    <x v="6"/>
    <x v="1"/>
    <n v="45802"/>
    <n v="23802"/>
    <n v="22328"/>
    <s v="2025-05"/>
    <s v="Partially Paid"/>
    <s v="NO"/>
  </r>
  <r>
    <n v="2225"/>
    <s v="Student_224"/>
    <x v="1"/>
    <x v="1"/>
    <n v="45793"/>
    <n v="48753"/>
    <n v="44293"/>
    <s v="2025-05"/>
    <s v="Partially Paid"/>
    <s v="NO"/>
  </r>
  <r>
    <n v="2226"/>
    <s v="Student_225"/>
    <x v="2"/>
    <x v="4"/>
    <n v="45660"/>
    <n v="41083"/>
    <n v="34081"/>
    <s v="2025-01"/>
    <s v="Partially Paid"/>
    <s v="NO"/>
  </r>
  <r>
    <n v="2227"/>
    <s v="Student_226"/>
    <x v="6"/>
    <x v="5"/>
    <n v="45801"/>
    <n v="38354"/>
    <n v="24368"/>
    <s v="2025-05"/>
    <s v="Partially Paid"/>
    <s v="NO"/>
  </r>
  <r>
    <n v="2228"/>
    <s v="Student_227"/>
    <x v="3"/>
    <x v="3"/>
    <n v="45687"/>
    <n v="42190"/>
    <n v="29552"/>
    <s v="2025-01"/>
    <s v="Partially Paid"/>
    <s v="NO"/>
  </r>
  <r>
    <n v="2229"/>
    <s v="Student_228"/>
    <x v="0"/>
    <x v="4"/>
    <n v="45894"/>
    <n v="26142"/>
    <n v="14224"/>
    <s v="2025-08"/>
    <s v="Partially Paid"/>
    <s v="NO"/>
  </r>
  <r>
    <n v="2230"/>
    <s v="Student_229"/>
    <x v="5"/>
    <x v="2"/>
    <n v="45936"/>
    <n v="48398"/>
    <n v="36735"/>
    <s v="2025-10"/>
    <s v="Partially Paid"/>
    <s v="NO"/>
  </r>
  <r>
    <n v="2231"/>
    <s v="Student_230"/>
    <x v="3"/>
    <x v="5"/>
    <n v="46005"/>
    <n v="53132"/>
    <n v="46736"/>
    <s v="2025-12"/>
    <s v="Partially Paid"/>
    <s v="YES"/>
  </r>
  <r>
    <n v="2232"/>
    <s v="Student_231"/>
    <x v="6"/>
    <x v="5"/>
    <n v="45772"/>
    <n v="39503"/>
    <n v="36675"/>
    <s v="2025-04"/>
    <s v="Partially Paid"/>
    <s v="NO"/>
  </r>
  <r>
    <n v="2233"/>
    <s v="Student_232"/>
    <x v="5"/>
    <x v="2"/>
    <n v="45761"/>
    <n v="54631"/>
    <n v="40439"/>
    <s v="2025-04"/>
    <s v="Partially Paid"/>
    <s v="YES"/>
  </r>
  <r>
    <n v="2234"/>
    <s v="Student_233"/>
    <x v="2"/>
    <x v="1"/>
    <n v="45775"/>
    <n v="36499"/>
    <n v="33649"/>
    <s v="2025-04"/>
    <s v="Partially Paid"/>
    <s v="NO"/>
  </r>
  <r>
    <n v="2235"/>
    <s v="Student_234"/>
    <x v="6"/>
    <x v="4"/>
    <n v="45662"/>
    <n v="59852"/>
    <n v="46553"/>
    <s v="2025-01"/>
    <s v="Partially Paid"/>
    <s v="YES"/>
  </r>
  <r>
    <n v="2236"/>
    <s v="Student_235"/>
    <x v="3"/>
    <x v="0"/>
    <n v="46017"/>
    <n v="28016"/>
    <n v="17318"/>
    <s v="2025-12"/>
    <s v="Partially Paid"/>
    <s v="NO"/>
  </r>
  <r>
    <n v="2237"/>
    <s v="Student_236"/>
    <x v="4"/>
    <x v="3"/>
    <n v="45905"/>
    <n v="22384"/>
    <n v="10422"/>
    <s v="2025-09"/>
    <s v="Partially Paid"/>
    <s v="NO"/>
  </r>
  <r>
    <n v="2238"/>
    <s v="Student_237"/>
    <x v="1"/>
    <x v="0"/>
    <n v="46021"/>
    <n v="35072"/>
    <n v="32108"/>
    <s v="2025-12"/>
    <s v="Partially Paid"/>
    <s v="NO"/>
  </r>
  <r>
    <n v="2239"/>
    <s v="Student_238"/>
    <x v="0"/>
    <x v="2"/>
    <n v="45978"/>
    <n v="56703"/>
    <n v="52109"/>
    <s v="2025-11"/>
    <s v="Partially Paid"/>
    <s v="YES"/>
  </r>
  <r>
    <n v="2240"/>
    <s v="Student_239"/>
    <x v="3"/>
    <x v="5"/>
    <n v="45778"/>
    <n v="34482"/>
    <n v="25341"/>
    <s v="2025-05"/>
    <s v="Partially Paid"/>
    <s v="NO"/>
  </r>
  <r>
    <n v="2241"/>
    <s v="Student_240"/>
    <x v="5"/>
    <x v="5"/>
    <n v="45943"/>
    <n v="41826"/>
    <n v="27544"/>
    <s v="2025-10"/>
    <s v="Partially Paid"/>
    <s v="NO"/>
  </r>
  <r>
    <n v="2242"/>
    <s v="Student_241"/>
    <x v="6"/>
    <x v="3"/>
    <n v="45806"/>
    <n v="22490"/>
    <n v="8156"/>
    <s v="2025-05"/>
    <s v="Partially Paid"/>
    <s v="NO"/>
  </r>
  <r>
    <n v="2243"/>
    <s v="Student_242"/>
    <x v="1"/>
    <x v="5"/>
    <n v="45741"/>
    <n v="45518"/>
    <n v="32723"/>
    <s v="2025-03"/>
    <s v="Partially Paid"/>
    <s v="NO"/>
  </r>
  <r>
    <n v="2244"/>
    <s v="Student_243"/>
    <x v="6"/>
    <x v="5"/>
    <n v="45888"/>
    <n v="44045"/>
    <n v="30430"/>
    <s v="2025-08"/>
    <s v="Partially Paid"/>
    <s v="NO"/>
  </r>
  <r>
    <n v="2245"/>
    <s v="Student_244"/>
    <x v="5"/>
    <x v="3"/>
    <n v="45945"/>
    <n v="46910"/>
    <n v="40266"/>
    <s v="2025-10"/>
    <s v="Partially Paid"/>
    <s v="NO"/>
  </r>
  <r>
    <n v="2246"/>
    <s v="Student_245"/>
    <x v="6"/>
    <x v="4"/>
    <n v="45818"/>
    <n v="44566"/>
    <n v="41716"/>
    <s v="2025-06"/>
    <s v="Partially Paid"/>
    <s v="NO"/>
  </r>
  <r>
    <n v="2247"/>
    <s v="Student_246"/>
    <x v="4"/>
    <x v="4"/>
    <n v="45929"/>
    <n v="53905"/>
    <n v="38972"/>
    <s v="2025-09"/>
    <s v="Partially Paid"/>
    <s v="YES"/>
  </r>
  <r>
    <n v="2248"/>
    <s v="Student_247"/>
    <x v="1"/>
    <x v="3"/>
    <n v="45695"/>
    <n v="47103"/>
    <n v="46938"/>
    <s v="2025-02"/>
    <s v="Partially Paid"/>
    <s v="NO"/>
  </r>
  <r>
    <n v="2249"/>
    <s v="Student_248"/>
    <x v="1"/>
    <x v="2"/>
    <n v="45883"/>
    <n v="56188"/>
    <n v="44510"/>
    <s v="2025-08"/>
    <s v="Partially Paid"/>
    <s v="YES"/>
  </r>
  <r>
    <n v="2250"/>
    <s v="Student_249"/>
    <x v="5"/>
    <x v="5"/>
    <n v="45799"/>
    <n v="25845"/>
    <n v="15144"/>
    <s v="2025-05"/>
    <s v="Partially Paid"/>
    <s v="NO"/>
  </r>
  <r>
    <n v="2251"/>
    <s v="Student_250"/>
    <x v="0"/>
    <x v="5"/>
    <n v="45949"/>
    <n v="41162"/>
    <n v="40243"/>
    <s v="2025-10"/>
    <s v="Partially Paid"/>
    <s v="NO"/>
  </r>
  <r>
    <n v="2252"/>
    <s v="Student_251"/>
    <x v="4"/>
    <x v="2"/>
    <n v="45808"/>
    <n v="56674"/>
    <n v="48369"/>
    <s v="2025-05"/>
    <s v="Partially Paid"/>
    <s v="YES"/>
  </r>
  <r>
    <n v="2253"/>
    <s v="Student_252"/>
    <x v="3"/>
    <x v="4"/>
    <n v="45771"/>
    <n v="39337"/>
    <n v="35833"/>
    <s v="2025-04"/>
    <s v="Partially Paid"/>
    <s v="NO"/>
  </r>
  <r>
    <n v="2254"/>
    <s v="Student_253"/>
    <x v="6"/>
    <x v="1"/>
    <n v="45894"/>
    <n v="42313"/>
    <n v="41322"/>
    <s v="2025-08"/>
    <s v="Partially Paid"/>
    <s v="NO"/>
  </r>
  <r>
    <n v="2255"/>
    <s v="Student_254"/>
    <x v="2"/>
    <x v="1"/>
    <n v="45723"/>
    <n v="46943"/>
    <n v="40896"/>
    <s v="2025-03"/>
    <s v="Partially Paid"/>
    <s v="NO"/>
  </r>
  <r>
    <n v="2256"/>
    <s v="Student_255"/>
    <x v="6"/>
    <x v="1"/>
    <n v="46018"/>
    <n v="32413"/>
    <n v="17871"/>
    <s v="2025-12"/>
    <s v="Partially Paid"/>
    <s v="NO"/>
  </r>
  <r>
    <n v="2257"/>
    <s v="Student_256"/>
    <x v="6"/>
    <x v="4"/>
    <n v="45998"/>
    <n v="20276"/>
    <n v="16437"/>
    <s v="2025-12"/>
    <s v="Partially Paid"/>
    <s v="NO"/>
  </r>
  <r>
    <n v="2258"/>
    <s v="Student_257"/>
    <x v="3"/>
    <x v="4"/>
    <n v="45915"/>
    <n v="37611"/>
    <n v="36353"/>
    <s v="2025-09"/>
    <s v="Partially Paid"/>
    <s v="NO"/>
  </r>
  <r>
    <n v="2259"/>
    <s v="Student_258"/>
    <x v="6"/>
    <x v="2"/>
    <n v="45906"/>
    <n v="59105"/>
    <n v="51496"/>
    <s v="2025-09"/>
    <s v="Partially Paid"/>
    <s v="YES"/>
  </r>
  <r>
    <n v="2260"/>
    <s v="Student_259"/>
    <x v="4"/>
    <x v="5"/>
    <n v="45988"/>
    <n v="31944"/>
    <n v="20326"/>
    <s v="2025-11"/>
    <s v="Partially Paid"/>
    <s v="NO"/>
  </r>
  <r>
    <n v="2261"/>
    <s v="Student_260"/>
    <x v="4"/>
    <x v="2"/>
    <n v="45980"/>
    <n v="35906"/>
    <n v="27200"/>
    <s v="2025-11"/>
    <s v="Partially Paid"/>
    <s v="NO"/>
  </r>
  <r>
    <n v="2262"/>
    <s v="Student_261"/>
    <x v="1"/>
    <x v="2"/>
    <n v="45837"/>
    <n v="40536"/>
    <n v="27017"/>
    <s v="2025-06"/>
    <s v="Partially Paid"/>
    <s v="NO"/>
  </r>
  <r>
    <n v="2263"/>
    <s v="Student_262"/>
    <x v="5"/>
    <x v="4"/>
    <n v="45847"/>
    <n v="47810"/>
    <n v="43006"/>
    <s v="2025-07"/>
    <s v="Partially Paid"/>
    <s v="NO"/>
  </r>
  <r>
    <n v="2264"/>
    <s v="Student_263"/>
    <x v="0"/>
    <x v="1"/>
    <n v="45811"/>
    <n v="32306"/>
    <n v="20918"/>
    <s v="2025-06"/>
    <s v="Partially Paid"/>
    <s v="NO"/>
  </r>
  <r>
    <n v="2265"/>
    <s v="Student_264"/>
    <x v="2"/>
    <x v="0"/>
    <n v="45853"/>
    <n v="30503"/>
    <n v="16030"/>
    <s v="2025-07"/>
    <s v="Partially Paid"/>
    <s v="NO"/>
  </r>
  <r>
    <n v="2266"/>
    <s v="Student_265"/>
    <x v="6"/>
    <x v="5"/>
    <n v="45968"/>
    <n v="39225"/>
    <n v="26599"/>
    <s v="2025-11"/>
    <s v="Partially Paid"/>
    <s v="NO"/>
  </r>
  <r>
    <n v="2267"/>
    <s v="Student_266"/>
    <x v="6"/>
    <x v="4"/>
    <n v="45919"/>
    <n v="56976"/>
    <n v="46200"/>
    <s v="2025-09"/>
    <s v="Partially Paid"/>
    <s v="YES"/>
  </r>
  <r>
    <n v="2268"/>
    <s v="Student_267"/>
    <x v="3"/>
    <x v="1"/>
    <n v="45800"/>
    <n v="31590"/>
    <n v="31523"/>
    <s v="2025-05"/>
    <s v="Partially Paid"/>
    <s v="NO"/>
  </r>
  <r>
    <n v="2269"/>
    <s v="Student_268"/>
    <x v="5"/>
    <x v="0"/>
    <n v="45999"/>
    <n v="30886"/>
    <n v="21098"/>
    <s v="2025-12"/>
    <s v="Partially Paid"/>
    <s v="NO"/>
  </r>
  <r>
    <n v="2270"/>
    <s v="Student_269"/>
    <x v="4"/>
    <x v="0"/>
    <n v="45973"/>
    <n v="32866"/>
    <n v="27206"/>
    <s v="2025-11"/>
    <s v="Partially Paid"/>
    <s v="NO"/>
  </r>
  <r>
    <n v="2271"/>
    <s v="Student_270"/>
    <x v="2"/>
    <x v="4"/>
    <n v="45758"/>
    <n v="21088"/>
    <n v="16610"/>
    <s v="2025-04"/>
    <s v="Partially Paid"/>
    <s v="NO"/>
  </r>
  <r>
    <n v="2272"/>
    <s v="Student_271"/>
    <x v="1"/>
    <x v="3"/>
    <n v="45901"/>
    <n v="23363"/>
    <n v="15153"/>
    <s v="2025-09"/>
    <s v="Partially Paid"/>
    <s v="NO"/>
  </r>
  <r>
    <n v="2273"/>
    <s v="Student_272"/>
    <x v="4"/>
    <x v="5"/>
    <n v="45669"/>
    <n v="52792"/>
    <n v="41870"/>
    <s v="2025-01"/>
    <s v="Partially Paid"/>
    <s v="YES"/>
  </r>
  <r>
    <n v="2274"/>
    <s v="Student_273"/>
    <x v="5"/>
    <x v="0"/>
    <n v="45896"/>
    <n v="29764"/>
    <n v="26243"/>
    <s v="2025-08"/>
    <s v="Partially Paid"/>
    <s v="NO"/>
  </r>
  <r>
    <n v="2275"/>
    <s v="Student_274"/>
    <x v="0"/>
    <x v="4"/>
    <n v="45706"/>
    <n v="40620"/>
    <n v="26211"/>
    <s v="2025-02"/>
    <s v="Partially Paid"/>
    <s v="NO"/>
  </r>
  <r>
    <n v="2276"/>
    <s v="Student_275"/>
    <x v="1"/>
    <x v="4"/>
    <n v="45699"/>
    <n v="32935"/>
    <n v="32363"/>
    <s v="2025-02"/>
    <s v="Partially Paid"/>
    <s v="NO"/>
  </r>
  <r>
    <n v="2277"/>
    <s v="Student_276"/>
    <x v="0"/>
    <x v="1"/>
    <n v="45823"/>
    <n v="28068"/>
    <n v="20986"/>
    <s v="2025-06"/>
    <s v="Partially Paid"/>
    <s v="NO"/>
  </r>
  <r>
    <n v="2278"/>
    <s v="Student_277"/>
    <x v="3"/>
    <x v="3"/>
    <n v="45739"/>
    <n v="27295"/>
    <n v="19463"/>
    <s v="2025-03"/>
    <s v="Partially Paid"/>
    <s v="NO"/>
  </r>
  <r>
    <n v="2279"/>
    <s v="Student_278"/>
    <x v="3"/>
    <x v="5"/>
    <n v="45948"/>
    <n v="31390"/>
    <n v="25995"/>
    <s v="2025-10"/>
    <s v="Partially Paid"/>
    <s v="NO"/>
  </r>
  <r>
    <n v="2280"/>
    <s v="Student_279"/>
    <x v="6"/>
    <x v="2"/>
    <n v="45815"/>
    <n v="40131"/>
    <n v="37873"/>
    <s v="2025-06"/>
    <s v="Partially Paid"/>
    <s v="NO"/>
  </r>
  <r>
    <n v="2281"/>
    <s v="Student_280"/>
    <x v="0"/>
    <x v="1"/>
    <n v="45873"/>
    <n v="49218"/>
    <n v="38124"/>
    <s v="2025-08"/>
    <s v="Partially Paid"/>
    <s v="NO"/>
  </r>
  <r>
    <n v="2282"/>
    <s v="Student_281"/>
    <x v="5"/>
    <x v="0"/>
    <n v="45815"/>
    <n v="30433"/>
    <n v="24394"/>
    <s v="2025-06"/>
    <s v="Partially Paid"/>
    <s v="NO"/>
  </r>
  <r>
    <n v="2283"/>
    <s v="Student_282"/>
    <x v="2"/>
    <x v="0"/>
    <n v="45791"/>
    <n v="35038"/>
    <n v="34388"/>
    <s v="2025-05"/>
    <s v="Partially Paid"/>
    <s v="NO"/>
  </r>
  <r>
    <n v="2284"/>
    <s v="Student_283"/>
    <x v="1"/>
    <x v="1"/>
    <n v="45724"/>
    <n v="48182"/>
    <n v="42441"/>
    <s v="2025-03"/>
    <s v="Partially Paid"/>
    <s v="NO"/>
  </r>
  <r>
    <n v="2285"/>
    <s v="Student_284"/>
    <x v="4"/>
    <x v="4"/>
    <n v="45993"/>
    <n v="31528"/>
    <n v="18247"/>
    <s v="2025-12"/>
    <s v="Partially Paid"/>
    <s v="NO"/>
  </r>
  <r>
    <n v="2286"/>
    <s v="Student_285"/>
    <x v="5"/>
    <x v="0"/>
    <n v="45664"/>
    <n v="41281"/>
    <n v="34443"/>
    <s v="2025-01"/>
    <s v="Partially Paid"/>
    <s v="NO"/>
  </r>
  <r>
    <n v="2287"/>
    <s v="Student_286"/>
    <x v="5"/>
    <x v="3"/>
    <n v="45671"/>
    <n v="28605"/>
    <n v="26018"/>
    <s v="2025-01"/>
    <s v="Partially Paid"/>
    <s v="NO"/>
  </r>
  <r>
    <n v="2288"/>
    <s v="Student_287"/>
    <x v="3"/>
    <x v="5"/>
    <n v="45730"/>
    <n v="54782"/>
    <n v="46906"/>
    <s v="2025-03"/>
    <s v="Partially Paid"/>
    <s v="YES"/>
  </r>
  <r>
    <n v="2289"/>
    <s v="Student_288"/>
    <x v="0"/>
    <x v="3"/>
    <n v="45820"/>
    <n v="21381"/>
    <n v="18119"/>
    <s v="2025-06"/>
    <s v="Partially Paid"/>
    <s v="NO"/>
  </r>
  <r>
    <n v="2290"/>
    <s v="Student_289"/>
    <x v="6"/>
    <x v="0"/>
    <n v="45723"/>
    <n v="21098"/>
    <n v="19760"/>
    <s v="2025-03"/>
    <s v="Partially Paid"/>
    <s v="NO"/>
  </r>
  <r>
    <n v="2291"/>
    <s v="Student_290"/>
    <x v="6"/>
    <x v="2"/>
    <n v="46004"/>
    <n v="39810"/>
    <n v="34814"/>
    <s v="2025-12"/>
    <s v="Partially Paid"/>
    <s v="NO"/>
  </r>
  <r>
    <n v="2292"/>
    <s v="Student_291"/>
    <x v="1"/>
    <x v="5"/>
    <n v="45787"/>
    <n v="44322"/>
    <n v="32496"/>
    <s v="2025-05"/>
    <s v="Partially Paid"/>
    <s v="NO"/>
  </r>
  <r>
    <n v="2293"/>
    <s v="Student_292"/>
    <x v="3"/>
    <x v="5"/>
    <n v="45863"/>
    <n v="52955"/>
    <n v="47175"/>
    <s v="2025-07"/>
    <s v="Partially Paid"/>
    <s v="YES"/>
  </r>
  <r>
    <n v="2294"/>
    <s v="Student_293"/>
    <x v="5"/>
    <x v="1"/>
    <n v="45933"/>
    <n v="30207"/>
    <n v="27380"/>
    <s v="2025-10"/>
    <s v="Partially Paid"/>
    <s v="NO"/>
  </r>
  <r>
    <n v="2295"/>
    <s v="Student_294"/>
    <x v="2"/>
    <x v="1"/>
    <n v="45913"/>
    <n v="41793"/>
    <n v="27920"/>
    <s v="2025-09"/>
    <s v="Partially Paid"/>
    <s v="NO"/>
  </r>
  <r>
    <n v="2296"/>
    <s v="Student_295"/>
    <x v="3"/>
    <x v="2"/>
    <n v="45923"/>
    <n v="22092"/>
    <n v="7881"/>
    <s v="2025-09"/>
    <s v="Partially Paid"/>
    <s v="NO"/>
  </r>
  <r>
    <n v="2297"/>
    <s v="Student_296"/>
    <x v="1"/>
    <x v="4"/>
    <n v="45682"/>
    <n v="48220"/>
    <n v="34151"/>
    <s v="2025-01"/>
    <s v="Partially Paid"/>
    <s v="NO"/>
  </r>
  <r>
    <n v="2298"/>
    <s v="Student_297"/>
    <x v="1"/>
    <x v="5"/>
    <n v="45938"/>
    <n v="38514"/>
    <n v="33282"/>
    <s v="2025-10"/>
    <s v="Partially Paid"/>
    <s v="NO"/>
  </r>
  <r>
    <n v="2299"/>
    <s v="Student_298"/>
    <x v="3"/>
    <x v="2"/>
    <n v="45910"/>
    <n v="58010"/>
    <n v="55793"/>
    <s v="2025-09"/>
    <s v="Partially Paid"/>
    <s v="YES"/>
  </r>
  <r>
    <n v="2300"/>
    <s v="Student_299"/>
    <x v="1"/>
    <x v="1"/>
    <n v="45967"/>
    <n v="28549"/>
    <n v="25010"/>
    <s v="2025-11"/>
    <s v="Partially Paid"/>
    <s v="NO"/>
  </r>
  <r>
    <n v="2301"/>
    <s v="Student_300"/>
    <x v="3"/>
    <x v="1"/>
    <n v="45946"/>
    <n v="42031"/>
    <n v="34186"/>
    <s v="2025-10"/>
    <s v="Partially Paid"/>
    <s v="NO"/>
  </r>
  <r>
    <n v="2302"/>
    <s v="Student_301"/>
    <x v="4"/>
    <x v="5"/>
    <n v="45821"/>
    <n v="25185"/>
    <n v="10953"/>
    <s v="2025-06"/>
    <s v="Partially Paid"/>
    <s v="NO"/>
  </r>
  <r>
    <n v="2303"/>
    <s v="Student_302"/>
    <x v="3"/>
    <x v="3"/>
    <n v="45752"/>
    <n v="35271"/>
    <n v="26042"/>
    <s v="2025-04"/>
    <s v="Partially Paid"/>
    <s v="NO"/>
  </r>
  <r>
    <n v="2304"/>
    <s v="Student_303"/>
    <x v="0"/>
    <x v="0"/>
    <n v="45927"/>
    <n v="25776"/>
    <n v="11750"/>
    <s v="2025-09"/>
    <s v="Partially Paid"/>
    <s v="NO"/>
  </r>
  <r>
    <n v="2305"/>
    <s v="Student_304"/>
    <x v="3"/>
    <x v="1"/>
    <n v="45978"/>
    <n v="32449"/>
    <n v="28066"/>
    <s v="2025-11"/>
    <s v="Partially Paid"/>
    <s v="NO"/>
  </r>
  <r>
    <n v="2306"/>
    <s v="Student_305"/>
    <x v="1"/>
    <x v="4"/>
    <n v="45767"/>
    <n v="44297"/>
    <n v="32127"/>
    <s v="2025-04"/>
    <s v="Partially Paid"/>
    <s v="NO"/>
  </r>
  <r>
    <n v="2307"/>
    <s v="Student_306"/>
    <x v="0"/>
    <x v="4"/>
    <n v="45993"/>
    <n v="35717"/>
    <n v="21193"/>
    <s v="2025-12"/>
    <s v="Partially Paid"/>
    <s v="NO"/>
  </r>
  <r>
    <n v="2308"/>
    <s v="Student_307"/>
    <x v="1"/>
    <x v="1"/>
    <n v="45967"/>
    <n v="59233"/>
    <n v="56272"/>
    <s v="2025-11"/>
    <s v="Partially Paid"/>
    <s v="YES"/>
  </r>
  <r>
    <n v="2309"/>
    <s v="Student_308"/>
    <x v="6"/>
    <x v="3"/>
    <n v="45895"/>
    <n v="30350"/>
    <n v="27124"/>
    <s v="2025-08"/>
    <s v="Partially Paid"/>
    <s v="NO"/>
  </r>
  <r>
    <n v="2310"/>
    <s v="Student_309"/>
    <x v="6"/>
    <x v="3"/>
    <n v="45682"/>
    <n v="50622"/>
    <n v="36744"/>
    <s v="2025-01"/>
    <s v="Partially Paid"/>
    <s v="YES"/>
  </r>
  <r>
    <n v="2311"/>
    <s v="Student_310"/>
    <x v="0"/>
    <x v="2"/>
    <n v="45798"/>
    <n v="55323"/>
    <n v="48486"/>
    <s v="2025-05"/>
    <s v="Partially Paid"/>
    <s v="YES"/>
  </r>
  <r>
    <n v="2312"/>
    <s v="Student_311"/>
    <x v="4"/>
    <x v="4"/>
    <n v="45774"/>
    <n v="22951"/>
    <n v="8918"/>
    <s v="2025-04"/>
    <s v="Partially Paid"/>
    <s v="NO"/>
  </r>
  <r>
    <n v="2313"/>
    <s v="Student_312"/>
    <x v="6"/>
    <x v="2"/>
    <n v="45682"/>
    <n v="37622"/>
    <n v="30591"/>
    <s v="2025-01"/>
    <s v="Partially Paid"/>
    <s v="NO"/>
  </r>
  <r>
    <n v="2314"/>
    <s v="Student_313"/>
    <x v="3"/>
    <x v="4"/>
    <n v="45736"/>
    <n v="24727"/>
    <n v="9921"/>
    <s v="2025-03"/>
    <s v="Partially Paid"/>
    <s v="NO"/>
  </r>
  <r>
    <n v="2315"/>
    <s v="Student_314"/>
    <x v="1"/>
    <x v="0"/>
    <n v="45725"/>
    <n v="58454"/>
    <n v="49164"/>
    <s v="2025-03"/>
    <s v="Partially Paid"/>
    <s v="YES"/>
  </r>
  <r>
    <n v="2316"/>
    <s v="Student_315"/>
    <x v="6"/>
    <x v="0"/>
    <n v="45830"/>
    <n v="56469"/>
    <n v="45953"/>
    <s v="2025-06"/>
    <s v="Partially Paid"/>
    <s v="YES"/>
  </r>
  <r>
    <n v="2317"/>
    <s v="Student_316"/>
    <x v="6"/>
    <x v="5"/>
    <n v="45669"/>
    <n v="55548"/>
    <n v="46417"/>
    <s v="2025-01"/>
    <s v="Partially Paid"/>
    <s v="YES"/>
  </r>
  <r>
    <n v="2318"/>
    <s v="Student_317"/>
    <x v="4"/>
    <x v="2"/>
    <n v="45945"/>
    <n v="43782"/>
    <n v="40066"/>
    <s v="2025-10"/>
    <s v="Partially Paid"/>
    <s v="NO"/>
  </r>
  <r>
    <n v="2319"/>
    <s v="Student_318"/>
    <x v="0"/>
    <x v="1"/>
    <n v="45785"/>
    <n v="48454"/>
    <n v="45040"/>
    <s v="2025-05"/>
    <s v="Partially Paid"/>
    <s v="NO"/>
  </r>
  <r>
    <n v="2320"/>
    <s v="Student_319"/>
    <x v="0"/>
    <x v="2"/>
    <n v="45753"/>
    <n v="22368"/>
    <n v="20920"/>
    <s v="2025-04"/>
    <s v="Partially Paid"/>
    <s v="NO"/>
  </r>
  <r>
    <n v="2321"/>
    <s v="Student_320"/>
    <x v="5"/>
    <x v="1"/>
    <n v="45749"/>
    <n v="35592"/>
    <n v="35022"/>
    <s v="2025-04"/>
    <s v="Partially Paid"/>
    <s v="NO"/>
  </r>
  <r>
    <n v="2322"/>
    <s v="Student_321"/>
    <x v="4"/>
    <x v="3"/>
    <n v="45798"/>
    <n v="42173"/>
    <n v="39269"/>
    <s v="2025-05"/>
    <s v="Partially Paid"/>
    <s v="NO"/>
  </r>
  <r>
    <n v="2323"/>
    <s v="Student_322"/>
    <x v="3"/>
    <x v="2"/>
    <n v="45688"/>
    <n v="53204"/>
    <n v="39916"/>
    <s v="2025-01"/>
    <s v="Partially Paid"/>
    <s v="YES"/>
  </r>
  <r>
    <n v="2324"/>
    <s v="Student_323"/>
    <x v="0"/>
    <x v="3"/>
    <n v="45991"/>
    <n v="55596"/>
    <n v="42103"/>
    <s v="2025-11"/>
    <s v="Partially Paid"/>
    <s v="YES"/>
  </r>
  <r>
    <n v="2325"/>
    <s v="Student_324"/>
    <x v="1"/>
    <x v="0"/>
    <n v="45677"/>
    <n v="54324"/>
    <n v="51819"/>
    <s v="2025-01"/>
    <s v="Partially Paid"/>
    <s v="YES"/>
  </r>
  <r>
    <n v="2326"/>
    <s v="Student_325"/>
    <x v="4"/>
    <x v="0"/>
    <n v="45803"/>
    <n v="43864"/>
    <n v="42947"/>
    <s v="2025-05"/>
    <s v="Partially Paid"/>
    <s v="NO"/>
  </r>
  <r>
    <n v="2327"/>
    <s v="Student_326"/>
    <x v="6"/>
    <x v="5"/>
    <n v="45973"/>
    <n v="50750"/>
    <n v="40684"/>
    <s v="2025-11"/>
    <s v="Partially Paid"/>
    <s v="YES"/>
  </r>
  <r>
    <n v="2328"/>
    <s v="Student_327"/>
    <x v="1"/>
    <x v="2"/>
    <n v="45817"/>
    <n v="30576"/>
    <n v="17456"/>
    <s v="2025-06"/>
    <s v="Partially Paid"/>
    <s v="NO"/>
  </r>
  <r>
    <n v="2329"/>
    <s v="Student_328"/>
    <x v="1"/>
    <x v="3"/>
    <n v="46006"/>
    <n v="36566"/>
    <n v="29584"/>
    <s v="2025-12"/>
    <s v="Partially Paid"/>
    <s v="NO"/>
  </r>
  <r>
    <n v="2330"/>
    <s v="Student_329"/>
    <x v="6"/>
    <x v="1"/>
    <n v="45700"/>
    <n v="27190"/>
    <n v="19763"/>
    <s v="2025-02"/>
    <s v="Partially Paid"/>
    <s v="NO"/>
  </r>
  <r>
    <n v="2331"/>
    <s v="Student_330"/>
    <x v="4"/>
    <x v="0"/>
    <n v="45911"/>
    <n v="43071"/>
    <n v="36735"/>
    <s v="2025-09"/>
    <s v="Partially Paid"/>
    <s v="NO"/>
  </r>
  <r>
    <n v="2332"/>
    <s v="Student_331"/>
    <x v="6"/>
    <x v="0"/>
    <n v="45787"/>
    <n v="58333"/>
    <n v="56655"/>
    <s v="2025-05"/>
    <s v="Partially Paid"/>
    <s v="YES"/>
  </r>
  <r>
    <n v="2333"/>
    <s v="Student_332"/>
    <x v="5"/>
    <x v="1"/>
    <n v="45717"/>
    <n v="35369"/>
    <n v="34754"/>
    <s v="2025-03"/>
    <s v="Partially Paid"/>
    <s v="NO"/>
  </r>
  <r>
    <n v="2334"/>
    <s v="Student_333"/>
    <x v="1"/>
    <x v="3"/>
    <n v="45808"/>
    <n v="44035"/>
    <n v="31342"/>
    <s v="2025-05"/>
    <s v="Partially Paid"/>
    <s v="NO"/>
  </r>
  <r>
    <n v="2335"/>
    <s v="Student_334"/>
    <x v="2"/>
    <x v="3"/>
    <n v="45944"/>
    <n v="21589"/>
    <n v="11648"/>
    <s v="2025-10"/>
    <s v="Partially Paid"/>
    <s v="NO"/>
  </r>
  <r>
    <n v="2336"/>
    <s v="Student_335"/>
    <x v="2"/>
    <x v="2"/>
    <n v="45662"/>
    <n v="45235"/>
    <n v="33218"/>
    <s v="2025-01"/>
    <s v="Partially Paid"/>
    <s v="NO"/>
  </r>
  <r>
    <n v="2337"/>
    <s v="Student_336"/>
    <x v="3"/>
    <x v="2"/>
    <n v="45923"/>
    <n v="20159"/>
    <n v="13073"/>
    <s v="2025-09"/>
    <s v="Partially Paid"/>
    <s v="NO"/>
  </r>
  <r>
    <n v="2338"/>
    <s v="Student_337"/>
    <x v="0"/>
    <x v="4"/>
    <n v="46002"/>
    <n v="32145"/>
    <n v="19765"/>
    <s v="2025-12"/>
    <s v="Partially Paid"/>
    <s v="NO"/>
  </r>
  <r>
    <n v="2339"/>
    <s v="Student_338"/>
    <x v="6"/>
    <x v="4"/>
    <n v="45787"/>
    <n v="35373"/>
    <n v="24704"/>
    <s v="2025-05"/>
    <s v="Partially Paid"/>
    <s v="NO"/>
  </r>
  <r>
    <n v="2340"/>
    <s v="Student_339"/>
    <x v="6"/>
    <x v="5"/>
    <n v="45924"/>
    <n v="51921"/>
    <n v="47172"/>
    <s v="2025-09"/>
    <s v="Partially Paid"/>
    <s v="YES"/>
  </r>
  <r>
    <n v="2341"/>
    <s v="Student_340"/>
    <x v="3"/>
    <x v="0"/>
    <n v="45835"/>
    <n v="59323"/>
    <n v="55818"/>
    <s v="2025-06"/>
    <s v="Partially Paid"/>
    <s v="YES"/>
  </r>
  <r>
    <n v="2342"/>
    <s v="Student_341"/>
    <x v="3"/>
    <x v="2"/>
    <n v="45910"/>
    <n v="36237"/>
    <n v="24570"/>
    <s v="2025-09"/>
    <s v="Partially Paid"/>
    <s v="NO"/>
  </r>
  <r>
    <n v="2343"/>
    <s v="Student_342"/>
    <x v="3"/>
    <x v="3"/>
    <n v="45713"/>
    <n v="28244"/>
    <n v="23715"/>
    <s v="2025-02"/>
    <s v="Partially Paid"/>
    <s v="NO"/>
  </r>
  <r>
    <n v="2344"/>
    <s v="Student_343"/>
    <x v="1"/>
    <x v="1"/>
    <n v="45740"/>
    <n v="34743"/>
    <n v="33608"/>
    <s v="2025-03"/>
    <s v="Partially Paid"/>
    <s v="NO"/>
  </r>
  <r>
    <n v="2345"/>
    <s v="Student_344"/>
    <x v="5"/>
    <x v="3"/>
    <n v="45756"/>
    <n v="51566"/>
    <n v="39374"/>
    <s v="2025-04"/>
    <s v="Partially Paid"/>
    <s v="YES"/>
  </r>
  <r>
    <n v="2346"/>
    <s v="Student_345"/>
    <x v="6"/>
    <x v="0"/>
    <n v="45806"/>
    <n v="38691"/>
    <n v="30125"/>
    <s v="2025-05"/>
    <s v="Partially Paid"/>
    <s v="NO"/>
  </r>
  <r>
    <n v="2347"/>
    <s v="Student_346"/>
    <x v="1"/>
    <x v="4"/>
    <n v="45986"/>
    <n v="53996"/>
    <n v="46770"/>
    <s v="2025-11"/>
    <s v="Partially Paid"/>
    <s v="YES"/>
  </r>
  <r>
    <n v="2348"/>
    <s v="Student_347"/>
    <x v="3"/>
    <x v="3"/>
    <n v="45813"/>
    <n v="25590"/>
    <n v="20428"/>
    <s v="2025-06"/>
    <s v="Partially Paid"/>
    <s v="NO"/>
  </r>
  <r>
    <n v="2349"/>
    <s v="Student_348"/>
    <x v="6"/>
    <x v="5"/>
    <n v="45847"/>
    <n v="25585"/>
    <n v="25379"/>
    <s v="2025-07"/>
    <s v="Partially Paid"/>
    <s v="NO"/>
  </r>
  <r>
    <n v="2350"/>
    <s v="Student_349"/>
    <x v="1"/>
    <x v="0"/>
    <n v="45920"/>
    <n v="29227"/>
    <n v="24352"/>
    <s v="2025-09"/>
    <s v="Partially Paid"/>
    <s v="NO"/>
  </r>
  <r>
    <n v="2351"/>
    <s v="Student_350"/>
    <x v="5"/>
    <x v="4"/>
    <n v="45737"/>
    <n v="48278"/>
    <n v="46959"/>
    <s v="2025-03"/>
    <s v="Partially Paid"/>
    <s v="NO"/>
  </r>
  <r>
    <n v="2352"/>
    <s v="Student_351"/>
    <x v="1"/>
    <x v="1"/>
    <n v="45909"/>
    <n v="58814"/>
    <n v="57673"/>
    <s v="2025-09"/>
    <s v="Partially Paid"/>
    <s v="YES"/>
  </r>
  <r>
    <n v="2353"/>
    <s v="Student_352"/>
    <x v="5"/>
    <x v="4"/>
    <n v="45754"/>
    <n v="32237"/>
    <n v="27610"/>
    <s v="2025-04"/>
    <s v="Partially Paid"/>
    <s v="NO"/>
  </r>
  <r>
    <n v="2354"/>
    <s v="Student_353"/>
    <x v="3"/>
    <x v="5"/>
    <n v="45917"/>
    <n v="35649"/>
    <n v="28260"/>
    <s v="2025-09"/>
    <s v="Partially Paid"/>
    <s v="NO"/>
  </r>
  <r>
    <n v="2355"/>
    <s v="Student_354"/>
    <x v="5"/>
    <x v="0"/>
    <n v="45917"/>
    <n v="57713"/>
    <n v="43212"/>
    <s v="2025-09"/>
    <s v="Partially Paid"/>
    <s v="YES"/>
  </r>
  <r>
    <n v="2356"/>
    <s v="Student_355"/>
    <x v="6"/>
    <x v="1"/>
    <n v="45760"/>
    <n v="27927"/>
    <n v="25237"/>
    <s v="2025-04"/>
    <s v="Partially Paid"/>
    <s v="NO"/>
  </r>
  <r>
    <n v="2357"/>
    <s v="Student_356"/>
    <x v="3"/>
    <x v="5"/>
    <n v="45697"/>
    <n v="27016"/>
    <n v="19693"/>
    <s v="2025-02"/>
    <s v="Partially Paid"/>
    <s v="NO"/>
  </r>
  <r>
    <n v="2358"/>
    <s v="Student_357"/>
    <x v="6"/>
    <x v="4"/>
    <n v="45930"/>
    <n v="34027"/>
    <n v="30772"/>
    <s v="2025-09"/>
    <s v="Partially Paid"/>
    <s v="NO"/>
  </r>
  <r>
    <n v="2359"/>
    <s v="Student_358"/>
    <x v="2"/>
    <x v="5"/>
    <n v="45758"/>
    <n v="44142"/>
    <n v="35861"/>
    <s v="2025-04"/>
    <s v="Partially Paid"/>
    <s v="NO"/>
  </r>
  <r>
    <n v="2360"/>
    <s v="Student_359"/>
    <x v="4"/>
    <x v="0"/>
    <n v="46016"/>
    <n v="43545"/>
    <n v="38332"/>
    <s v="2025-12"/>
    <s v="Partially Paid"/>
    <s v="NO"/>
  </r>
  <r>
    <n v="2361"/>
    <s v="Student_360"/>
    <x v="5"/>
    <x v="2"/>
    <n v="45965"/>
    <n v="51897"/>
    <n v="47789"/>
    <s v="2025-11"/>
    <s v="Partially Paid"/>
    <s v="YES"/>
  </r>
  <r>
    <n v="2362"/>
    <s v="Student_361"/>
    <x v="4"/>
    <x v="5"/>
    <n v="45878"/>
    <n v="23167"/>
    <n v="20147"/>
    <s v="2025-08"/>
    <s v="Partially Paid"/>
    <s v="NO"/>
  </r>
  <r>
    <n v="2363"/>
    <s v="Student_362"/>
    <x v="4"/>
    <x v="5"/>
    <n v="45965"/>
    <n v="46917"/>
    <n v="45060"/>
    <s v="2025-11"/>
    <s v="Partially Paid"/>
    <s v="NO"/>
  </r>
  <r>
    <n v="2364"/>
    <s v="Student_363"/>
    <x v="5"/>
    <x v="4"/>
    <n v="45781"/>
    <n v="42736"/>
    <n v="33740"/>
    <s v="2025-05"/>
    <s v="Partially Paid"/>
    <s v="NO"/>
  </r>
  <r>
    <n v="2365"/>
    <s v="Student_364"/>
    <x v="3"/>
    <x v="4"/>
    <n v="45888"/>
    <n v="47990"/>
    <n v="38854"/>
    <s v="2025-08"/>
    <s v="Partially Paid"/>
    <s v="NO"/>
  </r>
  <r>
    <n v="2366"/>
    <s v="Student_365"/>
    <x v="2"/>
    <x v="1"/>
    <n v="45835"/>
    <n v="34087"/>
    <n v="31298"/>
    <s v="2025-06"/>
    <s v="Partially Paid"/>
    <s v="NO"/>
  </r>
  <r>
    <n v="2367"/>
    <s v="Student_366"/>
    <x v="6"/>
    <x v="4"/>
    <n v="45720"/>
    <n v="42440"/>
    <n v="28295"/>
    <s v="2025-03"/>
    <s v="Partially Paid"/>
    <s v="NO"/>
  </r>
  <r>
    <n v="2368"/>
    <s v="Student_367"/>
    <x v="1"/>
    <x v="3"/>
    <n v="45773"/>
    <n v="55205"/>
    <n v="51330"/>
    <s v="2025-04"/>
    <s v="Partially Paid"/>
    <s v="YES"/>
  </r>
  <r>
    <n v="2369"/>
    <s v="Student_368"/>
    <x v="6"/>
    <x v="0"/>
    <n v="45848"/>
    <n v="35275"/>
    <n v="27670"/>
    <s v="2025-07"/>
    <s v="Partially Paid"/>
    <s v="NO"/>
  </r>
  <r>
    <n v="2370"/>
    <s v="Student_369"/>
    <x v="1"/>
    <x v="0"/>
    <n v="45719"/>
    <n v="25276"/>
    <n v="15474"/>
    <s v="2025-03"/>
    <s v="Partially Paid"/>
    <s v="NO"/>
  </r>
  <r>
    <n v="2371"/>
    <s v="Student_370"/>
    <x v="6"/>
    <x v="2"/>
    <n v="45913"/>
    <n v="57496"/>
    <n v="49361"/>
    <s v="2025-09"/>
    <s v="Partially Paid"/>
    <s v="YES"/>
  </r>
  <r>
    <n v="2372"/>
    <s v="Student_371"/>
    <x v="5"/>
    <x v="2"/>
    <n v="45664"/>
    <n v="39008"/>
    <n v="27893"/>
    <s v="2025-01"/>
    <s v="Partially Paid"/>
    <s v="NO"/>
  </r>
  <r>
    <n v="2373"/>
    <s v="Student_372"/>
    <x v="2"/>
    <x v="0"/>
    <n v="45812"/>
    <n v="25738"/>
    <n v="19683"/>
    <s v="2025-06"/>
    <s v="Partially Paid"/>
    <s v="NO"/>
  </r>
  <r>
    <n v="2374"/>
    <s v="Student_373"/>
    <x v="1"/>
    <x v="2"/>
    <n v="45749"/>
    <n v="52402"/>
    <n v="48520"/>
    <s v="2025-04"/>
    <s v="Partially Paid"/>
    <s v="YES"/>
  </r>
  <r>
    <n v="2375"/>
    <s v="Student_374"/>
    <x v="0"/>
    <x v="1"/>
    <n v="45671"/>
    <n v="25793"/>
    <n v="14380"/>
    <s v="2025-01"/>
    <s v="Partially Paid"/>
    <s v="NO"/>
  </r>
  <r>
    <n v="2376"/>
    <s v="Student_375"/>
    <x v="3"/>
    <x v="4"/>
    <n v="45886"/>
    <n v="57291"/>
    <n v="42296"/>
    <s v="2025-08"/>
    <s v="Partially Paid"/>
    <s v="YES"/>
  </r>
  <r>
    <n v="2377"/>
    <s v="Student_376"/>
    <x v="6"/>
    <x v="0"/>
    <n v="45743"/>
    <n v="25571"/>
    <n v="18396"/>
    <s v="2025-03"/>
    <s v="Partially Paid"/>
    <s v="NO"/>
  </r>
  <r>
    <n v="2378"/>
    <s v="Student_377"/>
    <x v="6"/>
    <x v="2"/>
    <n v="45790"/>
    <n v="51331"/>
    <n v="37991"/>
    <s v="2025-05"/>
    <s v="Partially Paid"/>
    <s v="YES"/>
  </r>
  <r>
    <n v="2379"/>
    <s v="Student_378"/>
    <x v="1"/>
    <x v="0"/>
    <n v="45840"/>
    <n v="36209"/>
    <n v="23626"/>
    <s v="2025-07"/>
    <s v="Partially Paid"/>
    <s v="NO"/>
  </r>
  <r>
    <n v="2380"/>
    <s v="Student_379"/>
    <x v="3"/>
    <x v="3"/>
    <n v="45719"/>
    <n v="45394"/>
    <n v="38265"/>
    <s v="2025-03"/>
    <s v="Partially Paid"/>
    <s v="NO"/>
  </r>
  <r>
    <n v="2381"/>
    <s v="Student_380"/>
    <x v="3"/>
    <x v="5"/>
    <n v="45876"/>
    <n v="45682"/>
    <n v="40661"/>
    <s v="2025-08"/>
    <s v="Partially Paid"/>
    <s v="NO"/>
  </r>
  <r>
    <n v="2382"/>
    <s v="Student_381"/>
    <x v="5"/>
    <x v="4"/>
    <n v="45903"/>
    <n v="22224"/>
    <n v="17489"/>
    <s v="2025-09"/>
    <s v="Partially Paid"/>
    <s v="NO"/>
  </r>
  <r>
    <n v="2383"/>
    <s v="Student_382"/>
    <x v="0"/>
    <x v="0"/>
    <n v="45887"/>
    <n v="52441"/>
    <n v="50054"/>
    <s v="2025-08"/>
    <s v="Partially Paid"/>
    <s v="YES"/>
  </r>
  <r>
    <n v="2384"/>
    <s v="Student_383"/>
    <x v="5"/>
    <x v="5"/>
    <n v="45736"/>
    <n v="59129"/>
    <n v="46214"/>
    <s v="2025-03"/>
    <s v="Partially Paid"/>
    <s v="YES"/>
  </r>
  <r>
    <n v="2385"/>
    <s v="Student_384"/>
    <x v="5"/>
    <x v="2"/>
    <n v="45806"/>
    <n v="54716"/>
    <n v="48134"/>
    <s v="2025-05"/>
    <s v="Partially Paid"/>
    <s v="YES"/>
  </r>
  <r>
    <n v="2386"/>
    <s v="Student_385"/>
    <x v="5"/>
    <x v="5"/>
    <n v="45795"/>
    <n v="46586"/>
    <n v="33131"/>
    <s v="2025-05"/>
    <s v="Partially Paid"/>
    <s v="NO"/>
  </r>
  <r>
    <n v="2387"/>
    <s v="Student_386"/>
    <x v="5"/>
    <x v="4"/>
    <n v="45971"/>
    <n v="43478"/>
    <n v="34345"/>
    <s v="2025-11"/>
    <s v="Partially Paid"/>
    <s v="NO"/>
  </r>
  <r>
    <n v="2388"/>
    <s v="Student_387"/>
    <x v="5"/>
    <x v="0"/>
    <n v="45722"/>
    <n v="26318"/>
    <n v="13201"/>
    <s v="2025-03"/>
    <s v="Partially Paid"/>
    <s v="NO"/>
  </r>
  <r>
    <n v="2389"/>
    <s v="Student_388"/>
    <x v="2"/>
    <x v="3"/>
    <n v="45670"/>
    <n v="48694"/>
    <n v="42828"/>
    <s v="2025-01"/>
    <s v="Partially Paid"/>
    <s v="NO"/>
  </r>
  <r>
    <n v="2390"/>
    <s v="Student_389"/>
    <x v="3"/>
    <x v="2"/>
    <n v="45870"/>
    <n v="40180"/>
    <n v="37614"/>
    <s v="2025-08"/>
    <s v="Partially Paid"/>
    <s v="NO"/>
  </r>
  <r>
    <n v="2391"/>
    <s v="Student_390"/>
    <x v="5"/>
    <x v="0"/>
    <n v="45899"/>
    <n v="32180"/>
    <n v="31205"/>
    <s v="2025-08"/>
    <s v="Partially Paid"/>
    <s v="NO"/>
  </r>
  <r>
    <n v="2392"/>
    <s v="Student_391"/>
    <x v="3"/>
    <x v="4"/>
    <n v="45870"/>
    <n v="53002"/>
    <n v="45790"/>
    <s v="2025-08"/>
    <s v="Partially Paid"/>
    <s v="YES"/>
  </r>
  <r>
    <n v="2393"/>
    <s v="Student_392"/>
    <x v="3"/>
    <x v="2"/>
    <n v="45838"/>
    <n v="35372"/>
    <n v="26226"/>
    <s v="2025-06"/>
    <s v="Partially Paid"/>
    <s v="NO"/>
  </r>
  <r>
    <n v="2394"/>
    <s v="Student_393"/>
    <x v="4"/>
    <x v="1"/>
    <n v="45995"/>
    <n v="49796"/>
    <n v="48534"/>
    <s v="2025-12"/>
    <s v="Partially Paid"/>
    <s v="NO"/>
  </r>
  <r>
    <n v="2395"/>
    <s v="Student_394"/>
    <x v="2"/>
    <x v="5"/>
    <n v="45830"/>
    <n v="44427"/>
    <n v="39380"/>
    <s v="2025-06"/>
    <s v="Partially Paid"/>
    <s v="NO"/>
  </r>
  <r>
    <n v="2396"/>
    <s v="Student_395"/>
    <x v="5"/>
    <x v="4"/>
    <n v="45817"/>
    <n v="53290"/>
    <n v="44155"/>
    <s v="2025-06"/>
    <s v="Partially Paid"/>
    <s v="YES"/>
  </r>
  <r>
    <n v="2397"/>
    <s v="Student_396"/>
    <x v="6"/>
    <x v="1"/>
    <n v="45821"/>
    <n v="48099"/>
    <n v="37705"/>
    <s v="2025-06"/>
    <s v="Partially Paid"/>
    <s v="NO"/>
  </r>
  <r>
    <n v="2398"/>
    <s v="Student_397"/>
    <x v="1"/>
    <x v="0"/>
    <n v="45845"/>
    <n v="29821"/>
    <n v="16329"/>
    <s v="2025-07"/>
    <s v="Partially Paid"/>
    <s v="NO"/>
  </r>
  <r>
    <n v="2399"/>
    <s v="Student_398"/>
    <x v="0"/>
    <x v="3"/>
    <n v="45848"/>
    <n v="25832"/>
    <n v="18450"/>
    <s v="2025-07"/>
    <s v="Partially Paid"/>
    <s v="NO"/>
  </r>
  <r>
    <n v="2400"/>
    <s v="Student_399"/>
    <x v="6"/>
    <x v="2"/>
    <n v="45965"/>
    <n v="32820"/>
    <n v="26589"/>
    <s v="2025-11"/>
    <s v="Partially Paid"/>
    <s v="NO"/>
  </r>
  <r>
    <n v="2401"/>
    <s v="Student_400"/>
    <x v="2"/>
    <x v="5"/>
    <n v="45913"/>
    <n v="36211"/>
    <n v="32884"/>
    <s v="2025-09"/>
    <s v="Partially Paid"/>
    <s v="NO"/>
  </r>
  <r>
    <n v="2402"/>
    <s v="Student_401"/>
    <x v="1"/>
    <x v="2"/>
    <n v="45840"/>
    <n v="59890"/>
    <n v="54260"/>
    <s v="2025-07"/>
    <s v="Partially Paid"/>
    <s v="YES"/>
  </r>
  <r>
    <n v="2403"/>
    <s v="Student_402"/>
    <x v="2"/>
    <x v="0"/>
    <n v="45774"/>
    <n v="25842"/>
    <n v="12458"/>
    <s v="2025-04"/>
    <s v="Partially Paid"/>
    <s v="NO"/>
  </r>
  <r>
    <n v="2404"/>
    <s v="Student_403"/>
    <x v="3"/>
    <x v="2"/>
    <n v="45939"/>
    <n v="21316"/>
    <n v="8850"/>
    <s v="2025-10"/>
    <s v="Partially Paid"/>
    <s v="NO"/>
  </r>
  <r>
    <n v="2405"/>
    <s v="Student_404"/>
    <x v="1"/>
    <x v="5"/>
    <n v="45853"/>
    <n v="37508"/>
    <n v="35249"/>
    <s v="2025-07"/>
    <s v="Partially Paid"/>
    <s v="NO"/>
  </r>
  <r>
    <n v="2406"/>
    <s v="Student_405"/>
    <x v="3"/>
    <x v="0"/>
    <n v="45691"/>
    <n v="42005"/>
    <n v="31985"/>
    <s v="2025-02"/>
    <s v="Partially Paid"/>
    <s v="NO"/>
  </r>
  <r>
    <n v="2407"/>
    <s v="Student_406"/>
    <x v="6"/>
    <x v="2"/>
    <n v="45709"/>
    <n v="35206"/>
    <n v="33949"/>
    <s v="2025-02"/>
    <s v="Partially Paid"/>
    <s v="NO"/>
  </r>
  <r>
    <n v="2408"/>
    <s v="Student_407"/>
    <x v="6"/>
    <x v="3"/>
    <n v="45769"/>
    <n v="38971"/>
    <n v="38507"/>
    <s v="2025-04"/>
    <s v="Partially Paid"/>
    <s v="NO"/>
  </r>
  <r>
    <n v="2409"/>
    <s v="Student_408"/>
    <x v="1"/>
    <x v="4"/>
    <n v="45909"/>
    <n v="45599"/>
    <n v="31537"/>
    <s v="2025-09"/>
    <s v="Partially Paid"/>
    <s v="NO"/>
  </r>
  <r>
    <n v="2410"/>
    <s v="Student_409"/>
    <x v="1"/>
    <x v="0"/>
    <n v="45739"/>
    <n v="42056"/>
    <n v="38762"/>
    <s v="2025-03"/>
    <s v="Partially Paid"/>
    <s v="NO"/>
  </r>
  <r>
    <n v="2411"/>
    <s v="Student_410"/>
    <x v="5"/>
    <x v="4"/>
    <n v="45889"/>
    <n v="21378"/>
    <n v="14604"/>
    <s v="2025-08"/>
    <s v="Partially Paid"/>
    <s v="NO"/>
  </r>
  <r>
    <n v="2412"/>
    <s v="Student_411"/>
    <x v="2"/>
    <x v="0"/>
    <n v="45884"/>
    <n v="21519"/>
    <n v="14088"/>
    <s v="2025-08"/>
    <s v="Partially Paid"/>
    <s v="NO"/>
  </r>
  <r>
    <n v="2413"/>
    <s v="Student_412"/>
    <x v="5"/>
    <x v="3"/>
    <n v="45890"/>
    <n v="42161"/>
    <n v="40931"/>
    <s v="2025-08"/>
    <s v="Partially Paid"/>
    <s v="NO"/>
  </r>
  <r>
    <n v="2414"/>
    <s v="Student_413"/>
    <x v="2"/>
    <x v="4"/>
    <n v="45878"/>
    <n v="58861"/>
    <n v="48015"/>
    <s v="2025-08"/>
    <s v="Partially Paid"/>
    <s v="YES"/>
  </r>
  <r>
    <n v="2415"/>
    <s v="Student_414"/>
    <x v="5"/>
    <x v="1"/>
    <n v="45699"/>
    <n v="25355"/>
    <n v="16279"/>
    <s v="2025-02"/>
    <s v="Partially Paid"/>
    <s v="NO"/>
  </r>
  <r>
    <n v="2416"/>
    <s v="Student_415"/>
    <x v="3"/>
    <x v="5"/>
    <n v="45678"/>
    <n v="29083"/>
    <n v="25278"/>
    <s v="2025-01"/>
    <s v="Partially Paid"/>
    <s v="NO"/>
  </r>
  <r>
    <n v="2417"/>
    <s v="Student_416"/>
    <x v="1"/>
    <x v="1"/>
    <n v="45699"/>
    <n v="58342"/>
    <n v="43641"/>
    <s v="2025-02"/>
    <s v="Partially Paid"/>
    <s v="YES"/>
  </r>
  <r>
    <n v="2418"/>
    <s v="Student_417"/>
    <x v="6"/>
    <x v="2"/>
    <n v="45770"/>
    <n v="40456"/>
    <n v="34037"/>
    <s v="2025-04"/>
    <s v="Partially Paid"/>
    <s v="NO"/>
  </r>
  <r>
    <n v="2419"/>
    <s v="Student_418"/>
    <x v="2"/>
    <x v="3"/>
    <n v="45762"/>
    <n v="33324"/>
    <n v="18609"/>
    <s v="2025-04"/>
    <s v="Partially Paid"/>
    <s v="NO"/>
  </r>
  <r>
    <n v="2420"/>
    <s v="Student_419"/>
    <x v="2"/>
    <x v="1"/>
    <n v="45849"/>
    <n v="22257"/>
    <n v="8637"/>
    <s v="2025-07"/>
    <s v="Partially Paid"/>
    <s v="NO"/>
  </r>
  <r>
    <n v="2421"/>
    <s v="Student_420"/>
    <x v="6"/>
    <x v="0"/>
    <n v="45674"/>
    <n v="47364"/>
    <n v="41614"/>
    <s v="2025-01"/>
    <s v="Partially Paid"/>
    <s v="NO"/>
  </r>
  <r>
    <n v="2422"/>
    <s v="Student_421"/>
    <x v="5"/>
    <x v="2"/>
    <n v="45777"/>
    <n v="44972"/>
    <n v="31740"/>
    <s v="2025-04"/>
    <s v="Partially Paid"/>
    <s v="NO"/>
  </r>
  <r>
    <n v="2423"/>
    <s v="Student_422"/>
    <x v="2"/>
    <x v="2"/>
    <n v="45786"/>
    <n v="46654"/>
    <n v="42798"/>
    <s v="2025-05"/>
    <s v="Partially Paid"/>
    <s v="NO"/>
  </r>
  <r>
    <n v="2424"/>
    <s v="Student_423"/>
    <x v="0"/>
    <x v="1"/>
    <n v="45787"/>
    <n v="35233"/>
    <n v="32098"/>
    <s v="2025-05"/>
    <s v="Partially Paid"/>
    <s v="NO"/>
  </r>
  <r>
    <n v="2425"/>
    <s v="Student_424"/>
    <x v="3"/>
    <x v="1"/>
    <n v="45717"/>
    <n v="35887"/>
    <n v="28934"/>
    <s v="2025-03"/>
    <s v="Partially Paid"/>
    <s v="NO"/>
  </r>
  <r>
    <n v="2426"/>
    <s v="Student_425"/>
    <x v="1"/>
    <x v="3"/>
    <n v="45705"/>
    <n v="49320"/>
    <n v="40204"/>
    <s v="2025-02"/>
    <s v="Partially Paid"/>
    <s v="NO"/>
  </r>
  <r>
    <n v="2427"/>
    <s v="Student_426"/>
    <x v="6"/>
    <x v="5"/>
    <n v="45686"/>
    <n v="40808"/>
    <n v="34774"/>
    <s v="2025-01"/>
    <s v="Partially Paid"/>
    <s v="NO"/>
  </r>
  <r>
    <n v="2428"/>
    <s v="Student_427"/>
    <x v="1"/>
    <x v="1"/>
    <n v="45754"/>
    <n v="50154"/>
    <n v="45565"/>
    <s v="2025-04"/>
    <s v="Partially Paid"/>
    <s v="YES"/>
  </r>
  <r>
    <n v="2429"/>
    <s v="Student_428"/>
    <x v="0"/>
    <x v="1"/>
    <n v="45667"/>
    <n v="54773"/>
    <n v="53227"/>
    <s v="2025-01"/>
    <s v="Partially Paid"/>
    <s v="YES"/>
  </r>
  <r>
    <n v="2430"/>
    <s v="Student_429"/>
    <x v="2"/>
    <x v="4"/>
    <n v="45899"/>
    <n v="47747"/>
    <n v="41682"/>
    <s v="2025-08"/>
    <s v="Partially Paid"/>
    <s v="NO"/>
  </r>
  <r>
    <n v="2431"/>
    <s v="Student_430"/>
    <x v="2"/>
    <x v="0"/>
    <n v="45971"/>
    <n v="30860"/>
    <n v="29766"/>
    <s v="2025-11"/>
    <s v="Partially Paid"/>
    <s v="NO"/>
  </r>
  <r>
    <n v="2432"/>
    <s v="Student_431"/>
    <x v="0"/>
    <x v="4"/>
    <n v="45889"/>
    <n v="38156"/>
    <n v="35745"/>
    <s v="2025-08"/>
    <s v="Partially Paid"/>
    <s v="NO"/>
  </r>
  <r>
    <n v="2433"/>
    <s v="Student_432"/>
    <x v="6"/>
    <x v="4"/>
    <n v="45934"/>
    <n v="40360"/>
    <n v="37743"/>
    <s v="2025-10"/>
    <s v="Partially Paid"/>
    <s v="NO"/>
  </r>
  <r>
    <n v="2434"/>
    <s v="Student_433"/>
    <x v="3"/>
    <x v="2"/>
    <n v="45941"/>
    <n v="38135"/>
    <n v="24022"/>
    <s v="2025-10"/>
    <s v="Partially Paid"/>
    <s v="NO"/>
  </r>
  <r>
    <n v="2435"/>
    <s v="Student_434"/>
    <x v="4"/>
    <x v="5"/>
    <n v="45860"/>
    <n v="45351"/>
    <n v="36397"/>
    <s v="2025-07"/>
    <s v="Partially Paid"/>
    <s v="NO"/>
  </r>
  <r>
    <n v="2436"/>
    <s v="Student_435"/>
    <x v="6"/>
    <x v="0"/>
    <n v="45904"/>
    <n v="50499"/>
    <n v="39984"/>
    <s v="2025-09"/>
    <s v="Partially Paid"/>
    <s v="YES"/>
  </r>
  <r>
    <n v="2437"/>
    <s v="Student_436"/>
    <x v="4"/>
    <x v="3"/>
    <n v="45947"/>
    <n v="43554"/>
    <n v="39409"/>
    <s v="2025-10"/>
    <s v="Partially Paid"/>
    <s v="NO"/>
  </r>
  <r>
    <n v="2438"/>
    <s v="Student_437"/>
    <x v="0"/>
    <x v="3"/>
    <n v="45921"/>
    <n v="39604"/>
    <n v="36829"/>
    <s v="2025-09"/>
    <s v="Partially Paid"/>
    <s v="NO"/>
  </r>
  <r>
    <n v="2439"/>
    <s v="Student_438"/>
    <x v="5"/>
    <x v="1"/>
    <n v="45871"/>
    <n v="36923"/>
    <n v="23730"/>
    <s v="2025-08"/>
    <s v="Partially Paid"/>
    <s v="NO"/>
  </r>
  <r>
    <n v="2440"/>
    <s v="Student_439"/>
    <x v="4"/>
    <x v="1"/>
    <n v="45857"/>
    <n v="28547"/>
    <n v="15696"/>
    <s v="2025-07"/>
    <s v="Partially Paid"/>
    <s v="NO"/>
  </r>
  <r>
    <n v="2441"/>
    <s v="Student_440"/>
    <x v="3"/>
    <x v="3"/>
    <n v="45736"/>
    <n v="53002"/>
    <n v="39932"/>
    <s v="2025-03"/>
    <s v="Partially Paid"/>
    <s v="YES"/>
  </r>
  <r>
    <n v="2442"/>
    <s v="Student_441"/>
    <x v="5"/>
    <x v="1"/>
    <n v="46000"/>
    <n v="34562"/>
    <n v="27934"/>
    <s v="2025-12"/>
    <s v="Partially Paid"/>
    <s v="NO"/>
  </r>
  <r>
    <n v="2443"/>
    <s v="Student_442"/>
    <x v="4"/>
    <x v="5"/>
    <n v="46001"/>
    <n v="27480"/>
    <n v="24325"/>
    <s v="2025-12"/>
    <s v="Partially Paid"/>
    <s v="NO"/>
  </r>
  <r>
    <n v="2444"/>
    <s v="Student_443"/>
    <x v="0"/>
    <x v="4"/>
    <n v="45830"/>
    <n v="46672"/>
    <n v="42702"/>
    <s v="2025-06"/>
    <s v="Partially Paid"/>
    <s v="NO"/>
  </r>
  <r>
    <n v="2445"/>
    <s v="Student_444"/>
    <x v="5"/>
    <x v="1"/>
    <n v="45726"/>
    <n v="24213"/>
    <n v="16241"/>
    <s v="2025-03"/>
    <s v="Partially Paid"/>
    <s v="NO"/>
  </r>
  <r>
    <n v="2446"/>
    <s v="Student_445"/>
    <x v="0"/>
    <x v="2"/>
    <n v="45744"/>
    <n v="30293"/>
    <n v="20061"/>
    <s v="2025-03"/>
    <s v="Partially Paid"/>
    <s v="NO"/>
  </r>
  <r>
    <n v="2447"/>
    <s v="Student_446"/>
    <x v="4"/>
    <x v="1"/>
    <n v="45758"/>
    <n v="54441"/>
    <n v="40322"/>
    <s v="2025-04"/>
    <s v="Partially Paid"/>
    <s v="YES"/>
  </r>
  <r>
    <n v="2448"/>
    <s v="Student_447"/>
    <x v="0"/>
    <x v="0"/>
    <n v="45665"/>
    <n v="22100"/>
    <n v="13325"/>
    <s v="2025-01"/>
    <s v="Partially Paid"/>
    <s v="NO"/>
  </r>
  <r>
    <n v="2449"/>
    <s v="Student_448"/>
    <x v="3"/>
    <x v="5"/>
    <n v="45990"/>
    <n v="48172"/>
    <n v="42757"/>
    <s v="2025-11"/>
    <s v="Partially Paid"/>
    <s v="NO"/>
  </r>
  <r>
    <n v="2450"/>
    <s v="Student_449"/>
    <x v="4"/>
    <x v="0"/>
    <n v="45857"/>
    <n v="40132"/>
    <n v="35801"/>
    <s v="2025-07"/>
    <s v="Partially Paid"/>
    <s v="NO"/>
  </r>
  <r>
    <n v="2451"/>
    <s v="Student_450"/>
    <x v="4"/>
    <x v="0"/>
    <n v="45744"/>
    <n v="38199"/>
    <n v="27904"/>
    <s v="2025-03"/>
    <s v="Partially Paid"/>
    <s v="NO"/>
  </r>
  <r>
    <n v="2452"/>
    <s v="Student_451"/>
    <x v="4"/>
    <x v="2"/>
    <n v="45700"/>
    <n v="56609"/>
    <n v="54667"/>
    <s v="2025-02"/>
    <s v="Partially Paid"/>
    <s v="YES"/>
  </r>
  <r>
    <n v="2453"/>
    <s v="Student_452"/>
    <x v="6"/>
    <x v="5"/>
    <n v="45766"/>
    <n v="28016"/>
    <n v="15369"/>
    <s v="2025-04"/>
    <s v="Partially Paid"/>
    <s v="NO"/>
  </r>
  <r>
    <n v="2454"/>
    <s v="Student_453"/>
    <x v="6"/>
    <x v="5"/>
    <n v="45809"/>
    <n v="59779"/>
    <n v="53753"/>
    <s v="2025-06"/>
    <s v="Partially Paid"/>
    <s v="YES"/>
  </r>
  <r>
    <n v="2455"/>
    <s v="Student_454"/>
    <x v="6"/>
    <x v="5"/>
    <n v="45674"/>
    <n v="57261"/>
    <n v="48960"/>
    <s v="2025-01"/>
    <s v="Partially Paid"/>
    <s v="YES"/>
  </r>
  <r>
    <n v="2456"/>
    <s v="Student_455"/>
    <x v="3"/>
    <x v="5"/>
    <n v="45790"/>
    <n v="51881"/>
    <n v="51690"/>
    <s v="2025-05"/>
    <s v="Partially Paid"/>
    <s v="YES"/>
  </r>
  <r>
    <n v="2457"/>
    <s v="Student_456"/>
    <x v="5"/>
    <x v="5"/>
    <n v="45805"/>
    <n v="37058"/>
    <n v="27963"/>
    <s v="2025-05"/>
    <s v="Partially Paid"/>
    <s v="NO"/>
  </r>
  <r>
    <n v="2458"/>
    <s v="Student_457"/>
    <x v="0"/>
    <x v="2"/>
    <n v="45934"/>
    <n v="44472"/>
    <n v="31068"/>
    <s v="2025-10"/>
    <s v="Partially Paid"/>
    <s v="NO"/>
  </r>
  <r>
    <n v="2459"/>
    <s v="Student_458"/>
    <x v="2"/>
    <x v="1"/>
    <n v="45889"/>
    <n v="54926"/>
    <n v="54065"/>
    <s v="2025-08"/>
    <s v="Partially Paid"/>
    <s v="YES"/>
  </r>
  <r>
    <n v="2460"/>
    <s v="Student_459"/>
    <x v="4"/>
    <x v="0"/>
    <n v="45971"/>
    <n v="54832"/>
    <n v="48121"/>
    <s v="2025-11"/>
    <s v="Partially Paid"/>
    <s v="YES"/>
  </r>
  <r>
    <n v="2461"/>
    <s v="Student_460"/>
    <x v="0"/>
    <x v="5"/>
    <n v="45885"/>
    <n v="56021"/>
    <n v="46746"/>
    <s v="2025-08"/>
    <s v="Partially Paid"/>
    <s v="YES"/>
  </r>
  <r>
    <n v="2462"/>
    <s v="Student_461"/>
    <x v="4"/>
    <x v="1"/>
    <n v="45796"/>
    <n v="44087"/>
    <n v="43438"/>
    <s v="2025-05"/>
    <s v="Partially Paid"/>
    <s v="NO"/>
  </r>
  <r>
    <n v="2463"/>
    <s v="Student_462"/>
    <x v="3"/>
    <x v="1"/>
    <n v="45868"/>
    <n v="32828"/>
    <n v="28694"/>
    <s v="2025-07"/>
    <s v="Partially Paid"/>
    <s v="NO"/>
  </r>
  <r>
    <n v="2464"/>
    <s v="Student_463"/>
    <x v="4"/>
    <x v="0"/>
    <n v="45685"/>
    <n v="51128"/>
    <n v="39325"/>
    <s v="2025-01"/>
    <s v="Partially Paid"/>
    <s v="YES"/>
  </r>
  <r>
    <n v="2465"/>
    <s v="Student_464"/>
    <x v="6"/>
    <x v="2"/>
    <n v="45708"/>
    <n v="21401"/>
    <n v="13814"/>
    <s v="2025-02"/>
    <s v="Partially Paid"/>
    <s v="NO"/>
  </r>
  <r>
    <n v="2466"/>
    <s v="Student_465"/>
    <x v="2"/>
    <x v="3"/>
    <n v="45918"/>
    <n v="39643"/>
    <n v="30815"/>
    <s v="2025-09"/>
    <s v="Partially Paid"/>
    <s v="NO"/>
  </r>
  <r>
    <n v="2467"/>
    <s v="Student_466"/>
    <x v="1"/>
    <x v="3"/>
    <n v="45918"/>
    <n v="35193"/>
    <n v="34157"/>
    <s v="2025-09"/>
    <s v="Partially Paid"/>
    <s v="NO"/>
  </r>
  <r>
    <n v="2468"/>
    <s v="Student_467"/>
    <x v="4"/>
    <x v="1"/>
    <n v="46007"/>
    <n v="46853"/>
    <n v="42722"/>
    <s v="2025-12"/>
    <s v="Partially Paid"/>
    <s v="NO"/>
  </r>
  <r>
    <n v="2469"/>
    <s v="Student_468"/>
    <x v="0"/>
    <x v="4"/>
    <n v="46009"/>
    <n v="40307"/>
    <n v="38159"/>
    <s v="2025-12"/>
    <s v="Partially Paid"/>
    <s v="NO"/>
  </r>
  <r>
    <n v="2470"/>
    <s v="Student_469"/>
    <x v="6"/>
    <x v="4"/>
    <n v="45665"/>
    <n v="56982"/>
    <n v="44925"/>
    <s v="2025-01"/>
    <s v="Partially Paid"/>
    <s v="YES"/>
  </r>
  <r>
    <n v="2471"/>
    <s v="Student_470"/>
    <x v="1"/>
    <x v="0"/>
    <n v="45977"/>
    <n v="39611"/>
    <n v="28262"/>
    <s v="2025-11"/>
    <s v="Partially Paid"/>
    <s v="NO"/>
  </r>
  <r>
    <n v="2472"/>
    <s v="Student_471"/>
    <x v="2"/>
    <x v="3"/>
    <n v="45795"/>
    <n v="31950"/>
    <n v="20171"/>
    <s v="2025-05"/>
    <s v="Partially Paid"/>
    <s v="NO"/>
  </r>
  <r>
    <n v="2473"/>
    <s v="Student_472"/>
    <x v="1"/>
    <x v="1"/>
    <n v="45695"/>
    <n v="30704"/>
    <n v="19218"/>
    <s v="2025-02"/>
    <s v="Partially Paid"/>
    <s v="NO"/>
  </r>
  <r>
    <n v="2474"/>
    <s v="Student_473"/>
    <x v="6"/>
    <x v="2"/>
    <n v="45768"/>
    <n v="31867"/>
    <n v="26410"/>
    <s v="2025-04"/>
    <s v="Partially Paid"/>
    <s v="NO"/>
  </r>
  <r>
    <n v="2475"/>
    <s v="Student_474"/>
    <x v="5"/>
    <x v="3"/>
    <n v="45877"/>
    <n v="22745"/>
    <n v="16666"/>
    <s v="2025-08"/>
    <s v="Partially Paid"/>
    <s v="NO"/>
  </r>
  <r>
    <n v="2476"/>
    <s v="Student_475"/>
    <x v="5"/>
    <x v="1"/>
    <n v="45994"/>
    <n v="23866"/>
    <n v="11413"/>
    <s v="2025-12"/>
    <s v="Partially Paid"/>
    <s v="NO"/>
  </r>
  <r>
    <n v="2477"/>
    <s v="Student_476"/>
    <x v="1"/>
    <x v="1"/>
    <n v="45880"/>
    <n v="52245"/>
    <n v="49815"/>
    <s v="2025-08"/>
    <s v="Partially Paid"/>
    <s v="YES"/>
  </r>
  <r>
    <n v="2478"/>
    <s v="Student_477"/>
    <x v="3"/>
    <x v="5"/>
    <n v="45793"/>
    <n v="25818"/>
    <n v="23939"/>
    <s v="2025-05"/>
    <s v="Partially Paid"/>
    <s v="NO"/>
  </r>
  <r>
    <n v="2479"/>
    <s v="Student_478"/>
    <x v="0"/>
    <x v="2"/>
    <n v="45913"/>
    <n v="50116"/>
    <n v="37958"/>
    <s v="2025-09"/>
    <s v="Partially Paid"/>
    <s v="YES"/>
  </r>
  <r>
    <n v="2480"/>
    <s v="Student_479"/>
    <x v="0"/>
    <x v="5"/>
    <n v="46017"/>
    <n v="35493"/>
    <n v="23588"/>
    <s v="2025-12"/>
    <s v="Partially Paid"/>
    <s v="NO"/>
  </r>
  <r>
    <n v="2481"/>
    <s v="Student_480"/>
    <x v="1"/>
    <x v="0"/>
    <n v="45986"/>
    <n v="48038"/>
    <n v="35720"/>
    <s v="2025-11"/>
    <s v="Partially Paid"/>
    <s v="NO"/>
  </r>
  <r>
    <n v="2482"/>
    <s v="Student_481"/>
    <x v="4"/>
    <x v="5"/>
    <n v="45706"/>
    <n v="40447"/>
    <n v="32905"/>
    <s v="2025-02"/>
    <s v="Partially Paid"/>
    <s v="NO"/>
  </r>
  <r>
    <n v="2483"/>
    <s v="Student_482"/>
    <x v="4"/>
    <x v="5"/>
    <n v="45949"/>
    <n v="50431"/>
    <n v="38133"/>
    <s v="2025-10"/>
    <s v="Partially Paid"/>
    <s v="YES"/>
  </r>
  <r>
    <n v="2484"/>
    <s v="Student_483"/>
    <x v="0"/>
    <x v="3"/>
    <n v="45981"/>
    <n v="37908"/>
    <n v="35897"/>
    <s v="2025-11"/>
    <s v="Partially Paid"/>
    <s v="NO"/>
  </r>
  <r>
    <n v="2485"/>
    <s v="Student_484"/>
    <x v="0"/>
    <x v="4"/>
    <n v="45735"/>
    <n v="49336"/>
    <n v="45963"/>
    <s v="2025-03"/>
    <s v="Partially Paid"/>
    <s v="NO"/>
  </r>
  <r>
    <n v="2486"/>
    <s v="Student_485"/>
    <x v="5"/>
    <x v="1"/>
    <n v="45762"/>
    <n v="24025"/>
    <n v="13690"/>
    <s v="2025-04"/>
    <s v="Partially Paid"/>
    <s v="NO"/>
  </r>
  <r>
    <n v="2487"/>
    <s v="Student_486"/>
    <x v="3"/>
    <x v="2"/>
    <n v="45826"/>
    <n v="40093"/>
    <n v="32736"/>
    <s v="2025-06"/>
    <s v="Partially Paid"/>
    <s v="NO"/>
  </r>
  <r>
    <n v="2488"/>
    <s v="Student_487"/>
    <x v="6"/>
    <x v="5"/>
    <n v="45874"/>
    <n v="26155"/>
    <n v="15463"/>
    <s v="2025-08"/>
    <s v="Partially Paid"/>
    <s v="NO"/>
  </r>
  <r>
    <n v="2489"/>
    <s v="Student_488"/>
    <x v="4"/>
    <x v="2"/>
    <n v="45776"/>
    <n v="53487"/>
    <n v="38960"/>
    <s v="2025-04"/>
    <s v="Partially Paid"/>
    <s v="YES"/>
  </r>
  <r>
    <n v="2490"/>
    <s v="Student_489"/>
    <x v="0"/>
    <x v="4"/>
    <n v="45847"/>
    <n v="40963"/>
    <n v="28190"/>
    <s v="2025-07"/>
    <s v="Partially Paid"/>
    <s v="NO"/>
  </r>
  <r>
    <n v="2491"/>
    <s v="Student_490"/>
    <x v="5"/>
    <x v="4"/>
    <n v="45912"/>
    <n v="40936"/>
    <n v="39647"/>
    <s v="2025-09"/>
    <s v="Partially Paid"/>
    <s v="NO"/>
  </r>
  <r>
    <n v="2492"/>
    <s v="Student_491"/>
    <x v="2"/>
    <x v="5"/>
    <n v="45923"/>
    <n v="24426"/>
    <n v="22979"/>
    <s v="2025-09"/>
    <s v="Partially Paid"/>
    <s v="NO"/>
  </r>
  <r>
    <n v="2493"/>
    <s v="Student_492"/>
    <x v="5"/>
    <x v="0"/>
    <n v="45806"/>
    <n v="43303"/>
    <n v="40104"/>
    <s v="2025-05"/>
    <s v="Partially Paid"/>
    <s v="NO"/>
  </r>
  <r>
    <n v="2494"/>
    <s v="Student_493"/>
    <x v="4"/>
    <x v="5"/>
    <n v="45821"/>
    <n v="47606"/>
    <n v="41225"/>
    <s v="2025-06"/>
    <s v="Partially Paid"/>
    <s v="NO"/>
  </r>
  <r>
    <n v="2495"/>
    <s v="Student_494"/>
    <x v="4"/>
    <x v="3"/>
    <n v="45797"/>
    <n v="48151"/>
    <n v="38016"/>
    <s v="2025-05"/>
    <s v="Partially Paid"/>
    <s v="NO"/>
  </r>
  <r>
    <n v="2496"/>
    <s v="Student_495"/>
    <x v="5"/>
    <x v="1"/>
    <n v="46004"/>
    <n v="33767"/>
    <n v="26245"/>
    <s v="2025-12"/>
    <s v="Partially Paid"/>
    <s v="NO"/>
  </r>
  <r>
    <n v="2497"/>
    <s v="Student_496"/>
    <x v="6"/>
    <x v="0"/>
    <n v="45915"/>
    <n v="31308"/>
    <n v="25249"/>
    <s v="2025-09"/>
    <s v="Partially Paid"/>
    <s v="NO"/>
  </r>
  <r>
    <n v="2498"/>
    <s v="Student_497"/>
    <x v="1"/>
    <x v="5"/>
    <n v="45926"/>
    <n v="44770"/>
    <n v="41587"/>
    <s v="2025-09"/>
    <s v="Partially Paid"/>
    <s v="NO"/>
  </r>
  <r>
    <n v="2499"/>
    <s v="Student_498"/>
    <x v="4"/>
    <x v="2"/>
    <n v="45838"/>
    <n v="48572"/>
    <n v="34433"/>
    <s v="2025-06"/>
    <s v="Partially Paid"/>
    <s v="NO"/>
  </r>
  <r>
    <n v="2500"/>
    <s v="Student_499"/>
    <x v="5"/>
    <x v="0"/>
    <n v="45817"/>
    <n v="22204"/>
    <n v="8447"/>
    <s v="2025-06"/>
    <s v="Partially Paid"/>
    <s v="NO"/>
  </r>
  <r>
    <n v="2501"/>
    <s v="Student_500"/>
    <x v="0"/>
    <x v="0"/>
    <n v="46008"/>
    <n v="47233"/>
    <n v="41771"/>
    <s v="2025-12"/>
    <s v="Partially Paid"/>
    <s v="NO"/>
  </r>
  <r>
    <n v="2502"/>
    <s v="Student_501"/>
    <x v="5"/>
    <x v="5"/>
    <n v="45945"/>
    <n v="41729"/>
    <n v="38513"/>
    <s v="2025-10"/>
    <s v="Partially Paid"/>
    <s v="NO"/>
  </r>
  <r>
    <n v="2503"/>
    <s v="Student_502"/>
    <x v="3"/>
    <x v="0"/>
    <n v="45945"/>
    <n v="51131"/>
    <n v="47995"/>
    <s v="2025-10"/>
    <s v="Partially Paid"/>
    <s v="YES"/>
  </r>
  <r>
    <n v="2504"/>
    <s v="Student_503"/>
    <x v="1"/>
    <x v="2"/>
    <n v="45883"/>
    <n v="53870"/>
    <n v="50552"/>
    <s v="2025-08"/>
    <s v="Partially Paid"/>
    <s v="YES"/>
  </r>
  <r>
    <n v="2505"/>
    <s v="Student_504"/>
    <x v="2"/>
    <x v="4"/>
    <n v="45668"/>
    <n v="58011"/>
    <n v="55229"/>
    <s v="2025-01"/>
    <s v="Partially Paid"/>
    <s v="YES"/>
  </r>
  <r>
    <n v="2506"/>
    <s v="Student_505"/>
    <x v="6"/>
    <x v="0"/>
    <n v="45667"/>
    <n v="59382"/>
    <n v="50200"/>
    <s v="2025-01"/>
    <s v="Partially Paid"/>
    <s v="YES"/>
  </r>
  <r>
    <n v="2507"/>
    <s v="Student_506"/>
    <x v="2"/>
    <x v="4"/>
    <n v="45928"/>
    <n v="41607"/>
    <n v="33950"/>
    <s v="2025-09"/>
    <s v="Partially Paid"/>
    <s v="NO"/>
  </r>
  <r>
    <n v="2508"/>
    <s v="Student_507"/>
    <x v="1"/>
    <x v="2"/>
    <n v="45930"/>
    <n v="44968"/>
    <n v="40048"/>
    <s v="2025-09"/>
    <s v="Partially Paid"/>
    <s v="NO"/>
  </r>
  <r>
    <n v="2509"/>
    <s v="Student_508"/>
    <x v="1"/>
    <x v="5"/>
    <n v="45840"/>
    <n v="53398"/>
    <n v="39648"/>
    <s v="2025-07"/>
    <s v="Partially Paid"/>
    <s v="YES"/>
  </r>
  <r>
    <n v="2510"/>
    <s v="Student_509"/>
    <x v="1"/>
    <x v="1"/>
    <n v="45810"/>
    <n v="31908"/>
    <n v="21563"/>
    <s v="2025-06"/>
    <s v="Partially Paid"/>
    <s v="NO"/>
  </r>
  <r>
    <n v="2511"/>
    <s v="Student_510"/>
    <x v="2"/>
    <x v="0"/>
    <n v="45972"/>
    <n v="46423"/>
    <n v="40099"/>
    <s v="2025-11"/>
    <s v="Partially Paid"/>
    <s v="NO"/>
  </r>
  <r>
    <n v="2512"/>
    <s v="Student_511"/>
    <x v="0"/>
    <x v="1"/>
    <n v="45991"/>
    <n v="29171"/>
    <n v="22844"/>
    <s v="2025-11"/>
    <s v="Partially Paid"/>
    <s v="NO"/>
  </r>
  <r>
    <n v="2513"/>
    <s v="Student_512"/>
    <x v="1"/>
    <x v="2"/>
    <n v="45781"/>
    <n v="32721"/>
    <n v="24304"/>
    <s v="2025-05"/>
    <s v="Partially Paid"/>
    <s v="NO"/>
  </r>
  <r>
    <n v="2514"/>
    <s v="Student_513"/>
    <x v="5"/>
    <x v="0"/>
    <n v="45771"/>
    <n v="36616"/>
    <n v="35840"/>
    <s v="2025-04"/>
    <s v="Partially Paid"/>
    <s v="NO"/>
  </r>
  <r>
    <n v="2515"/>
    <s v="Student_514"/>
    <x v="2"/>
    <x v="4"/>
    <n v="45935"/>
    <n v="58458"/>
    <n v="47429"/>
    <s v="2025-10"/>
    <s v="Partially Paid"/>
    <s v="YES"/>
  </r>
  <r>
    <n v="2516"/>
    <s v="Student_515"/>
    <x v="1"/>
    <x v="3"/>
    <n v="45870"/>
    <n v="27659"/>
    <n v="22451"/>
    <s v="2025-08"/>
    <s v="Partially Paid"/>
    <s v="NO"/>
  </r>
  <r>
    <n v="2517"/>
    <s v="Student_516"/>
    <x v="5"/>
    <x v="1"/>
    <n v="45829"/>
    <n v="31704"/>
    <n v="31017"/>
    <s v="2025-06"/>
    <s v="Partially Paid"/>
    <s v="NO"/>
  </r>
  <r>
    <n v="2518"/>
    <s v="Student_517"/>
    <x v="0"/>
    <x v="0"/>
    <n v="45945"/>
    <n v="52793"/>
    <n v="52264"/>
    <s v="2025-10"/>
    <s v="Partially Paid"/>
    <s v="YES"/>
  </r>
  <r>
    <n v="2519"/>
    <s v="Student_518"/>
    <x v="3"/>
    <x v="1"/>
    <n v="45831"/>
    <n v="51226"/>
    <n v="39592"/>
    <s v="2025-06"/>
    <s v="Partially Paid"/>
    <s v="YES"/>
  </r>
  <r>
    <n v="2520"/>
    <s v="Student_519"/>
    <x v="0"/>
    <x v="0"/>
    <n v="45770"/>
    <n v="43852"/>
    <n v="38785"/>
    <s v="2025-04"/>
    <s v="Partially Paid"/>
    <s v="NO"/>
  </r>
  <r>
    <n v="2521"/>
    <s v="Student_520"/>
    <x v="1"/>
    <x v="5"/>
    <n v="45779"/>
    <n v="52082"/>
    <n v="38859"/>
    <s v="2025-05"/>
    <s v="Partially Paid"/>
    <s v="YES"/>
  </r>
  <r>
    <n v="2522"/>
    <s v="Student_521"/>
    <x v="2"/>
    <x v="4"/>
    <n v="45689"/>
    <n v="42794"/>
    <n v="34714"/>
    <s v="2025-02"/>
    <s v="Partially Paid"/>
    <s v="NO"/>
  </r>
  <r>
    <n v="2523"/>
    <s v="Student_522"/>
    <x v="4"/>
    <x v="1"/>
    <n v="45879"/>
    <n v="33379"/>
    <n v="27861"/>
    <s v="2025-08"/>
    <s v="Partially Paid"/>
    <s v="NO"/>
  </r>
  <r>
    <n v="2524"/>
    <s v="Student_523"/>
    <x v="1"/>
    <x v="3"/>
    <n v="45776"/>
    <n v="27006"/>
    <n v="24853"/>
    <s v="2025-04"/>
    <s v="Partially Paid"/>
    <s v="NO"/>
  </r>
  <r>
    <n v="2525"/>
    <s v="Student_524"/>
    <x v="4"/>
    <x v="3"/>
    <n v="45696"/>
    <n v="28682"/>
    <n v="19196"/>
    <s v="2025-02"/>
    <s v="Partially Paid"/>
    <s v="NO"/>
  </r>
  <r>
    <n v="2526"/>
    <s v="Student_525"/>
    <x v="5"/>
    <x v="2"/>
    <n v="45925"/>
    <n v="53840"/>
    <n v="47746"/>
    <s v="2025-09"/>
    <s v="Partially Paid"/>
    <s v="YES"/>
  </r>
  <r>
    <n v="2527"/>
    <s v="Student_526"/>
    <x v="3"/>
    <x v="0"/>
    <n v="45890"/>
    <n v="52430"/>
    <n v="45456"/>
    <s v="2025-08"/>
    <s v="Partially Paid"/>
    <s v="YES"/>
  </r>
  <r>
    <n v="2528"/>
    <s v="Student_527"/>
    <x v="6"/>
    <x v="1"/>
    <n v="45675"/>
    <n v="43091"/>
    <n v="33373"/>
    <s v="2025-01"/>
    <s v="Partially Paid"/>
    <s v="NO"/>
  </r>
  <r>
    <n v="2529"/>
    <s v="Student_528"/>
    <x v="0"/>
    <x v="2"/>
    <n v="45806"/>
    <n v="52983"/>
    <n v="48209"/>
    <s v="2025-05"/>
    <s v="Partially Paid"/>
    <s v="YES"/>
  </r>
  <r>
    <n v="2530"/>
    <s v="Student_529"/>
    <x v="3"/>
    <x v="1"/>
    <n v="45806"/>
    <n v="43989"/>
    <n v="36297"/>
    <s v="2025-05"/>
    <s v="Partially Paid"/>
    <s v="NO"/>
  </r>
  <r>
    <n v="2531"/>
    <s v="Student_530"/>
    <x v="1"/>
    <x v="0"/>
    <n v="45783"/>
    <n v="29915"/>
    <n v="18827"/>
    <s v="2025-05"/>
    <s v="Partially Paid"/>
    <s v="NO"/>
  </r>
  <r>
    <n v="2532"/>
    <s v="Student_531"/>
    <x v="4"/>
    <x v="3"/>
    <n v="45959"/>
    <n v="38990"/>
    <n v="35887"/>
    <s v="2025-10"/>
    <s v="Partially Paid"/>
    <s v="NO"/>
  </r>
  <r>
    <n v="2533"/>
    <s v="Student_532"/>
    <x v="0"/>
    <x v="5"/>
    <n v="46017"/>
    <n v="44734"/>
    <n v="42294"/>
    <s v="2025-12"/>
    <s v="Partially Paid"/>
    <s v="NO"/>
  </r>
  <r>
    <n v="2534"/>
    <s v="Student_533"/>
    <x v="4"/>
    <x v="3"/>
    <n v="45895"/>
    <n v="34824"/>
    <n v="30689"/>
    <s v="2025-08"/>
    <s v="Partially Paid"/>
    <s v="NO"/>
  </r>
  <r>
    <n v="2535"/>
    <s v="Student_534"/>
    <x v="2"/>
    <x v="2"/>
    <n v="45792"/>
    <n v="56081"/>
    <n v="41086"/>
    <s v="2025-05"/>
    <s v="Partially Paid"/>
    <s v="YES"/>
  </r>
  <r>
    <n v="2536"/>
    <s v="Student_535"/>
    <x v="4"/>
    <x v="4"/>
    <n v="45808"/>
    <n v="31033"/>
    <n v="19039"/>
    <s v="2025-05"/>
    <s v="Partially Paid"/>
    <s v="NO"/>
  </r>
  <r>
    <n v="2537"/>
    <s v="Student_536"/>
    <x v="2"/>
    <x v="5"/>
    <n v="45893"/>
    <n v="36241"/>
    <n v="29117"/>
    <s v="2025-08"/>
    <s v="Partially Paid"/>
    <s v="NO"/>
  </r>
  <r>
    <n v="2538"/>
    <s v="Student_537"/>
    <x v="5"/>
    <x v="2"/>
    <n v="45881"/>
    <n v="25939"/>
    <n v="20738"/>
    <s v="2025-08"/>
    <s v="Partially Paid"/>
    <s v="NO"/>
  </r>
  <r>
    <n v="2539"/>
    <s v="Student_538"/>
    <x v="0"/>
    <x v="0"/>
    <n v="45860"/>
    <n v="55063"/>
    <n v="54219"/>
    <s v="2025-07"/>
    <s v="Partially Paid"/>
    <s v="YES"/>
  </r>
  <r>
    <n v="2540"/>
    <s v="Student_539"/>
    <x v="0"/>
    <x v="5"/>
    <n v="45913"/>
    <n v="54464"/>
    <n v="40433"/>
    <s v="2025-09"/>
    <s v="Partially Paid"/>
    <s v="YES"/>
  </r>
  <r>
    <n v="2541"/>
    <s v="Student_540"/>
    <x v="6"/>
    <x v="2"/>
    <n v="45743"/>
    <n v="31185"/>
    <n v="16649"/>
    <s v="2025-03"/>
    <s v="Partially Paid"/>
    <s v="NO"/>
  </r>
  <r>
    <n v="2542"/>
    <s v="Student_541"/>
    <x v="1"/>
    <x v="0"/>
    <n v="45807"/>
    <n v="47045"/>
    <n v="46599"/>
    <s v="2025-05"/>
    <s v="Partially Paid"/>
    <s v="NO"/>
  </r>
  <r>
    <n v="2543"/>
    <s v="Student_542"/>
    <x v="2"/>
    <x v="3"/>
    <n v="45892"/>
    <n v="39167"/>
    <n v="35252"/>
    <s v="2025-08"/>
    <s v="Partially Paid"/>
    <s v="NO"/>
  </r>
  <r>
    <n v="2544"/>
    <s v="Student_543"/>
    <x v="6"/>
    <x v="4"/>
    <n v="46002"/>
    <n v="56412"/>
    <n v="53303"/>
    <s v="2025-12"/>
    <s v="Partially Paid"/>
    <s v="YES"/>
  </r>
  <r>
    <n v="2545"/>
    <s v="Student_544"/>
    <x v="4"/>
    <x v="0"/>
    <n v="45679"/>
    <n v="41625"/>
    <n v="40391"/>
    <s v="2025-01"/>
    <s v="Partially Paid"/>
    <s v="NO"/>
  </r>
  <r>
    <n v="2546"/>
    <s v="Student_545"/>
    <x v="4"/>
    <x v="1"/>
    <n v="46005"/>
    <n v="59188"/>
    <n v="52601"/>
    <s v="2025-12"/>
    <s v="Partially Paid"/>
    <s v="YES"/>
  </r>
  <r>
    <n v="2547"/>
    <s v="Student_546"/>
    <x v="6"/>
    <x v="0"/>
    <n v="45942"/>
    <n v="47076"/>
    <n v="33438"/>
    <s v="2025-10"/>
    <s v="Partially Paid"/>
    <s v="NO"/>
  </r>
  <r>
    <n v="2548"/>
    <s v="Student_547"/>
    <x v="0"/>
    <x v="0"/>
    <n v="45926"/>
    <n v="39029"/>
    <n v="38803"/>
    <s v="2025-09"/>
    <s v="Partially Paid"/>
    <s v="NO"/>
  </r>
  <r>
    <n v="2549"/>
    <s v="Student_548"/>
    <x v="4"/>
    <x v="4"/>
    <n v="45915"/>
    <n v="42973"/>
    <n v="38830"/>
    <s v="2025-09"/>
    <s v="Partially Paid"/>
    <s v="NO"/>
  </r>
  <r>
    <n v="2550"/>
    <s v="Student_549"/>
    <x v="5"/>
    <x v="1"/>
    <n v="45686"/>
    <n v="59121"/>
    <n v="51936"/>
    <s v="2025-01"/>
    <s v="Partially Paid"/>
    <s v="YES"/>
  </r>
  <r>
    <n v="2551"/>
    <s v="Student_550"/>
    <x v="5"/>
    <x v="2"/>
    <n v="45870"/>
    <n v="51433"/>
    <n v="40282"/>
    <s v="2025-08"/>
    <s v="Partially Paid"/>
    <s v="YES"/>
  </r>
  <r>
    <n v="2552"/>
    <s v="Student_551"/>
    <x v="6"/>
    <x v="2"/>
    <n v="45940"/>
    <n v="21932"/>
    <n v="16374"/>
    <s v="2025-10"/>
    <s v="Partially Paid"/>
    <s v="NO"/>
  </r>
  <r>
    <n v="2553"/>
    <s v="Student_552"/>
    <x v="2"/>
    <x v="0"/>
    <n v="45707"/>
    <n v="21757"/>
    <n v="11735"/>
    <s v="2025-02"/>
    <s v="Partially Paid"/>
    <s v="NO"/>
  </r>
  <r>
    <n v="2554"/>
    <s v="Student_553"/>
    <x v="2"/>
    <x v="1"/>
    <n v="45752"/>
    <n v="50722"/>
    <n v="38751"/>
    <s v="2025-04"/>
    <s v="Partially Paid"/>
    <s v="YES"/>
  </r>
  <r>
    <n v="2555"/>
    <s v="Student_554"/>
    <x v="6"/>
    <x v="1"/>
    <n v="45745"/>
    <n v="57853"/>
    <n v="57667"/>
    <s v="2025-03"/>
    <s v="Partially Paid"/>
    <s v="YES"/>
  </r>
  <r>
    <n v="2556"/>
    <s v="Student_555"/>
    <x v="2"/>
    <x v="4"/>
    <n v="45701"/>
    <n v="58405"/>
    <n v="43725"/>
    <s v="2025-02"/>
    <s v="Partially Paid"/>
    <s v="YES"/>
  </r>
  <r>
    <n v="2557"/>
    <s v="Student_556"/>
    <x v="0"/>
    <x v="3"/>
    <n v="45935"/>
    <n v="21116"/>
    <n v="6557"/>
    <s v="2025-10"/>
    <s v="Partially Paid"/>
    <s v="NO"/>
  </r>
  <r>
    <n v="2558"/>
    <s v="Student_557"/>
    <x v="0"/>
    <x v="2"/>
    <n v="45828"/>
    <n v="31691"/>
    <n v="20622"/>
    <s v="2025-06"/>
    <s v="Partially Paid"/>
    <s v="NO"/>
  </r>
  <r>
    <n v="2559"/>
    <s v="Student_558"/>
    <x v="2"/>
    <x v="4"/>
    <n v="45846"/>
    <n v="20492"/>
    <n v="17957"/>
    <s v="2025-07"/>
    <s v="Partially Paid"/>
    <s v="NO"/>
  </r>
  <r>
    <n v="2560"/>
    <s v="Student_559"/>
    <x v="5"/>
    <x v="5"/>
    <n v="46010"/>
    <n v="47882"/>
    <n v="45950"/>
    <s v="2025-12"/>
    <s v="Partially Paid"/>
    <s v="NO"/>
  </r>
  <r>
    <n v="2561"/>
    <s v="Student_560"/>
    <x v="2"/>
    <x v="2"/>
    <n v="45841"/>
    <n v="28811"/>
    <n v="17695"/>
    <s v="2025-07"/>
    <s v="Partially Paid"/>
    <s v="NO"/>
  </r>
  <r>
    <n v="2562"/>
    <s v="Student_561"/>
    <x v="0"/>
    <x v="4"/>
    <n v="45660"/>
    <n v="47808"/>
    <n v="38768"/>
    <s v="2025-01"/>
    <s v="Partially Paid"/>
    <s v="NO"/>
  </r>
  <r>
    <n v="2563"/>
    <s v="Student_562"/>
    <x v="3"/>
    <x v="2"/>
    <n v="45848"/>
    <n v="44272"/>
    <n v="42240"/>
    <s v="2025-07"/>
    <s v="Partially Paid"/>
    <s v="NO"/>
  </r>
  <r>
    <n v="2564"/>
    <s v="Student_563"/>
    <x v="1"/>
    <x v="3"/>
    <n v="45775"/>
    <n v="48399"/>
    <n v="47147"/>
    <s v="2025-04"/>
    <s v="Partially Paid"/>
    <s v="NO"/>
  </r>
  <r>
    <n v="2565"/>
    <s v="Student_564"/>
    <x v="4"/>
    <x v="5"/>
    <n v="45676"/>
    <n v="26474"/>
    <n v="20965"/>
    <s v="2025-01"/>
    <s v="Partially Paid"/>
    <s v="NO"/>
  </r>
  <r>
    <n v="2566"/>
    <s v="Student_565"/>
    <x v="3"/>
    <x v="3"/>
    <n v="45680"/>
    <n v="46956"/>
    <n v="41882"/>
    <s v="2025-01"/>
    <s v="Partially Paid"/>
    <s v="NO"/>
  </r>
  <r>
    <n v="2567"/>
    <s v="Student_566"/>
    <x v="2"/>
    <x v="5"/>
    <n v="45687"/>
    <n v="33979"/>
    <n v="20079"/>
    <s v="2025-01"/>
    <s v="Partially Paid"/>
    <s v="NO"/>
  </r>
  <r>
    <n v="2568"/>
    <s v="Student_567"/>
    <x v="5"/>
    <x v="0"/>
    <n v="45952"/>
    <n v="48328"/>
    <n v="35024"/>
    <s v="2025-10"/>
    <s v="Partially Paid"/>
    <s v="NO"/>
  </r>
  <r>
    <n v="2569"/>
    <s v="Student_568"/>
    <x v="6"/>
    <x v="4"/>
    <n v="45765"/>
    <n v="32867"/>
    <n v="18344"/>
    <s v="2025-04"/>
    <s v="Partially Paid"/>
    <s v="NO"/>
  </r>
  <r>
    <n v="2570"/>
    <s v="Student_569"/>
    <x v="2"/>
    <x v="5"/>
    <n v="45938"/>
    <n v="45851"/>
    <n v="43970"/>
    <s v="2025-10"/>
    <s v="Partially Paid"/>
    <s v="NO"/>
  </r>
  <r>
    <n v="2571"/>
    <s v="Student_570"/>
    <x v="5"/>
    <x v="3"/>
    <n v="45785"/>
    <n v="51279"/>
    <n v="51010"/>
    <s v="2025-05"/>
    <s v="Partially Paid"/>
    <s v="YES"/>
  </r>
  <r>
    <n v="2572"/>
    <s v="Student_571"/>
    <x v="1"/>
    <x v="2"/>
    <n v="45886"/>
    <n v="50527"/>
    <n v="48897"/>
    <s v="2025-08"/>
    <s v="Partially Paid"/>
    <s v="YES"/>
  </r>
  <r>
    <n v="2573"/>
    <s v="Student_572"/>
    <x v="2"/>
    <x v="5"/>
    <n v="45768"/>
    <n v="27866"/>
    <n v="23461"/>
    <s v="2025-04"/>
    <s v="Partially Paid"/>
    <s v="NO"/>
  </r>
  <r>
    <n v="2574"/>
    <s v="Student_573"/>
    <x v="0"/>
    <x v="4"/>
    <n v="45793"/>
    <n v="35449"/>
    <n v="24054"/>
    <s v="2025-05"/>
    <s v="Partially Paid"/>
    <s v="NO"/>
  </r>
  <r>
    <n v="2575"/>
    <s v="Student_574"/>
    <x v="6"/>
    <x v="5"/>
    <n v="46019"/>
    <n v="30685"/>
    <n v="24546"/>
    <s v="2025-12"/>
    <s v="Partially Paid"/>
    <s v="NO"/>
  </r>
  <r>
    <n v="2576"/>
    <s v="Student_575"/>
    <x v="5"/>
    <x v="1"/>
    <n v="45843"/>
    <n v="43544"/>
    <n v="41970"/>
    <s v="2025-07"/>
    <s v="Partially Paid"/>
    <s v="NO"/>
  </r>
  <r>
    <n v="2577"/>
    <s v="Student_576"/>
    <x v="5"/>
    <x v="2"/>
    <n v="45801"/>
    <n v="25451"/>
    <n v="12068"/>
    <s v="2025-05"/>
    <s v="Partially Paid"/>
    <s v="NO"/>
  </r>
  <r>
    <n v="2578"/>
    <s v="Student_577"/>
    <x v="5"/>
    <x v="4"/>
    <n v="45729"/>
    <n v="41642"/>
    <n v="30558"/>
    <s v="2025-03"/>
    <s v="Partially Paid"/>
    <s v="NO"/>
  </r>
  <r>
    <n v="2579"/>
    <s v="Student_578"/>
    <x v="1"/>
    <x v="4"/>
    <n v="45786"/>
    <n v="59954"/>
    <n v="58259"/>
    <s v="2025-05"/>
    <s v="Partially Paid"/>
    <s v="YES"/>
  </r>
  <r>
    <n v="2580"/>
    <s v="Student_579"/>
    <x v="2"/>
    <x v="0"/>
    <n v="46021"/>
    <n v="58870"/>
    <n v="55612"/>
    <s v="2025-12"/>
    <s v="Partially Paid"/>
    <s v="YES"/>
  </r>
  <r>
    <n v="2581"/>
    <s v="Student_580"/>
    <x v="1"/>
    <x v="3"/>
    <n v="45918"/>
    <n v="51030"/>
    <n v="36209"/>
    <s v="2025-09"/>
    <s v="Partially Paid"/>
    <s v="YES"/>
  </r>
  <r>
    <n v="2582"/>
    <s v="Student_581"/>
    <x v="4"/>
    <x v="0"/>
    <n v="45660"/>
    <n v="50873"/>
    <n v="47611"/>
    <s v="2025-01"/>
    <s v="Partially Paid"/>
    <s v="YES"/>
  </r>
  <r>
    <n v="2583"/>
    <s v="Student_582"/>
    <x v="4"/>
    <x v="4"/>
    <n v="45761"/>
    <n v="20619"/>
    <n v="19174"/>
    <s v="2025-04"/>
    <s v="Partially Paid"/>
    <s v="NO"/>
  </r>
  <r>
    <n v="2584"/>
    <s v="Student_583"/>
    <x v="2"/>
    <x v="2"/>
    <n v="45881"/>
    <n v="53650"/>
    <n v="47387"/>
    <s v="2025-08"/>
    <s v="Partially Paid"/>
    <s v="YES"/>
  </r>
  <r>
    <n v="2585"/>
    <s v="Student_584"/>
    <x v="0"/>
    <x v="5"/>
    <n v="45977"/>
    <n v="45372"/>
    <n v="36961"/>
    <s v="2025-11"/>
    <s v="Partially Paid"/>
    <s v="NO"/>
  </r>
  <r>
    <n v="2586"/>
    <s v="Student_585"/>
    <x v="1"/>
    <x v="5"/>
    <n v="46019"/>
    <n v="23642"/>
    <n v="23590"/>
    <s v="2025-12"/>
    <s v="Partially Paid"/>
    <s v="NO"/>
  </r>
  <r>
    <n v="2587"/>
    <s v="Student_586"/>
    <x v="6"/>
    <x v="2"/>
    <n v="46011"/>
    <n v="48001"/>
    <n v="38052"/>
    <s v="2025-12"/>
    <s v="Partially Paid"/>
    <s v="NO"/>
  </r>
  <r>
    <n v="2588"/>
    <s v="Student_587"/>
    <x v="5"/>
    <x v="4"/>
    <n v="45667"/>
    <n v="54064"/>
    <n v="48494"/>
    <s v="2025-01"/>
    <s v="Partially Paid"/>
    <s v="YES"/>
  </r>
  <r>
    <n v="2589"/>
    <s v="Student_588"/>
    <x v="5"/>
    <x v="5"/>
    <n v="45959"/>
    <n v="49290"/>
    <n v="41711"/>
    <s v="2025-10"/>
    <s v="Partially Paid"/>
    <s v="NO"/>
  </r>
  <r>
    <n v="2590"/>
    <s v="Student_589"/>
    <x v="2"/>
    <x v="5"/>
    <n v="45888"/>
    <n v="34122"/>
    <n v="32456"/>
    <s v="2025-08"/>
    <s v="Partially Paid"/>
    <s v="NO"/>
  </r>
  <r>
    <n v="2591"/>
    <s v="Student_590"/>
    <x v="0"/>
    <x v="5"/>
    <n v="45876"/>
    <n v="44820"/>
    <n v="31272"/>
    <s v="2025-08"/>
    <s v="Partially Paid"/>
    <s v="NO"/>
  </r>
  <r>
    <n v="2592"/>
    <s v="Student_591"/>
    <x v="4"/>
    <x v="3"/>
    <n v="45723"/>
    <n v="22895"/>
    <n v="15994"/>
    <s v="2025-03"/>
    <s v="Partially Paid"/>
    <s v="NO"/>
  </r>
  <r>
    <n v="2593"/>
    <s v="Student_592"/>
    <x v="4"/>
    <x v="3"/>
    <n v="45769"/>
    <n v="25366"/>
    <n v="22581"/>
    <s v="2025-04"/>
    <s v="Partially Paid"/>
    <s v="NO"/>
  </r>
  <r>
    <n v="2594"/>
    <s v="Student_593"/>
    <x v="5"/>
    <x v="1"/>
    <n v="45670"/>
    <n v="28711"/>
    <n v="27992"/>
    <s v="2025-01"/>
    <s v="Partially Paid"/>
    <s v="NO"/>
  </r>
  <r>
    <n v="2595"/>
    <s v="Student_594"/>
    <x v="2"/>
    <x v="0"/>
    <n v="45743"/>
    <n v="39596"/>
    <n v="30999"/>
    <s v="2025-03"/>
    <s v="Partially Paid"/>
    <s v="NO"/>
  </r>
  <r>
    <n v="2596"/>
    <s v="Student_595"/>
    <x v="1"/>
    <x v="2"/>
    <n v="45891"/>
    <n v="38793"/>
    <n v="23850"/>
    <s v="2025-08"/>
    <s v="Partially Paid"/>
    <s v="NO"/>
  </r>
  <r>
    <n v="2597"/>
    <s v="Student_596"/>
    <x v="4"/>
    <x v="2"/>
    <n v="45747"/>
    <n v="28199"/>
    <n v="13442"/>
    <s v="2025-03"/>
    <s v="Partially Paid"/>
    <s v="NO"/>
  </r>
  <r>
    <n v="2598"/>
    <s v="Student_597"/>
    <x v="1"/>
    <x v="2"/>
    <n v="45971"/>
    <n v="30717"/>
    <n v="23862"/>
    <s v="2025-11"/>
    <s v="Partially Paid"/>
    <s v="NO"/>
  </r>
  <r>
    <n v="2599"/>
    <s v="Student_598"/>
    <x v="0"/>
    <x v="1"/>
    <n v="45711"/>
    <n v="56191"/>
    <n v="53897"/>
    <s v="2025-02"/>
    <s v="Partially Paid"/>
    <s v="YES"/>
  </r>
  <r>
    <n v="2600"/>
    <s v="Student_599"/>
    <x v="4"/>
    <x v="3"/>
    <n v="45669"/>
    <n v="30211"/>
    <n v="21948"/>
    <s v="2025-01"/>
    <s v="Partially Paid"/>
    <s v="NO"/>
  </r>
  <r>
    <n v="2601"/>
    <s v="Student_600"/>
    <x v="4"/>
    <x v="4"/>
    <n v="45866"/>
    <n v="43360"/>
    <n v="29219"/>
    <s v="2025-07"/>
    <s v="Partially Paid"/>
    <s v="NO"/>
  </r>
  <r>
    <n v="2602"/>
    <s v="Student_601"/>
    <x v="3"/>
    <x v="4"/>
    <n v="45671"/>
    <n v="41542"/>
    <n v="27022"/>
    <s v="2025-01"/>
    <s v="Partially Paid"/>
    <s v="NO"/>
  </r>
  <r>
    <n v="2603"/>
    <s v="Student_602"/>
    <x v="4"/>
    <x v="1"/>
    <n v="45778"/>
    <n v="51312"/>
    <n v="41067"/>
    <s v="2025-05"/>
    <s v="Partially Paid"/>
    <s v="YES"/>
  </r>
  <r>
    <n v="2604"/>
    <s v="Student_603"/>
    <x v="6"/>
    <x v="4"/>
    <n v="45677"/>
    <n v="56435"/>
    <n v="47014"/>
    <s v="2025-01"/>
    <s v="Partially Paid"/>
    <s v="YES"/>
  </r>
  <r>
    <n v="2605"/>
    <s v="Student_604"/>
    <x v="2"/>
    <x v="2"/>
    <n v="45732"/>
    <n v="48247"/>
    <n v="38488"/>
    <s v="2025-03"/>
    <s v="Partially Paid"/>
    <s v="NO"/>
  </r>
  <r>
    <n v="2606"/>
    <s v="Student_605"/>
    <x v="2"/>
    <x v="0"/>
    <n v="45900"/>
    <n v="42357"/>
    <n v="30483"/>
    <s v="2025-08"/>
    <s v="Partially Paid"/>
    <s v="NO"/>
  </r>
  <r>
    <n v="2607"/>
    <s v="Student_606"/>
    <x v="1"/>
    <x v="5"/>
    <n v="45880"/>
    <n v="47691"/>
    <n v="36546"/>
    <s v="2025-08"/>
    <s v="Partially Paid"/>
    <s v="NO"/>
  </r>
  <r>
    <n v="2608"/>
    <s v="Student_607"/>
    <x v="0"/>
    <x v="3"/>
    <n v="45727"/>
    <n v="32424"/>
    <n v="27942"/>
    <s v="2025-03"/>
    <s v="Partially Paid"/>
    <s v="NO"/>
  </r>
  <r>
    <n v="2609"/>
    <s v="Student_608"/>
    <x v="4"/>
    <x v="3"/>
    <n v="45969"/>
    <n v="38852"/>
    <n v="24773"/>
    <s v="2025-11"/>
    <s v="Partially Paid"/>
    <s v="NO"/>
  </r>
  <r>
    <n v="2610"/>
    <s v="Student_609"/>
    <x v="6"/>
    <x v="1"/>
    <n v="45868"/>
    <n v="42601"/>
    <n v="41903"/>
    <s v="2025-07"/>
    <s v="Partially Paid"/>
    <s v="NO"/>
  </r>
  <r>
    <n v="2611"/>
    <s v="Student_610"/>
    <x v="1"/>
    <x v="3"/>
    <n v="45758"/>
    <n v="38020"/>
    <n v="30777"/>
    <s v="2025-04"/>
    <s v="Partially Paid"/>
    <s v="NO"/>
  </r>
  <r>
    <n v="2612"/>
    <s v="Student_611"/>
    <x v="3"/>
    <x v="2"/>
    <n v="45843"/>
    <n v="28155"/>
    <n v="14667"/>
    <s v="2025-07"/>
    <s v="Partially Paid"/>
    <s v="NO"/>
  </r>
  <r>
    <n v="2613"/>
    <s v="Student_612"/>
    <x v="1"/>
    <x v="4"/>
    <n v="45789"/>
    <n v="23583"/>
    <n v="14565"/>
    <s v="2025-05"/>
    <s v="Partially Paid"/>
    <s v="NO"/>
  </r>
  <r>
    <n v="2614"/>
    <s v="Student_613"/>
    <x v="1"/>
    <x v="2"/>
    <n v="45768"/>
    <n v="35515"/>
    <n v="29597"/>
    <s v="2025-04"/>
    <s v="Partially Paid"/>
    <s v="NO"/>
  </r>
  <r>
    <n v="2615"/>
    <s v="Student_614"/>
    <x v="4"/>
    <x v="1"/>
    <n v="45789"/>
    <n v="56777"/>
    <n v="56429"/>
    <s v="2025-05"/>
    <s v="Partially Paid"/>
    <s v="YES"/>
  </r>
  <r>
    <n v="2616"/>
    <s v="Student_615"/>
    <x v="3"/>
    <x v="2"/>
    <n v="45677"/>
    <n v="39710"/>
    <n v="34336"/>
    <s v="2025-01"/>
    <s v="Partially Paid"/>
    <s v="NO"/>
  </r>
  <r>
    <n v="2617"/>
    <s v="Student_616"/>
    <x v="1"/>
    <x v="4"/>
    <n v="45681"/>
    <n v="44532"/>
    <n v="32432"/>
    <s v="2025-01"/>
    <s v="Partially Paid"/>
    <s v="NO"/>
  </r>
  <r>
    <n v="2618"/>
    <s v="Student_617"/>
    <x v="6"/>
    <x v="0"/>
    <n v="45884"/>
    <n v="38601"/>
    <n v="30732"/>
    <s v="2025-08"/>
    <s v="Partially Paid"/>
    <s v="NO"/>
  </r>
  <r>
    <n v="2619"/>
    <s v="Student_618"/>
    <x v="6"/>
    <x v="1"/>
    <n v="45811"/>
    <n v="24967"/>
    <n v="24660"/>
    <s v="2025-06"/>
    <s v="Partially Paid"/>
    <s v="NO"/>
  </r>
  <r>
    <n v="2620"/>
    <s v="Student_619"/>
    <x v="2"/>
    <x v="0"/>
    <n v="45950"/>
    <n v="38753"/>
    <n v="35337"/>
    <s v="2025-10"/>
    <s v="Partially Paid"/>
    <s v="NO"/>
  </r>
  <r>
    <n v="2621"/>
    <s v="Student_620"/>
    <x v="3"/>
    <x v="5"/>
    <n v="45887"/>
    <n v="40022"/>
    <n v="26584"/>
    <s v="2025-08"/>
    <s v="Partially Paid"/>
    <s v="NO"/>
  </r>
  <r>
    <n v="2622"/>
    <s v="Student_621"/>
    <x v="3"/>
    <x v="0"/>
    <n v="45967"/>
    <n v="29135"/>
    <n v="14887"/>
    <s v="2025-11"/>
    <s v="Partially Paid"/>
    <s v="NO"/>
  </r>
  <r>
    <n v="2623"/>
    <s v="Student_622"/>
    <x v="2"/>
    <x v="5"/>
    <n v="46016"/>
    <n v="25722"/>
    <n v="15196"/>
    <s v="2025-12"/>
    <s v="Partially Paid"/>
    <s v="NO"/>
  </r>
  <r>
    <n v="2624"/>
    <s v="Student_623"/>
    <x v="1"/>
    <x v="5"/>
    <n v="45859"/>
    <n v="47413"/>
    <n v="34360"/>
    <s v="2025-07"/>
    <s v="Partially Paid"/>
    <s v="NO"/>
  </r>
  <r>
    <n v="2625"/>
    <s v="Student_624"/>
    <x v="3"/>
    <x v="0"/>
    <n v="45695"/>
    <n v="47236"/>
    <n v="42416"/>
    <s v="2025-02"/>
    <s v="Partially Paid"/>
    <s v="NO"/>
  </r>
  <r>
    <n v="2626"/>
    <s v="Student_625"/>
    <x v="6"/>
    <x v="1"/>
    <n v="45917"/>
    <n v="35514"/>
    <n v="24513"/>
    <s v="2025-09"/>
    <s v="Partially Paid"/>
    <s v="NO"/>
  </r>
  <r>
    <n v="2627"/>
    <s v="Student_626"/>
    <x v="6"/>
    <x v="4"/>
    <n v="45845"/>
    <n v="57212"/>
    <n v="43305"/>
    <s v="2025-07"/>
    <s v="Partially Paid"/>
    <s v="YES"/>
  </r>
  <r>
    <n v="2628"/>
    <s v="Student_627"/>
    <x v="4"/>
    <x v="2"/>
    <n v="45714"/>
    <n v="40331"/>
    <n v="36773"/>
    <s v="2025-02"/>
    <s v="Partially Paid"/>
    <s v="NO"/>
  </r>
  <r>
    <n v="2629"/>
    <s v="Student_628"/>
    <x v="3"/>
    <x v="2"/>
    <n v="45677"/>
    <n v="38060"/>
    <n v="33582"/>
    <s v="2025-01"/>
    <s v="Partially Paid"/>
    <s v="NO"/>
  </r>
  <r>
    <n v="2630"/>
    <s v="Student_629"/>
    <x v="1"/>
    <x v="4"/>
    <n v="45930"/>
    <n v="21196"/>
    <n v="9527"/>
    <s v="2025-09"/>
    <s v="Partially Paid"/>
    <s v="NO"/>
  </r>
  <r>
    <n v="2631"/>
    <s v="Student_630"/>
    <x v="2"/>
    <x v="5"/>
    <n v="45776"/>
    <n v="32297"/>
    <n v="25766"/>
    <s v="2025-04"/>
    <s v="Partially Paid"/>
    <s v="NO"/>
  </r>
  <r>
    <n v="2632"/>
    <s v="Student_631"/>
    <x v="2"/>
    <x v="5"/>
    <n v="45728"/>
    <n v="22787"/>
    <n v="18167"/>
    <s v="2025-03"/>
    <s v="Partially Paid"/>
    <s v="NO"/>
  </r>
  <r>
    <n v="2633"/>
    <s v="Student_632"/>
    <x v="1"/>
    <x v="1"/>
    <n v="45661"/>
    <n v="43816"/>
    <n v="32938"/>
    <s v="2025-01"/>
    <s v="Partially Paid"/>
    <s v="NO"/>
  </r>
  <r>
    <n v="2634"/>
    <s v="Student_633"/>
    <x v="0"/>
    <x v="3"/>
    <n v="45878"/>
    <n v="39702"/>
    <n v="36717"/>
    <s v="2025-08"/>
    <s v="Partially Paid"/>
    <s v="NO"/>
  </r>
  <r>
    <n v="2635"/>
    <s v="Student_634"/>
    <x v="5"/>
    <x v="0"/>
    <n v="45671"/>
    <n v="45242"/>
    <n v="37130"/>
    <s v="2025-01"/>
    <s v="Partially Paid"/>
    <s v="NO"/>
  </r>
  <r>
    <n v="2636"/>
    <s v="Student_635"/>
    <x v="4"/>
    <x v="5"/>
    <n v="45660"/>
    <n v="22176"/>
    <n v="13709"/>
    <s v="2025-01"/>
    <s v="Partially Paid"/>
    <s v="NO"/>
  </r>
  <r>
    <n v="2637"/>
    <s v="Student_636"/>
    <x v="2"/>
    <x v="2"/>
    <n v="45873"/>
    <n v="40127"/>
    <n v="37580"/>
    <s v="2025-08"/>
    <s v="Partially Paid"/>
    <s v="NO"/>
  </r>
  <r>
    <n v="2638"/>
    <s v="Student_637"/>
    <x v="3"/>
    <x v="1"/>
    <n v="45886"/>
    <n v="47228"/>
    <n v="36272"/>
    <s v="2025-08"/>
    <s v="Partially Paid"/>
    <s v="NO"/>
  </r>
  <r>
    <n v="2639"/>
    <s v="Student_638"/>
    <x v="4"/>
    <x v="0"/>
    <n v="45993"/>
    <n v="40208"/>
    <n v="39872"/>
    <s v="2025-12"/>
    <s v="Partially Paid"/>
    <s v="NO"/>
  </r>
  <r>
    <n v="2640"/>
    <s v="Student_639"/>
    <x v="3"/>
    <x v="1"/>
    <n v="45843"/>
    <n v="48482"/>
    <n v="38317"/>
    <s v="2025-07"/>
    <s v="Partially Paid"/>
    <s v="NO"/>
  </r>
  <r>
    <n v="2641"/>
    <s v="Student_640"/>
    <x v="0"/>
    <x v="0"/>
    <n v="45712"/>
    <n v="29171"/>
    <n v="26192"/>
    <s v="2025-02"/>
    <s v="Partially Paid"/>
    <s v="NO"/>
  </r>
  <r>
    <n v="2642"/>
    <s v="Student_641"/>
    <x v="6"/>
    <x v="0"/>
    <n v="45911"/>
    <n v="55219"/>
    <n v="42451"/>
    <s v="2025-09"/>
    <s v="Partially Paid"/>
    <s v="YES"/>
  </r>
  <r>
    <n v="2643"/>
    <s v="Student_642"/>
    <x v="4"/>
    <x v="4"/>
    <n v="45681"/>
    <n v="53396"/>
    <n v="49428"/>
    <s v="2025-01"/>
    <s v="Partially Paid"/>
    <s v="YES"/>
  </r>
  <r>
    <n v="2644"/>
    <s v="Student_643"/>
    <x v="2"/>
    <x v="5"/>
    <n v="45819"/>
    <n v="23696"/>
    <n v="22786"/>
    <s v="2025-06"/>
    <s v="Partially Paid"/>
    <s v="NO"/>
  </r>
  <r>
    <n v="2645"/>
    <s v="Student_644"/>
    <x v="4"/>
    <x v="1"/>
    <n v="45815"/>
    <n v="40058"/>
    <n v="38062"/>
    <s v="2025-06"/>
    <s v="Partially Paid"/>
    <s v="NO"/>
  </r>
  <r>
    <n v="2646"/>
    <s v="Student_645"/>
    <x v="4"/>
    <x v="1"/>
    <n v="45739"/>
    <n v="40313"/>
    <n v="37184"/>
    <s v="2025-03"/>
    <s v="Partially Paid"/>
    <s v="NO"/>
  </r>
  <r>
    <n v="2647"/>
    <s v="Student_646"/>
    <x v="4"/>
    <x v="4"/>
    <n v="45816"/>
    <n v="39149"/>
    <n v="33702"/>
    <s v="2025-06"/>
    <s v="Partially Paid"/>
    <s v="NO"/>
  </r>
  <r>
    <n v="2648"/>
    <s v="Student_647"/>
    <x v="5"/>
    <x v="2"/>
    <n v="45845"/>
    <n v="24956"/>
    <n v="18827"/>
    <s v="2025-07"/>
    <s v="Partially Paid"/>
    <s v="NO"/>
  </r>
  <r>
    <n v="2649"/>
    <s v="Student_648"/>
    <x v="4"/>
    <x v="2"/>
    <n v="45717"/>
    <n v="30195"/>
    <n v="24345"/>
    <s v="2025-03"/>
    <s v="Partially Paid"/>
    <s v="NO"/>
  </r>
  <r>
    <n v="2650"/>
    <s v="Student_649"/>
    <x v="3"/>
    <x v="5"/>
    <n v="45962"/>
    <n v="37076"/>
    <n v="32872"/>
    <s v="2025-11"/>
    <s v="Partially Paid"/>
    <s v="NO"/>
  </r>
  <r>
    <n v="2651"/>
    <s v="Student_650"/>
    <x v="6"/>
    <x v="5"/>
    <n v="45976"/>
    <n v="21105"/>
    <n v="13659"/>
    <s v="2025-11"/>
    <s v="Partially Paid"/>
    <s v="NO"/>
  </r>
  <r>
    <n v="2652"/>
    <s v="Student_651"/>
    <x v="0"/>
    <x v="3"/>
    <n v="45868"/>
    <n v="35417"/>
    <n v="23468"/>
    <s v="2025-07"/>
    <s v="Partially Paid"/>
    <s v="NO"/>
  </r>
  <r>
    <n v="2653"/>
    <s v="Student_652"/>
    <x v="1"/>
    <x v="4"/>
    <n v="45809"/>
    <n v="44729"/>
    <n v="36210"/>
    <s v="2025-06"/>
    <s v="Partially Paid"/>
    <s v="NO"/>
  </r>
  <r>
    <n v="2654"/>
    <s v="Student_653"/>
    <x v="4"/>
    <x v="2"/>
    <n v="45766"/>
    <n v="50099"/>
    <n v="40108"/>
    <s v="2025-04"/>
    <s v="Partially Paid"/>
    <s v="YES"/>
  </r>
  <r>
    <n v="2655"/>
    <s v="Student_654"/>
    <x v="2"/>
    <x v="0"/>
    <n v="45733"/>
    <n v="52598"/>
    <n v="52284"/>
    <s v="2025-03"/>
    <s v="Partially Paid"/>
    <s v="YES"/>
  </r>
  <r>
    <n v="2656"/>
    <s v="Student_655"/>
    <x v="4"/>
    <x v="1"/>
    <n v="45687"/>
    <n v="49961"/>
    <n v="38224"/>
    <s v="2025-01"/>
    <s v="Partially Paid"/>
    <s v="NO"/>
  </r>
  <r>
    <n v="2657"/>
    <s v="Student_656"/>
    <x v="2"/>
    <x v="5"/>
    <n v="45971"/>
    <n v="32602"/>
    <n v="31468"/>
    <s v="2025-11"/>
    <s v="Partially Paid"/>
    <s v="NO"/>
  </r>
  <r>
    <n v="2658"/>
    <s v="Student_657"/>
    <x v="3"/>
    <x v="1"/>
    <n v="45774"/>
    <n v="29256"/>
    <n v="18318"/>
    <s v="2025-04"/>
    <s v="Partially Paid"/>
    <s v="NO"/>
  </r>
  <r>
    <n v="2659"/>
    <s v="Student_658"/>
    <x v="2"/>
    <x v="1"/>
    <n v="46013"/>
    <n v="40584"/>
    <n v="35708"/>
    <s v="2025-12"/>
    <s v="Partially Paid"/>
    <s v="NO"/>
  </r>
  <r>
    <n v="2660"/>
    <s v="Student_659"/>
    <x v="1"/>
    <x v="3"/>
    <n v="45849"/>
    <n v="54681"/>
    <n v="46579"/>
    <s v="2025-07"/>
    <s v="Partially Paid"/>
    <s v="YES"/>
  </r>
  <r>
    <n v="2661"/>
    <s v="Student_660"/>
    <x v="6"/>
    <x v="2"/>
    <n v="45676"/>
    <n v="45792"/>
    <n v="36080"/>
    <s v="2025-01"/>
    <s v="Partially Paid"/>
    <s v="NO"/>
  </r>
  <r>
    <n v="2662"/>
    <s v="Student_661"/>
    <x v="2"/>
    <x v="5"/>
    <n v="45830"/>
    <n v="41904"/>
    <n v="33557"/>
    <s v="2025-06"/>
    <s v="Partially Paid"/>
    <s v="NO"/>
  </r>
  <r>
    <n v="2663"/>
    <s v="Student_662"/>
    <x v="2"/>
    <x v="1"/>
    <n v="45885"/>
    <n v="54540"/>
    <n v="48948"/>
    <s v="2025-08"/>
    <s v="Partially Paid"/>
    <s v="YES"/>
  </r>
  <r>
    <n v="2664"/>
    <s v="Student_663"/>
    <x v="6"/>
    <x v="5"/>
    <n v="46007"/>
    <n v="46536"/>
    <n v="44812"/>
    <s v="2025-12"/>
    <s v="Partially Paid"/>
    <s v="NO"/>
  </r>
  <r>
    <n v="2665"/>
    <s v="Student_664"/>
    <x v="1"/>
    <x v="0"/>
    <n v="45840"/>
    <n v="39164"/>
    <n v="35821"/>
    <s v="2025-07"/>
    <s v="Partially Paid"/>
    <s v="NO"/>
  </r>
  <r>
    <n v="2666"/>
    <s v="Student_665"/>
    <x v="4"/>
    <x v="3"/>
    <n v="45770"/>
    <n v="32996"/>
    <n v="32110"/>
    <s v="2025-04"/>
    <s v="Partially Paid"/>
    <s v="NO"/>
  </r>
  <r>
    <n v="2667"/>
    <s v="Student_666"/>
    <x v="2"/>
    <x v="0"/>
    <n v="45840"/>
    <n v="22871"/>
    <n v="11606"/>
    <s v="2025-07"/>
    <s v="Partially Paid"/>
    <s v="NO"/>
  </r>
  <r>
    <n v="2668"/>
    <s v="Student_667"/>
    <x v="6"/>
    <x v="5"/>
    <n v="45803"/>
    <n v="42626"/>
    <n v="31629"/>
    <s v="2025-05"/>
    <s v="Partially Paid"/>
    <s v="NO"/>
  </r>
  <r>
    <n v="2669"/>
    <s v="Student_668"/>
    <x v="3"/>
    <x v="5"/>
    <n v="45976"/>
    <n v="30521"/>
    <n v="29800"/>
    <s v="2025-11"/>
    <s v="Partially Paid"/>
    <s v="NO"/>
  </r>
  <r>
    <n v="2670"/>
    <s v="Student_669"/>
    <x v="6"/>
    <x v="2"/>
    <n v="45773"/>
    <n v="21132"/>
    <n v="13454"/>
    <s v="2025-04"/>
    <s v="Partially Paid"/>
    <s v="NO"/>
  </r>
  <r>
    <n v="2671"/>
    <s v="Student_670"/>
    <x v="3"/>
    <x v="1"/>
    <n v="45770"/>
    <n v="53467"/>
    <n v="44363"/>
    <s v="2025-04"/>
    <s v="Partially Paid"/>
    <s v="YES"/>
  </r>
  <r>
    <n v="2672"/>
    <s v="Student_671"/>
    <x v="1"/>
    <x v="1"/>
    <n v="45908"/>
    <n v="34534"/>
    <n v="31177"/>
    <s v="2025-09"/>
    <s v="Partially Paid"/>
    <s v="NO"/>
  </r>
  <r>
    <n v="2673"/>
    <s v="Student_672"/>
    <x v="4"/>
    <x v="0"/>
    <n v="45908"/>
    <n v="43854"/>
    <n v="42984"/>
    <s v="2025-09"/>
    <s v="Partially Paid"/>
    <s v="NO"/>
  </r>
  <r>
    <n v="2674"/>
    <s v="Student_673"/>
    <x v="6"/>
    <x v="3"/>
    <n v="45960"/>
    <n v="59065"/>
    <n v="46765"/>
    <s v="2025-10"/>
    <s v="Partially Paid"/>
    <s v="YES"/>
  </r>
  <r>
    <n v="2675"/>
    <s v="Student_674"/>
    <x v="0"/>
    <x v="4"/>
    <n v="45970"/>
    <n v="27812"/>
    <n v="21061"/>
    <s v="2025-11"/>
    <s v="Partially Paid"/>
    <s v="NO"/>
  </r>
  <r>
    <n v="2676"/>
    <s v="Student_675"/>
    <x v="0"/>
    <x v="1"/>
    <n v="45775"/>
    <n v="24557"/>
    <n v="24060"/>
    <s v="2025-04"/>
    <s v="Partially Paid"/>
    <s v="NO"/>
  </r>
  <r>
    <n v="2677"/>
    <s v="Student_676"/>
    <x v="5"/>
    <x v="2"/>
    <n v="45958"/>
    <n v="22179"/>
    <n v="20423"/>
    <s v="2025-10"/>
    <s v="Partially Paid"/>
    <s v="NO"/>
  </r>
  <r>
    <n v="2678"/>
    <s v="Student_677"/>
    <x v="2"/>
    <x v="0"/>
    <n v="45818"/>
    <n v="29065"/>
    <n v="14492"/>
    <s v="2025-06"/>
    <s v="Partially Paid"/>
    <s v="NO"/>
  </r>
  <r>
    <n v="2679"/>
    <s v="Student_678"/>
    <x v="1"/>
    <x v="0"/>
    <n v="45855"/>
    <n v="28275"/>
    <n v="27158"/>
    <s v="2025-07"/>
    <s v="Partially Paid"/>
    <s v="NO"/>
  </r>
  <r>
    <n v="2680"/>
    <s v="Student_679"/>
    <x v="6"/>
    <x v="4"/>
    <n v="45917"/>
    <n v="55948"/>
    <n v="44347"/>
    <s v="2025-09"/>
    <s v="Partially Paid"/>
    <s v="YES"/>
  </r>
  <r>
    <n v="2681"/>
    <s v="Student_680"/>
    <x v="0"/>
    <x v="2"/>
    <n v="45805"/>
    <n v="40700"/>
    <n v="37872"/>
    <s v="2025-05"/>
    <s v="Partially Paid"/>
    <s v="NO"/>
  </r>
  <r>
    <n v="2682"/>
    <s v="Student_681"/>
    <x v="2"/>
    <x v="3"/>
    <n v="45897"/>
    <n v="59464"/>
    <n v="45982"/>
    <s v="2025-08"/>
    <s v="Partially Paid"/>
    <s v="YES"/>
  </r>
  <r>
    <n v="2683"/>
    <s v="Student_682"/>
    <x v="0"/>
    <x v="2"/>
    <n v="45704"/>
    <n v="47794"/>
    <n v="33502"/>
    <s v="2025-02"/>
    <s v="Partially Paid"/>
    <s v="NO"/>
  </r>
  <r>
    <n v="2684"/>
    <s v="Student_683"/>
    <x v="6"/>
    <x v="3"/>
    <n v="45855"/>
    <n v="48783"/>
    <n v="33842"/>
    <s v="2025-07"/>
    <s v="Partially Paid"/>
    <s v="NO"/>
  </r>
  <r>
    <n v="2685"/>
    <s v="Student_684"/>
    <x v="3"/>
    <x v="2"/>
    <n v="45704"/>
    <n v="36998"/>
    <n v="22002"/>
    <s v="2025-02"/>
    <s v="Partially Paid"/>
    <s v="NO"/>
  </r>
  <r>
    <n v="2686"/>
    <s v="Student_685"/>
    <x v="6"/>
    <x v="2"/>
    <n v="45735"/>
    <n v="33869"/>
    <n v="32222"/>
    <s v="2025-03"/>
    <s v="Partially Paid"/>
    <s v="NO"/>
  </r>
  <r>
    <n v="2687"/>
    <s v="Student_686"/>
    <x v="5"/>
    <x v="5"/>
    <n v="45781"/>
    <n v="48152"/>
    <n v="34274"/>
    <s v="2025-05"/>
    <s v="Partially Paid"/>
    <s v="NO"/>
  </r>
  <r>
    <n v="2688"/>
    <s v="Student_687"/>
    <x v="6"/>
    <x v="0"/>
    <n v="45732"/>
    <n v="40954"/>
    <n v="33962"/>
    <s v="2025-03"/>
    <s v="Partially Paid"/>
    <s v="NO"/>
  </r>
  <r>
    <n v="2689"/>
    <s v="Student_688"/>
    <x v="6"/>
    <x v="2"/>
    <n v="46016"/>
    <n v="51555"/>
    <n v="40380"/>
    <s v="2025-12"/>
    <s v="Partially Paid"/>
    <s v="YES"/>
  </r>
  <r>
    <n v="2690"/>
    <s v="Student_689"/>
    <x v="5"/>
    <x v="4"/>
    <n v="45794"/>
    <n v="36654"/>
    <n v="22876"/>
    <s v="2025-05"/>
    <s v="Partially Paid"/>
    <s v="NO"/>
  </r>
  <r>
    <n v="2691"/>
    <s v="Student_690"/>
    <x v="1"/>
    <x v="2"/>
    <n v="45747"/>
    <n v="55236"/>
    <n v="48465"/>
    <s v="2025-03"/>
    <s v="Partially Paid"/>
    <s v="YES"/>
  </r>
  <r>
    <n v="2692"/>
    <s v="Student_691"/>
    <x v="6"/>
    <x v="1"/>
    <n v="45982"/>
    <n v="35042"/>
    <n v="34900"/>
    <s v="2025-11"/>
    <s v="Partially Paid"/>
    <s v="NO"/>
  </r>
  <r>
    <n v="2693"/>
    <s v="Student_692"/>
    <x v="5"/>
    <x v="0"/>
    <n v="45718"/>
    <n v="45966"/>
    <n v="32454"/>
    <s v="2025-03"/>
    <s v="Partially Paid"/>
    <s v="NO"/>
  </r>
  <r>
    <n v="2694"/>
    <s v="Student_693"/>
    <x v="2"/>
    <x v="1"/>
    <n v="45795"/>
    <n v="34270"/>
    <n v="31509"/>
    <s v="2025-05"/>
    <s v="Partially Paid"/>
    <s v="NO"/>
  </r>
  <r>
    <n v="2695"/>
    <s v="Student_694"/>
    <x v="3"/>
    <x v="0"/>
    <n v="45707"/>
    <n v="50908"/>
    <n v="47473"/>
    <s v="2025-02"/>
    <s v="Partially Paid"/>
    <s v="YES"/>
  </r>
  <r>
    <n v="2696"/>
    <s v="Student_695"/>
    <x v="3"/>
    <x v="1"/>
    <n v="45916"/>
    <n v="35523"/>
    <n v="28901"/>
    <s v="2025-09"/>
    <s v="Partially Paid"/>
    <s v="NO"/>
  </r>
  <r>
    <n v="2697"/>
    <s v="Student_696"/>
    <x v="6"/>
    <x v="2"/>
    <n v="45764"/>
    <n v="39991"/>
    <n v="27139"/>
    <s v="2025-04"/>
    <s v="Partially Paid"/>
    <s v="NO"/>
  </r>
  <r>
    <n v="2698"/>
    <s v="Student_697"/>
    <x v="1"/>
    <x v="2"/>
    <n v="45770"/>
    <n v="30775"/>
    <n v="15969"/>
    <s v="2025-04"/>
    <s v="Partially Paid"/>
    <s v="NO"/>
  </r>
  <r>
    <n v="2699"/>
    <s v="Student_698"/>
    <x v="1"/>
    <x v="5"/>
    <n v="46007"/>
    <n v="32265"/>
    <n v="21642"/>
    <s v="2025-12"/>
    <s v="Partially Paid"/>
    <s v="NO"/>
  </r>
  <r>
    <n v="2700"/>
    <s v="Student_699"/>
    <x v="2"/>
    <x v="4"/>
    <n v="45911"/>
    <n v="39459"/>
    <n v="25456"/>
    <s v="2025-09"/>
    <s v="Partially Paid"/>
    <s v="NO"/>
  </r>
  <r>
    <n v="2701"/>
    <s v="Student_700"/>
    <x v="6"/>
    <x v="1"/>
    <n v="45775"/>
    <n v="36673"/>
    <n v="29604"/>
    <s v="2025-04"/>
    <s v="Partially Paid"/>
    <s v="NO"/>
  </r>
  <r>
    <n v="2702"/>
    <s v="Student_701"/>
    <x v="3"/>
    <x v="3"/>
    <n v="45855"/>
    <n v="47056"/>
    <n v="42544"/>
    <s v="2025-07"/>
    <s v="Partially Paid"/>
    <s v="NO"/>
  </r>
  <r>
    <n v="2703"/>
    <s v="Student_702"/>
    <x v="1"/>
    <x v="5"/>
    <n v="45994"/>
    <n v="26614"/>
    <n v="24766"/>
    <s v="2025-12"/>
    <s v="Partially Paid"/>
    <s v="NO"/>
  </r>
  <r>
    <n v="2704"/>
    <s v="Student_703"/>
    <x v="6"/>
    <x v="1"/>
    <n v="46022"/>
    <n v="56020"/>
    <n v="41377"/>
    <s v="2025-12"/>
    <s v="Partially Paid"/>
    <s v="YES"/>
  </r>
  <r>
    <n v="2705"/>
    <s v="Student_704"/>
    <x v="0"/>
    <x v="1"/>
    <n v="45708"/>
    <n v="27415"/>
    <n v="24719"/>
    <s v="2025-02"/>
    <s v="Partially Paid"/>
    <s v="NO"/>
  </r>
  <r>
    <n v="2706"/>
    <s v="Student_705"/>
    <x v="1"/>
    <x v="5"/>
    <n v="45902"/>
    <n v="43155"/>
    <n v="41438"/>
    <s v="2025-09"/>
    <s v="Partially Paid"/>
    <s v="NO"/>
  </r>
  <r>
    <n v="2707"/>
    <s v="Student_706"/>
    <x v="5"/>
    <x v="2"/>
    <n v="45692"/>
    <n v="36964"/>
    <n v="23286"/>
    <s v="2025-02"/>
    <s v="Partially Paid"/>
    <s v="NO"/>
  </r>
  <r>
    <n v="2708"/>
    <s v="Student_707"/>
    <x v="0"/>
    <x v="1"/>
    <n v="45959"/>
    <n v="57726"/>
    <n v="54654"/>
    <s v="2025-10"/>
    <s v="Partially Paid"/>
    <s v="YES"/>
  </r>
  <r>
    <n v="2709"/>
    <s v="Student_708"/>
    <x v="1"/>
    <x v="2"/>
    <n v="45726"/>
    <n v="57044"/>
    <n v="47785"/>
    <s v="2025-03"/>
    <s v="Partially Paid"/>
    <s v="YES"/>
  </r>
  <r>
    <n v="2710"/>
    <s v="Student_709"/>
    <x v="3"/>
    <x v="5"/>
    <n v="46006"/>
    <n v="57544"/>
    <n v="54758"/>
    <s v="2025-12"/>
    <s v="Partially Paid"/>
    <s v="YES"/>
  </r>
  <r>
    <n v="2711"/>
    <s v="Student_710"/>
    <x v="4"/>
    <x v="2"/>
    <n v="45977"/>
    <n v="52252"/>
    <n v="38098"/>
    <s v="2025-11"/>
    <s v="Partially Paid"/>
    <s v="YES"/>
  </r>
  <r>
    <n v="2712"/>
    <s v="Student_711"/>
    <x v="0"/>
    <x v="0"/>
    <n v="45706"/>
    <n v="23832"/>
    <n v="10423"/>
    <s v="2025-02"/>
    <s v="Partially Paid"/>
    <s v="NO"/>
  </r>
  <r>
    <n v="2713"/>
    <s v="Student_712"/>
    <x v="2"/>
    <x v="3"/>
    <n v="45731"/>
    <n v="45275"/>
    <n v="41484"/>
    <s v="2025-03"/>
    <s v="Partially Paid"/>
    <s v="NO"/>
  </r>
  <r>
    <n v="2714"/>
    <s v="Student_713"/>
    <x v="2"/>
    <x v="1"/>
    <n v="45849"/>
    <n v="34901"/>
    <n v="25421"/>
    <s v="2025-07"/>
    <s v="Partially Paid"/>
    <s v="NO"/>
  </r>
  <r>
    <n v="2715"/>
    <s v="Student_714"/>
    <x v="3"/>
    <x v="4"/>
    <n v="45918"/>
    <n v="58213"/>
    <n v="54342"/>
    <s v="2025-09"/>
    <s v="Partially Paid"/>
    <s v="YES"/>
  </r>
  <r>
    <n v="2716"/>
    <s v="Student_715"/>
    <x v="1"/>
    <x v="3"/>
    <n v="46013"/>
    <n v="54148"/>
    <n v="52342"/>
    <s v="2025-12"/>
    <s v="Partially Paid"/>
    <s v="YES"/>
  </r>
  <r>
    <n v="2717"/>
    <s v="Student_716"/>
    <x v="6"/>
    <x v="2"/>
    <n v="45727"/>
    <n v="42918"/>
    <n v="28443"/>
    <s v="2025-03"/>
    <s v="Partially Paid"/>
    <s v="NO"/>
  </r>
  <r>
    <n v="2718"/>
    <s v="Student_717"/>
    <x v="1"/>
    <x v="1"/>
    <n v="45747"/>
    <n v="39540"/>
    <n v="38036"/>
    <s v="2025-03"/>
    <s v="Partially Paid"/>
    <s v="NO"/>
  </r>
  <r>
    <n v="2719"/>
    <s v="Student_718"/>
    <x v="3"/>
    <x v="2"/>
    <n v="45917"/>
    <n v="31580"/>
    <n v="28272"/>
    <s v="2025-09"/>
    <s v="Partially Paid"/>
    <s v="NO"/>
  </r>
  <r>
    <n v="2720"/>
    <s v="Student_719"/>
    <x v="2"/>
    <x v="0"/>
    <n v="45783"/>
    <n v="58402"/>
    <n v="51285"/>
    <s v="2025-05"/>
    <s v="Partially Paid"/>
    <s v="YES"/>
  </r>
  <r>
    <n v="2721"/>
    <s v="Student_720"/>
    <x v="1"/>
    <x v="5"/>
    <n v="45888"/>
    <n v="58578"/>
    <n v="45274"/>
    <s v="2025-08"/>
    <s v="Partially Paid"/>
    <s v="YES"/>
  </r>
  <r>
    <n v="2722"/>
    <s v="Student_721"/>
    <x v="2"/>
    <x v="1"/>
    <n v="45952"/>
    <n v="44917"/>
    <n v="39869"/>
    <s v="2025-10"/>
    <s v="Partially Paid"/>
    <s v="NO"/>
  </r>
  <r>
    <n v="2723"/>
    <s v="Student_722"/>
    <x v="0"/>
    <x v="0"/>
    <n v="45786"/>
    <n v="42318"/>
    <n v="31175"/>
    <s v="2025-05"/>
    <s v="Partially Paid"/>
    <s v="NO"/>
  </r>
  <r>
    <n v="2724"/>
    <s v="Student_723"/>
    <x v="6"/>
    <x v="0"/>
    <n v="45937"/>
    <n v="30179"/>
    <n v="21916"/>
    <s v="2025-10"/>
    <s v="Partially Paid"/>
    <s v="NO"/>
  </r>
  <r>
    <n v="2725"/>
    <s v="Student_724"/>
    <x v="0"/>
    <x v="1"/>
    <n v="45970"/>
    <n v="32251"/>
    <n v="30561"/>
    <s v="2025-11"/>
    <s v="Partially Paid"/>
    <s v="NO"/>
  </r>
  <r>
    <n v="2726"/>
    <s v="Student_725"/>
    <x v="2"/>
    <x v="2"/>
    <n v="45757"/>
    <n v="39493"/>
    <n v="25914"/>
    <s v="2025-04"/>
    <s v="Partially Paid"/>
    <s v="NO"/>
  </r>
  <r>
    <n v="2727"/>
    <s v="Student_726"/>
    <x v="2"/>
    <x v="4"/>
    <n v="45983"/>
    <n v="40466"/>
    <n v="30930"/>
    <s v="2025-11"/>
    <s v="Partially Paid"/>
    <s v="NO"/>
  </r>
  <r>
    <n v="2728"/>
    <s v="Student_727"/>
    <x v="4"/>
    <x v="0"/>
    <n v="45954"/>
    <n v="50206"/>
    <n v="35764"/>
    <s v="2025-10"/>
    <s v="Partially Paid"/>
    <s v="YES"/>
  </r>
  <r>
    <n v="2729"/>
    <s v="Student_728"/>
    <x v="4"/>
    <x v="3"/>
    <n v="45839"/>
    <n v="39624"/>
    <n v="36321"/>
    <s v="2025-07"/>
    <s v="Partially Paid"/>
    <s v="NO"/>
  </r>
  <r>
    <n v="2730"/>
    <s v="Student_729"/>
    <x v="0"/>
    <x v="0"/>
    <n v="45831"/>
    <n v="46564"/>
    <n v="43451"/>
    <s v="2025-06"/>
    <s v="Partially Paid"/>
    <s v="NO"/>
  </r>
  <r>
    <n v="2731"/>
    <s v="Student_730"/>
    <x v="5"/>
    <x v="4"/>
    <n v="45973"/>
    <n v="42412"/>
    <n v="33338"/>
    <s v="2025-11"/>
    <s v="Partially Paid"/>
    <s v="NO"/>
  </r>
  <r>
    <n v="2732"/>
    <s v="Student_731"/>
    <x v="0"/>
    <x v="2"/>
    <n v="46021"/>
    <n v="47990"/>
    <n v="35564"/>
    <s v="2025-12"/>
    <s v="Partially Paid"/>
    <s v="NO"/>
  </r>
  <r>
    <n v="2733"/>
    <s v="Student_732"/>
    <x v="4"/>
    <x v="2"/>
    <n v="45845"/>
    <n v="55517"/>
    <n v="44663"/>
    <s v="2025-07"/>
    <s v="Partially Paid"/>
    <s v="YES"/>
  </r>
  <r>
    <n v="2734"/>
    <s v="Student_733"/>
    <x v="2"/>
    <x v="3"/>
    <n v="45714"/>
    <n v="33156"/>
    <n v="25306"/>
    <s v="2025-02"/>
    <s v="Partially Paid"/>
    <s v="NO"/>
  </r>
  <r>
    <n v="2735"/>
    <s v="Student_734"/>
    <x v="3"/>
    <x v="0"/>
    <n v="45688"/>
    <n v="43064"/>
    <n v="36648"/>
    <s v="2025-01"/>
    <s v="Partially Paid"/>
    <s v="NO"/>
  </r>
  <r>
    <n v="2736"/>
    <s v="Student_735"/>
    <x v="0"/>
    <x v="2"/>
    <n v="45741"/>
    <n v="45711"/>
    <n v="44207"/>
    <s v="2025-03"/>
    <s v="Partially Paid"/>
    <s v="NO"/>
  </r>
  <r>
    <n v="2737"/>
    <s v="Student_736"/>
    <x v="2"/>
    <x v="4"/>
    <n v="45809"/>
    <n v="50106"/>
    <n v="39451"/>
    <s v="2025-06"/>
    <s v="Partially Paid"/>
    <s v="YES"/>
  </r>
  <r>
    <n v="2738"/>
    <s v="Student_737"/>
    <x v="3"/>
    <x v="1"/>
    <n v="45693"/>
    <n v="36589"/>
    <n v="25844"/>
    <s v="2025-02"/>
    <s v="Partially Paid"/>
    <s v="NO"/>
  </r>
  <r>
    <n v="2739"/>
    <s v="Student_738"/>
    <x v="3"/>
    <x v="5"/>
    <n v="45870"/>
    <n v="43736"/>
    <n v="34812"/>
    <s v="2025-08"/>
    <s v="Partially Paid"/>
    <s v="NO"/>
  </r>
  <r>
    <n v="2740"/>
    <s v="Student_739"/>
    <x v="4"/>
    <x v="5"/>
    <n v="46021"/>
    <n v="40975"/>
    <n v="31035"/>
    <s v="2025-12"/>
    <s v="Partially Paid"/>
    <s v="NO"/>
  </r>
  <r>
    <n v="2741"/>
    <s v="Student_740"/>
    <x v="0"/>
    <x v="5"/>
    <n v="45763"/>
    <n v="56218"/>
    <n v="52294"/>
    <s v="2025-04"/>
    <s v="Partially Paid"/>
    <s v="YES"/>
  </r>
  <r>
    <n v="2742"/>
    <s v="Student_741"/>
    <x v="1"/>
    <x v="0"/>
    <n v="45999"/>
    <n v="27214"/>
    <n v="18599"/>
    <s v="2025-12"/>
    <s v="Partially Paid"/>
    <s v="NO"/>
  </r>
  <r>
    <n v="2743"/>
    <s v="Student_742"/>
    <x v="6"/>
    <x v="3"/>
    <n v="45877"/>
    <n v="50581"/>
    <n v="38911"/>
    <s v="2025-08"/>
    <s v="Partially Paid"/>
    <s v="YES"/>
  </r>
  <r>
    <n v="2744"/>
    <s v="Student_743"/>
    <x v="4"/>
    <x v="2"/>
    <n v="45820"/>
    <n v="40195"/>
    <n v="30412"/>
    <s v="2025-06"/>
    <s v="Partially Paid"/>
    <s v="NO"/>
  </r>
  <r>
    <n v="2745"/>
    <s v="Student_744"/>
    <x v="4"/>
    <x v="1"/>
    <n v="45877"/>
    <n v="47127"/>
    <n v="42642"/>
    <s v="2025-08"/>
    <s v="Partially Paid"/>
    <s v="NO"/>
  </r>
  <r>
    <n v="2746"/>
    <s v="Student_745"/>
    <x v="1"/>
    <x v="4"/>
    <n v="45927"/>
    <n v="25141"/>
    <n v="12512"/>
    <s v="2025-09"/>
    <s v="Partially Paid"/>
    <s v="NO"/>
  </r>
  <r>
    <n v="2747"/>
    <s v="Student_746"/>
    <x v="6"/>
    <x v="1"/>
    <n v="45777"/>
    <n v="48884"/>
    <n v="35651"/>
    <s v="2025-04"/>
    <s v="Partially Paid"/>
    <s v="NO"/>
  </r>
  <r>
    <n v="2748"/>
    <s v="Student_747"/>
    <x v="2"/>
    <x v="4"/>
    <n v="45993"/>
    <n v="44885"/>
    <n v="31984"/>
    <s v="2025-12"/>
    <s v="Partially Paid"/>
    <s v="NO"/>
  </r>
  <r>
    <n v="2749"/>
    <s v="Student_748"/>
    <x v="5"/>
    <x v="0"/>
    <n v="45839"/>
    <n v="22708"/>
    <n v="14608"/>
    <s v="2025-07"/>
    <s v="Partially Paid"/>
    <s v="NO"/>
  </r>
  <r>
    <n v="2750"/>
    <s v="Student_749"/>
    <x v="0"/>
    <x v="5"/>
    <n v="45763"/>
    <n v="38375"/>
    <n v="29691"/>
    <s v="2025-04"/>
    <s v="Partially Paid"/>
    <s v="NO"/>
  </r>
  <r>
    <n v="2751"/>
    <s v="Student_750"/>
    <x v="5"/>
    <x v="0"/>
    <n v="45874"/>
    <n v="35088"/>
    <n v="34897"/>
    <s v="2025-08"/>
    <s v="Partially Paid"/>
    <s v="NO"/>
  </r>
  <r>
    <n v="2752"/>
    <s v="Student_751"/>
    <x v="2"/>
    <x v="3"/>
    <n v="45862"/>
    <n v="30014"/>
    <n v="21324"/>
    <s v="2025-07"/>
    <s v="Partially Paid"/>
    <s v="NO"/>
  </r>
  <r>
    <n v="2753"/>
    <s v="Student_752"/>
    <x v="4"/>
    <x v="3"/>
    <n v="45727"/>
    <n v="23273"/>
    <n v="18356"/>
    <s v="2025-03"/>
    <s v="Partially Paid"/>
    <s v="NO"/>
  </r>
  <r>
    <n v="2754"/>
    <s v="Student_753"/>
    <x v="6"/>
    <x v="4"/>
    <n v="45701"/>
    <n v="57306"/>
    <n v="51475"/>
    <s v="2025-02"/>
    <s v="Partially Paid"/>
    <s v="YES"/>
  </r>
  <r>
    <n v="2755"/>
    <s v="Student_754"/>
    <x v="4"/>
    <x v="2"/>
    <n v="45986"/>
    <n v="50881"/>
    <n v="41433"/>
    <s v="2025-11"/>
    <s v="Partially Paid"/>
    <s v="YES"/>
  </r>
  <r>
    <n v="2756"/>
    <s v="Student_755"/>
    <x v="3"/>
    <x v="2"/>
    <n v="45958"/>
    <n v="51486"/>
    <n v="41326"/>
    <s v="2025-10"/>
    <s v="Partially Paid"/>
    <s v="YES"/>
  </r>
  <r>
    <n v="2757"/>
    <s v="Student_756"/>
    <x v="4"/>
    <x v="4"/>
    <n v="45885"/>
    <n v="32541"/>
    <n v="28219"/>
    <s v="2025-08"/>
    <s v="Partially Paid"/>
    <s v="NO"/>
  </r>
  <r>
    <n v="2758"/>
    <s v="Student_757"/>
    <x v="4"/>
    <x v="3"/>
    <n v="45841"/>
    <n v="28712"/>
    <n v="15030"/>
    <s v="2025-07"/>
    <s v="Partially Paid"/>
    <s v="NO"/>
  </r>
  <r>
    <n v="2759"/>
    <s v="Student_758"/>
    <x v="2"/>
    <x v="3"/>
    <n v="45764"/>
    <n v="29168"/>
    <n v="18790"/>
    <s v="2025-04"/>
    <s v="Partially Paid"/>
    <s v="NO"/>
  </r>
  <r>
    <n v="2760"/>
    <s v="Student_759"/>
    <x v="2"/>
    <x v="3"/>
    <n v="45741"/>
    <n v="23551"/>
    <n v="16552"/>
    <s v="2025-03"/>
    <s v="Partially Paid"/>
    <s v="NO"/>
  </r>
  <r>
    <n v="2761"/>
    <s v="Student_760"/>
    <x v="2"/>
    <x v="0"/>
    <n v="45995"/>
    <n v="32297"/>
    <n v="23289"/>
    <s v="2025-12"/>
    <s v="Partially Paid"/>
    <s v="NO"/>
  </r>
  <r>
    <n v="2762"/>
    <s v="Student_761"/>
    <x v="5"/>
    <x v="3"/>
    <n v="45907"/>
    <n v="47128"/>
    <n v="35716"/>
    <s v="2025-09"/>
    <s v="Partially Paid"/>
    <s v="NO"/>
  </r>
  <r>
    <n v="2763"/>
    <s v="Student_762"/>
    <x v="3"/>
    <x v="1"/>
    <n v="46020"/>
    <n v="22832"/>
    <n v="15550"/>
    <s v="2025-12"/>
    <s v="Partially Paid"/>
    <s v="NO"/>
  </r>
  <r>
    <n v="2764"/>
    <s v="Student_763"/>
    <x v="2"/>
    <x v="5"/>
    <n v="45678"/>
    <n v="48483"/>
    <n v="38818"/>
    <s v="2025-01"/>
    <s v="Partially Paid"/>
    <s v="NO"/>
  </r>
  <r>
    <n v="2765"/>
    <s v="Student_764"/>
    <x v="6"/>
    <x v="3"/>
    <n v="45853"/>
    <n v="42063"/>
    <n v="32785"/>
    <s v="2025-07"/>
    <s v="Partially Paid"/>
    <s v="NO"/>
  </r>
  <r>
    <n v="2766"/>
    <s v="Student_765"/>
    <x v="5"/>
    <x v="4"/>
    <n v="45835"/>
    <n v="42963"/>
    <n v="30572"/>
    <s v="2025-06"/>
    <s v="Partially Paid"/>
    <s v="NO"/>
  </r>
  <r>
    <n v="2767"/>
    <s v="Student_766"/>
    <x v="1"/>
    <x v="5"/>
    <n v="45664"/>
    <n v="33422"/>
    <n v="31548"/>
    <s v="2025-01"/>
    <s v="Partially Paid"/>
    <s v="NO"/>
  </r>
  <r>
    <n v="2768"/>
    <s v="Student_767"/>
    <x v="6"/>
    <x v="0"/>
    <n v="45727"/>
    <n v="52920"/>
    <n v="43858"/>
    <s v="2025-03"/>
    <s v="Partially Paid"/>
    <s v="YES"/>
  </r>
  <r>
    <n v="2769"/>
    <s v="Student_768"/>
    <x v="0"/>
    <x v="4"/>
    <n v="45784"/>
    <n v="31156"/>
    <n v="26393"/>
    <s v="2025-05"/>
    <s v="Partially Paid"/>
    <s v="NO"/>
  </r>
  <r>
    <n v="2770"/>
    <s v="Student_769"/>
    <x v="0"/>
    <x v="5"/>
    <n v="45817"/>
    <n v="31108"/>
    <n v="20874"/>
    <s v="2025-06"/>
    <s v="Partially Paid"/>
    <s v="NO"/>
  </r>
  <r>
    <n v="2771"/>
    <s v="Student_770"/>
    <x v="6"/>
    <x v="4"/>
    <n v="45905"/>
    <n v="51845"/>
    <n v="43381"/>
    <s v="2025-09"/>
    <s v="Partially Paid"/>
    <s v="YES"/>
  </r>
  <r>
    <n v="2772"/>
    <s v="Student_771"/>
    <x v="2"/>
    <x v="0"/>
    <n v="45860"/>
    <n v="22800"/>
    <n v="13579"/>
    <s v="2025-07"/>
    <s v="Partially Paid"/>
    <s v="NO"/>
  </r>
  <r>
    <n v="2773"/>
    <s v="Student_772"/>
    <x v="1"/>
    <x v="1"/>
    <n v="45805"/>
    <n v="58078"/>
    <n v="46668"/>
    <s v="2025-05"/>
    <s v="Partially Paid"/>
    <s v="YES"/>
  </r>
  <r>
    <n v="2774"/>
    <s v="Student_773"/>
    <x v="1"/>
    <x v="0"/>
    <n v="45800"/>
    <n v="22610"/>
    <n v="8091"/>
    <s v="2025-05"/>
    <s v="Partially Paid"/>
    <s v="NO"/>
  </r>
  <r>
    <n v="2775"/>
    <s v="Student_774"/>
    <x v="5"/>
    <x v="0"/>
    <n v="45856"/>
    <n v="32067"/>
    <n v="19806"/>
    <s v="2025-07"/>
    <s v="Partially Paid"/>
    <s v="NO"/>
  </r>
  <r>
    <n v="2776"/>
    <s v="Student_775"/>
    <x v="1"/>
    <x v="4"/>
    <n v="45811"/>
    <n v="53872"/>
    <n v="52821"/>
    <s v="2025-06"/>
    <s v="Partially Paid"/>
    <s v="YES"/>
  </r>
  <r>
    <n v="2777"/>
    <s v="Student_776"/>
    <x v="0"/>
    <x v="2"/>
    <n v="45799"/>
    <n v="30728"/>
    <n v="18503"/>
    <s v="2025-05"/>
    <s v="Partially Paid"/>
    <s v="NO"/>
  </r>
  <r>
    <n v="2778"/>
    <s v="Student_777"/>
    <x v="3"/>
    <x v="3"/>
    <n v="45970"/>
    <n v="49566"/>
    <n v="39801"/>
    <s v="2025-11"/>
    <s v="Partially Paid"/>
    <s v="NO"/>
  </r>
  <r>
    <n v="2779"/>
    <s v="Student_778"/>
    <x v="2"/>
    <x v="3"/>
    <n v="45822"/>
    <n v="49783"/>
    <n v="38401"/>
    <s v="2025-06"/>
    <s v="Partially Paid"/>
    <s v="NO"/>
  </r>
  <r>
    <n v="2780"/>
    <s v="Student_779"/>
    <x v="1"/>
    <x v="1"/>
    <n v="45971"/>
    <n v="40583"/>
    <n v="28003"/>
    <s v="2025-11"/>
    <s v="Partially Paid"/>
    <s v="NO"/>
  </r>
  <r>
    <n v="2781"/>
    <s v="Student_780"/>
    <x v="5"/>
    <x v="1"/>
    <n v="45678"/>
    <n v="40238"/>
    <n v="32700"/>
    <s v="2025-01"/>
    <s v="Partially Paid"/>
    <s v="NO"/>
  </r>
  <r>
    <n v="2782"/>
    <s v="Student_781"/>
    <x v="0"/>
    <x v="3"/>
    <n v="45739"/>
    <n v="27263"/>
    <n v="19852"/>
    <s v="2025-03"/>
    <s v="Partially Paid"/>
    <s v="NO"/>
  </r>
  <r>
    <n v="2783"/>
    <s v="Student_782"/>
    <x v="3"/>
    <x v="2"/>
    <n v="45726"/>
    <n v="21914"/>
    <n v="9925"/>
    <s v="2025-03"/>
    <s v="Partially Paid"/>
    <s v="NO"/>
  </r>
  <r>
    <n v="2784"/>
    <s v="Student_783"/>
    <x v="4"/>
    <x v="3"/>
    <n v="45788"/>
    <n v="43749"/>
    <n v="32268"/>
    <s v="2025-05"/>
    <s v="Partially Paid"/>
    <s v="NO"/>
  </r>
  <r>
    <n v="2785"/>
    <s v="Student_784"/>
    <x v="4"/>
    <x v="2"/>
    <n v="45744"/>
    <n v="39456"/>
    <n v="33136"/>
    <s v="2025-03"/>
    <s v="Partially Paid"/>
    <s v="NO"/>
  </r>
  <r>
    <n v="2786"/>
    <s v="Student_785"/>
    <x v="3"/>
    <x v="1"/>
    <n v="45875"/>
    <n v="45582"/>
    <n v="33643"/>
    <s v="2025-08"/>
    <s v="Partially Paid"/>
    <s v="NO"/>
  </r>
  <r>
    <n v="2787"/>
    <s v="Student_786"/>
    <x v="0"/>
    <x v="5"/>
    <n v="45962"/>
    <n v="20406"/>
    <n v="18301"/>
    <s v="2025-11"/>
    <s v="Partially Paid"/>
    <s v="NO"/>
  </r>
  <r>
    <n v="2788"/>
    <s v="Student_787"/>
    <x v="5"/>
    <x v="4"/>
    <n v="46002"/>
    <n v="33689"/>
    <n v="20109"/>
    <s v="2025-12"/>
    <s v="Partially Paid"/>
    <s v="NO"/>
  </r>
  <r>
    <n v="2789"/>
    <s v="Student_788"/>
    <x v="3"/>
    <x v="1"/>
    <n v="45998"/>
    <n v="52934"/>
    <n v="52627"/>
    <s v="2025-12"/>
    <s v="Partially Paid"/>
    <s v="YES"/>
  </r>
  <r>
    <n v="2790"/>
    <s v="Student_789"/>
    <x v="2"/>
    <x v="1"/>
    <n v="45818"/>
    <n v="53276"/>
    <n v="45539"/>
    <s v="2025-06"/>
    <s v="Partially Paid"/>
    <s v="YES"/>
  </r>
  <r>
    <n v="2791"/>
    <s v="Student_790"/>
    <x v="2"/>
    <x v="0"/>
    <n v="45835"/>
    <n v="56432"/>
    <n v="53073"/>
    <s v="2025-06"/>
    <s v="Partially Paid"/>
    <s v="YES"/>
  </r>
  <r>
    <n v="2792"/>
    <s v="Student_791"/>
    <x v="4"/>
    <x v="0"/>
    <n v="45774"/>
    <n v="39873"/>
    <n v="26609"/>
    <s v="2025-04"/>
    <s v="Partially Paid"/>
    <s v="NO"/>
  </r>
  <r>
    <n v="2793"/>
    <s v="Student_792"/>
    <x v="1"/>
    <x v="0"/>
    <n v="45853"/>
    <n v="33050"/>
    <n v="29874"/>
    <s v="2025-07"/>
    <s v="Partially Paid"/>
    <s v="NO"/>
  </r>
  <r>
    <n v="2794"/>
    <s v="Student_793"/>
    <x v="5"/>
    <x v="4"/>
    <n v="45984"/>
    <n v="20680"/>
    <n v="19429"/>
    <s v="2025-11"/>
    <s v="Partially Paid"/>
    <s v="NO"/>
  </r>
  <r>
    <n v="2795"/>
    <s v="Student_794"/>
    <x v="4"/>
    <x v="0"/>
    <n v="45743"/>
    <n v="38908"/>
    <n v="33542"/>
    <s v="2025-03"/>
    <s v="Partially Paid"/>
    <s v="NO"/>
  </r>
  <r>
    <n v="2796"/>
    <s v="Student_795"/>
    <x v="1"/>
    <x v="2"/>
    <n v="45946"/>
    <n v="38504"/>
    <n v="27565"/>
    <s v="2025-10"/>
    <s v="Partially Paid"/>
    <s v="NO"/>
  </r>
  <r>
    <n v="2797"/>
    <s v="Student_796"/>
    <x v="1"/>
    <x v="3"/>
    <n v="45738"/>
    <n v="41644"/>
    <n v="40127"/>
    <s v="2025-03"/>
    <s v="Partially Paid"/>
    <s v="NO"/>
  </r>
  <r>
    <n v="2798"/>
    <s v="Student_797"/>
    <x v="2"/>
    <x v="5"/>
    <n v="45809"/>
    <n v="57125"/>
    <n v="50899"/>
    <s v="2025-06"/>
    <s v="Partially Paid"/>
    <s v="YES"/>
  </r>
  <r>
    <n v="2799"/>
    <s v="Student_798"/>
    <x v="0"/>
    <x v="1"/>
    <n v="45718"/>
    <n v="21363"/>
    <n v="16058"/>
    <s v="2025-03"/>
    <s v="Partially Paid"/>
    <s v="NO"/>
  </r>
  <r>
    <n v="2800"/>
    <s v="Student_799"/>
    <x v="6"/>
    <x v="2"/>
    <n v="45718"/>
    <n v="55060"/>
    <n v="40473"/>
    <s v="2025-03"/>
    <s v="Partially Paid"/>
    <s v="YES"/>
  </r>
  <r>
    <n v="2801"/>
    <s v="Student_800"/>
    <x v="0"/>
    <x v="5"/>
    <n v="46011"/>
    <n v="21538"/>
    <n v="11968"/>
    <s v="2025-12"/>
    <s v="Partially Paid"/>
    <s v="NO"/>
  </r>
  <r>
    <n v="2802"/>
    <s v="Student_801"/>
    <x v="6"/>
    <x v="2"/>
    <n v="45685"/>
    <n v="56176"/>
    <n v="50307"/>
    <s v="2025-01"/>
    <s v="Partially Paid"/>
    <s v="YES"/>
  </r>
  <r>
    <n v="2803"/>
    <s v="Student_802"/>
    <x v="3"/>
    <x v="2"/>
    <n v="45700"/>
    <n v="45675"/>
    <n v="37636"/>
    <s v="2025-02"/>
    <s v="Partially Paid"/>
    <s v="NO"/>
  </r>
  <r>
    <n v="2804"/>
    <s v="Student_803"/>
    <x v="2"/>
    <x v="1"/>
    <n v="45826"/>
    <n v="38287"/>
    <n v="24280"/>
    <s v="2025-06"/>
    <s v="Partially Paid"/>
    <s v="NO"/>
  </r>
  <r>
    <n v="2805"/>
    <s v="Student_804"/>
    <x v="1"/>
    <x v="3"/>
    <n v="45743"/>
    <n v="20174"/>
    <n v="5844"/>
    <s v="2025-03"/>
    <s v="Partially Paid"/>
    <s v="NO"/>
  </r>
  <r>
    <n v="2806"/>
    <s v="Student_805"/>
    <x v="5"/>
    <x v="0"/>
    <n v="45834"/>
    <n v="46732"/>
    <n v="41841"/>
    <s v="2025-06"/>
    <s v="Partially Paid"/>
    <s v="NO"/>
  </r>
  <r>
    <n v="2807"/>
    <s v="Student_806"/>
    <x v="6"/>
    <x v="4"/>
    <n v="45674"/>
    <n v="54998"/>
    <n v="50006"/>
    <s v="2025-01"/>
    <s v="Partially Paid"/>
    <s v="YES"/>
  </r>
  <r>
    <n v="2808"/>
    <s v="Student_807"/>
    <x v="0"/>
    <x v="3"/>
    <n v="45755"/>
    <n v="57055"/>
    <n v="55094"/>
    <s v="2025-04"/>
    <s v="Partially Paid"/>
    <s v="YES"/>
  </r>
  <r>
    <n v="2809"/>
    <s v="Student_808"/>
    <x v="1"/>
    <x v="4"/>
    <n v="45855"/>
    <n v="32112"/>
    <n v="19615"/>
    <s v="2025-07"/>
    <s v="Partially Paid"/>
    <s v="NO"/>
  </r>
  <r>
    <n v="2810"/>
    <s v="Student_809"/>
    <x v="6"/>
    <x v="1"/>
    <n v="45755"/>
    <n v="59874"/>
    <n v="57011"/>
    <s v="2025-04"/>
    <s v="Partially Paid"/>
    <s v="YES"/>
  </r>
  <r>
    <n v="2811"/>
    <s v="Student_810"/>
    <x v="6"/>
    <x v="1"/>
    <n v="45722"/>
    <n v="29689"/>
    <n v="18841"/>
    <s v="2025-03"/>
    <s v="Partially Paid"/>
    <s v="NO"/>
  </r>
  <r>
    <n v="2812"/>
    <s v="Student_811"/>
    <x v="6"/>
    <x v="1"/>
    <n v="45987"/>
    <n v="39555"/>
    <n v="28869"/>
    <s v="2025-11"/>
    <s v="Partially Paid"/>
    <s v="NO"/>
  </r>
  <r>
    <n v="2813"/>
    <s v="Student_812"/>
    <x v="5"/>
    <x v="5"/>
    <n v="45998"/>
    <n v="53919"/>
    <n v="47316"/>
    <s v="2025-12"/>
    <s v="Partially Paid"/>
    <s v="YES"/>
  </r>
  <r>
    <n v="2814"/>
    <s v="Student_813"/>
    <x v="2"/>
    <x v="4"/>
    <n v="45662"/>
    <n v="27619"/>
    <n v="14364"/>
    <s v="2025-01"/>
    <s v="Partially Paid"/>
    <s v="NO"/>
  </r>
  <r>
    <n v="2815"/>
    <s v="Student_814"/>
    <x v="5"/>
    <x v="3"/>
    <n v="45659"/>
    <n v="26033"/>
    <n v="21466"/>
    <s v="2025-01"/>
    <s v="Partially Paid"/>
    <s v="NO"/>
  </r>
  <r>
    <n v="2816"/>
    <s v="Student_815"/>
    <x v="4"/>
    <x v="3"/>
    <n v="45679"/>
    <n v="24946"/>
    <n v="18433"/>
    <s v="2025-01"/>
    <s v="Partially Paid"/>
    <s v="NO"/>
  </r>
  <r>
    <n v="2817"/>
    <s v="Student_816"/>
    <x v="1"/>
    <x v="2"/>
    <n v="45769"/>
    <n v="44618"/>
    <n v="40613"/>
    <s v="2025-04"/>
    <s v="Partially Paid"/>
    <s v="NO"/>
  </r>
  <r>
    <n v="2818"/>
    <s v="Student_817"/>
    <x v="2"/>
    <x v="2"/>
    <n v="45714"/>
    <n v="54675"/>
    <n v="42920"/>
    <s v="2025-02"/>
    <s v="Partially Paid"/>
    <s v="YES"/>
  </r>
  <r>
    <n v="2819"/>
    <s v="Student_818"/>
    <x v="2"/>
    <x v="2"/>
    <n v="45723"/>
    <n v="56258"/>
    <n v="47144"/>
    <s v="2025-03"/>
    <s v="Partially Paid"/>
    <s v="YES"/>
  </r>
  <r>
    <n v="2820"/>
    <s v="Student_819"/>
    <x v="2"/>
    <x v="1"/>
    <n v="45987"/>
    <n v="38919"/>
    <n v="26495"/>
    <s v="2025-11"/>
    <s v="Partially Paid"/>
    <s v="NO"/>
  </r>
  <r>
    <n v="2821"/>
    <s v="Student_820"/>
    <x v="0"/>
    <x v="3"/>
    <n v="45755"/>
    <n v="24173"/>
    <n v="11519"/>
    <s v="2025-04"/>
    <s v="Partially Paid"/>
    <s v="NO"/>
  </r>
  <r>
    <n v="2822"/>
    <s v="Student_821"/>
    <x v="2"/>
    <x v="4"/>
    <n v="45801"/>
    <n v="46400"/>
    <n v="35249"/>
    <s v="2025-05"/>
    <s v="Partially Paid"/>
    <s v="NO"/>
  </r>
  <r>
    <n v="2823"/>
    <s v="Student_822"/>
    <x v="5"/>
    <x v="1"/>
    <n v="45782"/>
    <n v="24769"/>
    <n v="24586"/>
    <s v="2025-05"/>
    <s v="Partially Paid"/>
    <s v="NO"/>
  </r>
  <r>
    <n v="2824"/>
    <s v="Student_823"/>
    <x v="2"/>
    <x v="5"/>
    <n v="45824"/>
    <n v="57564"/>
    <n v="49809"/>
    <s v="2025-06"/>
    <s v="Partially Paid"/>
    <s v="YES"/>
  </r>
  <r>
    <n v="2825"/>
    <s v="Student_824"/>
    <x v="3"/>
    <x v="2"/>
    <n v="45743"/>
    <n v="34211"/>
    <n v="30853"/>
    <s v="2025-03"/>
    <s v="Partially Paid"/>
    <s v="NO"/>
  </r>
  <r>
    <n v="2826"/>
    <s v="Student_825"/>
    <x v="1"/>
    <x v="1"/>
    <n v="45733"/>
    <n v="43255"/>
    <n v="36640"/>
    <s v="2025-03"/>
    <s v="Partially Paid"/>
    <s v="NO"/>
  </r>
  <r>
    <n v="2827"/>
    <s v="Student_826"/>
    <x v="2"/>
    <x v="1"/>
    <n v="46001"/>
    <n v="47962"/>
    <n v="38372"/>
    <s v="2025-12"/>
    <s v="Partially Paid"/>
    <s v="NO"/>
  </r>
  <r>
    <n v="2828"/>
    <s v="Student_827"/>
    <x v="1"/>
    <x v="5"/>
    <n v="45951"/>
    <n v="39356"/>
    <n v="32559"/>
    <s v="2025-10"/>
    <s v="Partially Paid"/>
    <s v="NO"/>
  </r>
  <r>
    <n v="2829"/>
    <s v="Student_828"/>
    <x v="3"/>
    <x v="0"/>
    <n v="45716"/>
    <n v="40306"/>
    <n v="29318"/>
    <s v="2025-02"/>
    <s v="Partially Paid"/>
    <s v="NO"/>
  </r>
  <r>
    <n v="2830"/>
    <s v="Student_829"/>
    <x v="3"/>
    <x v="3"/>
    <n v="45795"/>
    <n v="24997"/>
    <n v="16269"/>
    <s v="2025-05"/>
    <s v="Partially Paid"/>
    <s v="NO"/>
  </r>
  <r>
    <n v="2831"/>
    <s v="Student_830"/>
    <x v="1"/>
    <x v="4"/>
    <n v="45756"/>
    <n v="37376"/>
    <n v="29698"/>
    <s v="2025-04"/>
    <s v="Partially Paid"/>
    <s v="NO"/>
  </r>
  <r>
    <n v="2832"/>
    <s v="Student_831"/>
    <x v="6"/>
    <x v="0"/>
    <n v="45849"/>
    <n v="58055"/>
    <n v="52357"/>
    <s v="2025-07"/>
    <s v="Partially Paid"/>
    <s v="YES"/>
  </r>
  <r>
    <n v="2833"/>
    <s v="Student_832"/>
    <x v="4"/>
    <x v="2"/>
    <n v="45900"/>
    <n v="30578"/>
    <n v="29305"/>
    <s v="2025-08"/>
    <s v="Partially Paid"/>
    <s v="NO"/>
  </r>
  <r>
    <n v="2834"/>
    <s v="Student_833"/>
    <x v="0"/>
    <x v="1"/>
    <n v="45976"/>
    <n v="38624"/>
    <n v="27465"/>
    <s v="2025-11"/>
    <s v="Partially Paid"/>
    <s v="NO"/>
  </r>
  <r>
    <n v="2835"/>
    <s v="Student_834"/>
    <x v="6"/>
    <x v="5"/>
    <n v="45706"/>
    <n v="59194"/>
    <n v="52541"/>
    <s v="2025-02"/>
    <s v="Partially Paid"/>
    <s v="YES"/>
  </r>
  <r>
    <n v="2836"/>
    <s v="Student_835"/>
    <x v="6"/>
    <x v="5"/>
    <n v="45689"/>
    <n v="20389"/>
    <n v="5424"/>
    <s v="2025-02"/>
    <s v="Partially Paid"/>
    <s v="NO"/>
  </r>
  <r>
    <n v="2837"/>
    <s v="Student_836"/>
    <x v="5"/>
    <x v="3"/>
    <n v="45934"/>
    <n v="53767"/>
    <n v="42526"/>
    <s v="2025-10"/>
    <s v="Partially Paid"/>
    <s v="YES"/>
  </r>
  <r>
    <n v="2838"/>
    <s v="Student_837"/>
    <x v="0"/>
    <x v="0"/>
    <n v="45677"/>
    <n v="21855"/>
    <n v="20759"/>
    <s v="2025-01"/>
    <s v="Partially Paid"/>
    <s v="NO"/>
  </r>
  <r>
    <n v="2839"/>
    <s v="Student_838"/>
    <x v="0"/>
    <x v="3"/>
    <n v="45811"/>
    <n v="33794"/>
    <n v="24297"/>
    <s v="2025-06"/>
    <s v="Partially Paid"/>
    <s v="NO"/>
  </r>
  <r>
    <n v="2840"/>
    <s v="Student_839"/>
    <x v="6"/>
    <x v="1"/>
    <n v="45725"/>
    <n v="55531"/>
    <n v="46424"/>
    <s v="2025-03"/>
    <s v="Partially Paid"/>
    <s v="YES"/>
  </r>
  <r>
    <n v="2841"/>
    <s v="Student_840"/>
    <x v="2"/>
    <x v="3"/>
    <n v="45871"/>
    <n v="24986"/>
    <n v="13713"/>
    <s v="2025-08"/>
    <s v="Partially Paid"/>
    <s v="NO"/>
  </r>
  <r>
    <n v="2842"/>
    <s v="Student_841"/>
    <x v="5"/>
    <x v="4"/>
    <n v="45800"/>
    <n v="52298"/>
    <n v="44296"/>
    <s v="2025-05"/>
    <s v="Partially Paid"/>
    <s v="YES"/>
  </r>
  <r>
    <n v="2843"/>
    <s v="Student_842"/>
    <x v="5"/>
    <x v="5"/>
    <n v="45889"/>
    <n v="21481"/>
    <n v="17234"/>
    <s v="2025-08"/>
    <s v="Partially Paid"/>
    <s v="NO"/>
  </r>
  <r>
    <n v="2844"/>
    <s v="Student_843"/>
    <x v="3"/>
    <x v="5"/>
    <n v="45870"/>
    <n v="23731"/>
    <n v="14511"/>
    <s v="2025-08"/>
    <s v="Partially Paid"/>
    <s v="NO"/>
  </r>
  <r>
    <n v="2845"/>
    <s v="Student_844"/>
    <x v="0"/>
    <x v="2"/>
    <n v="45736"/>
    <n v="36835"/>
    <n v="31521"/>
    <s v="2025-03"/>
    <s v="Partially Paid"/>
    <s v="NO"/>
  </r>
  <r>
    <n v="2846"/>
    <s v="Student_845"/>
    <x v="6"/>
    <x v="2"/>
    <n v="45871"/>
    <n v="47798"/>
    <n v="37629"/>
    <s v="2025-08"/>
    <s v="Partially Paid"/>
    <s v="NO"/>
  </r>
  <r>
    <n v="2847"/>
    <s v="Student_846"/>
    <x v="3"/>
    <x v="1"/>
    <n v="45773"/>
    <n v="46113"/>
    <n v="42759"/>
    <s v="2025-04"/>
    <s v="Partially Paid"/>
    <s v="NO"/>
  </r>
  <r>
    <n v="2848"/>
    <s v="Student_847"/>
    <x v="1"/>
    <x v="4"/>
    <n v="45749"/>
    <n v="39477"/>
    <n v="28774"/>
    <s v="2025-04"/>
    <s v="Partially Paid"/>
    <s v="NO"/>
  </r>
  <r>
    <n v="2849"/>
    <s v="Student_848"/>
    <x v="4"/>
    <x v="0"/>
    <n v="45927"/>
    <n v="37266"/>
    <n v="36996"/>
    <s v="2025-09"/>
    <s v="Partially Paid"/>
    <s v="NO"/>
  </r>
  <r>
    <n v="2850"/>
    <s v="Student_849"/>
    <x v="5"/>
    <x v="3"/>
    <n v="45825"/>
    <n v="40792"/>
    <n v="39606"/>
    <s v="2025-06"/>
    <s v="Partially Paid"/>
    <s v="NO"/>
  </r>
  <r>
    <n v="2851"/>
    <s v="Student_850"/>
    <x v="1"/>
    <x v="1"/>
    <n v="45715"/>
    <n v="40452"/>
    <n v="27705"/>
    <s v="2025-02"/>
    <s v="Partially Paid"/>
    <s v="NO"/>
  </r>
  <r>
    <n v="2852"/>
    <s v="Student_851"/>
    <x v="1"/>
    <x v="2"/>
    <n v="45941"/>
    <n v="31889"/>
    <n v="19497"/>
    <s v="2025-10"/>
    <s v="Partially Paid"/>
    <s v="NO"/>
  </r>
  <r>
    <n v="2853"/>
    <s v="Student_852"/>
    <x v="2"/>
    <x v="3"/>
    <n v="45683"/>
    <n v="44335"/>
    <n v="32379"/>
    <s v="2025-01"/>
    <s v="Partially Paid"/>
    <s v="NO"/>
  </r>
  <r>
    <n v="2854"/>
    <s v="Student_853"/>
    <x v="4"/>
    <x v="2"/>
    <n v="45723"/>
    <n v="31254"/>
    <n v="17256"/>
    <s v="2025-03"/>
    <s v="Partially Paid"/>
    <s v="NO"/>
  </r>
  <r>
    <n v="2855"/>
    <s v="Student_854"/>
    <x v="1"/>
    <x v="3"/>
    <n v="45905"/>
    <n v="41074"/>
    <n v="34769"/>
    <s v="2025-09"/>
    <s v="Partially Paid"/>
    <s v="NO"/>
  </r>
  <r>
    <n v="2856"/>
    <s v="Student_855"/>
    <x v="1"/>
    <x v="0"/>
    <n v="45911"/>
    <n v="31442"/>
    <n v="29044"/>
    <s v="2025-09"/>
    <s v="Partially Paid"/>
    <s v="NO"/>
  </r>
  <r>
    <n v="2857"/>
    <s v="Student_856"/>
    <x v="4"/>
    <x v="1"/>
    <n v="45701"/>
    <n v="57327"/>
    <n v="44606"/>
    <s v="2025-02"/>
    <s v="Partially Paid"/>
    <s v="YES"/>
  </r>
  <r>
    <n v="2858"/>
    <s v="Student_857"/>
    <x v="4"/>
    <x v="3"/>
    <n v="45754"/>
    <n v="36199"/>
    <n v="29204"/>
    <s v="2025-04"/>
    <s v="Partially Paid"/>
    <s v="NO"/>
  </r>
  <r>
    <n v="2859"/>
    <s v="Student_858"/>
    <x v="1"/>
    <x v="4"/>
    <n v="45699"/>
    <n v="27291"/>
    <n v="14864"/>
    <s v="2025-02"/>
    <s v="Partially Paid"/>
    <s v="NO"/>
  </r>
  <r>
    <n v="2860"/>
    <s v="Student_859"/>
    <x v="4"/>
    <x v="5"/>
    <n v="45884"/>
    <n v="20112"/>
    <n v="6330"/>
    <s v="2025-08"/>
    <s v="Partially Paid"/>
    <s v="NO"/>
  </r>
  <r>
    <n v="2861"/>
    <s v="Student_860"/>
    <x v="1"/>
    <x v="4"/>
    <n v="45919"/>
    <n v="41515"/>
    <n v="34216"/>
    <s v="2025-09"/>
    <s v="Partially Paid"/>
    <s v="NO"/>
  </r>
  <r>
    <n v="2862"/>
    <s v="Student_861"/>
    <x v="1"/>
    <x v="4"/>
    <n v="45824"/>
    <n v="39581"/>
    <n v="35399"/>
    <s v="2025-06"/>
    <s v="Partially Paid"/>
    <s v="NO"/>
  </r>
  <r>
    <n v="2863"/>
    <s v="Student_862"/>
    <x v="2"/>
    <x v="5"/>
    <n v="45936"/>
    <n v="46500"/>
    <n v="36597"/>
    <s v="2025-10"/>
    <s v="Partially Paid"/>
    <s v="NO"/>
  </r>
  <r>
    <n v="2864"/>
    <s v="Student_863"/>
    <x v="6"/>
    <x v="4"/>
    <n v="45746"/>
    <n v="52026"/>
    <n v="49796"/>
    <s v="2025-03"/>
    <s v="Partially Paid"/>
    <s v="YES"/>
  </r>
  <r>
    <n v="2865"/>
    <s v="Student_864"/>
    <x v="1"/>
    <x v="3"/>
    <n v="45835"/>
    <n v="36523"/>
    <n v="30012"/>
    <s v="2025-06"/>
    <s v="Partially Paid"/>
    <s v="NO"/>
  </r>
  <r>
    <n v="2866"/>
    <s v="Student_865"/>
    <x v="3"/>
    <x v="3"/>
    <n v="45854"/>
    <n v="21424"/>
    <n v="21296"/>
    <s v="2025-07"/>
    <s v="Partially Paid"/>
    <s v="NO"/>
  </r>
  <r>
    <n v="2867"/>
    <s v="Student_866"/>
    <x v="5"/>
    <x v="3"/>
    <n v="45964"/>
    <n v="39552"/>
    <n v="30091"/>
    <s v="2025-11"/>
    <s v="Partially Paid"/>
    <s v="NO"/>
  </r>
  <r>
    <n v="2868"/>
    <s v="Student_867"/>
    <x v="0"/>
    <x v="5"/>
    <n v="45924"/>
    <n v="30808"/>
    <n v="27136"/>
    <s v="2025-09"/>
    <s v="Partially Paid"/>
    <s v="NO"/>
  </r>
  <r>
    <n v="2869"/>
    <s v="Student_868"/>
    <x v="6"/>
    <x v="4"/>
    <n v="45925"/>
    <n v="58811"/>
    <n v="49018"/>
    <s v="2025-09"/>
    <s v="Partially Paid"/>
    <s v="YES"/>
  </r>
  <r>
    <n v="2870"/>
    <s v="Student_869"/>
    <x v="6"/>
    <x v="5"/>
    <n v="45731"/>
    <n v="26989"/>
    <n v="22224"/>
    <s v="2025-03"/>
    <s v="Partially Paid"/>
    <s v="NO"/>
  </r>
  <r>
    <n v="2871"/>
    <s v="Student_870"/>
    <x v="6"/>
    <x v="3"/>
    <n v="45665"/>
    <n v="43620"/>
    <n v="39650"/>
    <s v="2025-01"/>
    <s v="Partially Paid"/>
    <s v="NO"/>
  </r>
  <r>
    <n v="2872"/>
    <s v="Student_871"/>
    <x v="2"/>
    <x v="4"/>
    <n v="45954"/>
    <n v="59029"/>
    <n v="51484"/>
    <s v="2025-10"/>
    <s v="Partially Paid"/>
    <s v="YES"/>
  </r>
  <r>
    <n v="2873"/>
    <s v="Student_872"/>
    <x v="1"/>
    <x v="4"/>
    <n v="45821"/>
    <n v="20887"/>
    <n v="8451"/>
    <s v="2025-06"/>
    <s v="Partially Paid"/>
    <s v="NO"/>
  </r>
  <r>
    <n v="2874"/>
    <s v="Student_873"/>
    <x v="2"/>
    <x v="2"/>
    <n v="45742"/>
    <n v="51802"/>
    <n v="38530"/>
    <s v="2025-03"/>
    <s v="Partially Paid"/>
    <s v="YES"/>
  </r>
  <r>
    <n v="2875"/>
    <s v="Student_874"/>
    <x v="1"/>
    <x v="2"/>
    <n v="45729"/>
    <n v="39488"/>
    <n v="26349"/>
    <s v="2025-03"/>
    <s v="Partially Paid"/>
    <s v="NO"/>
  </r>
  <r>
    <n v="2876"/>
    <s v="Student_875"/>
    <x v="2"/>
    <x v="0"/>
    <n v="45712"/>
    <n v="50013"/>
    <n v="44461"/>
    <s v="2025-02"/>
    <s v="Partially Paid"/>
    <s v="YES"/>
  </r>
  <r>
    <n v="2877"/>
    <s v="Student_876"/>
    <x v="2"/>
    <x v="1"/>
    <n v="45704"/>
    <n v="36402"/>
    <n v="35775"/>
    <s v="2025-02"/>
    <s v="Partially Paid"/>
    <s v="NO"/>
  </r>
  <r>
    <n v="2878"/>
    <s v="Student_877"/>
    <x v="5"/>
    <x v="2"/>
    <n v="45895"/>
    <n v="41205"/>
    <n v="29216"/>
    <s v="2025-08"/>
    <s v="Partially Paid"/>
    <s v="NO"/>
  </r>
  <r>
    <n v="2879"/>
    <s v="Student_878"/>
    <x v="3"/>
    <x v="5"/>
    <n v="45761"/>
    <n v="46049"/>
    <n v="32269"/>
    <s v="2025-04"/>
    <s v="Partially Paid"/>
    <s v="NO"/>
  </r>
  <r>
    <n v="2880"/>
    <s v="Student_879"/>
    <x v="2"/>
    <x v="2"/>
    <n v="45867"/>
    <n v="32253"/>
    <n v="25664"/>
    <s v="2025-07"/>
    <s v="Partially Paid"/>
    <s v="NO"/>
  </r>
  <r>
    <n v="2881"/>
    <s v="Student_880"/>
    <x v="5"/>
    <x v="0"/>
    <n v="45699"/>
    <n v="38990"/>
    <n v="36946"/>
    <s v="2025-02"/>
    <s v="Partially Paid"/>
    <s v="NO"/>
  </r>
  <r>
    <n v="2882"/>
    <s v="Student_881"/>
    <x v="4"/>
    <x v="4"/>
    <n v="45973"/>
    <n v="27846"/>
    <n v="16102"/>
    <s v="2025-11"/>
    <s v="Partially Paid"/>
    <s v="NO"/>
  </r>
  <r>
    <n v="2883"/>
    <s v="Student_882"/>
    <x v="3"/>
    <x v="0"/>
    <n v="45925"/>
    <n v="45027"/>
    <n v="31856"/>
    <s v="2025-09"/>
    <s v="Partially Paid"/>
    <s v="NO"/>
  </r>
  <r>
    <n v="2884"/>
    <s v="Student_883"/>
    <x v="2"/>
    <x v="4"/>
    <n v="45920"/>
    <n v="59200"/>
    <n v="56859"/>
    <s v="2025-09"/>
    <s v="Partially Paid"/>
    <s v="YES"/>
  </r>
  <r>
    <n v="2885"/>
    <s v="Student_884"/>
    <x v="0"/>
    <x v="4"/>
    <n v="45993"/>
    <n v="23765"/>
    <n v="17881"/>
    <s v="2025-12"/>
    <s v="Partially Paid"/>
    <s v="NO"/>
  </r>
  <r>
    <n v="2886"/>
    <s v="Student_885"/>
    <x v="6"/>
    <x v="1"/>
    <n v="46022"/>
    <n v="35950"/>
    <n v="24544"/>
    <s v="2025-12"/>
    <s v="Partially Paid"/>
    <s v="NO"/>
  </r>
  <r>
    <n v="2887"/>
    <s v="Student_886"/>
    <x v="4"/>
    <x v="2"/>
    <n v="45916"/>
    <n v="29741"/>
    <n v="21556"/>
    <s v="2025-09"/>
    <s v="Partially Paid"/>
    <s v="NO"/>
  </r>
  <r>
    <n v="2888"/>
    <s v="Student_887"/>
    <x v="4"/>
    <x v="5"/>
    <n v="45940"/>
    <n v="42742"/>
    <n v="42493"/>
    <s v="2025-10"/>
    <s v="Partially Paid"/>
    <s v="NO"/>
  </r>
  <r>
    <n v="2889"/>
    <s v="Student_888"/>
    <x v="5"/>
    <x v="5"/>
    <n v="45771"/>
    <n v="44703"/>
    <n v="41778"/>
    <s v="2025-04"/>
    <s v="Partially Paid"/>
    <s v="NO"/>
  </r>
  <r>
    <n v="2890"/>
    <s v="Student_889"/>
    <x v="4"/>
    <x v="3"/>
    <n v="46020"/>
    <n v="58709"/>
    <n v="53666"/>
    <s v="2025-12"/>
    <s v="Partially Paid"/>
    <s v="YES"/>
  </r>
  <r>
    <n v="2891"/>
    <s v="Student_890"/>
    <x v="3"/>
    <x v="4"/>
    <n v="45697"/>
    <n v="57623"/>
    <n v="56649"/>
    <s v="2025-02"/>
    <s v="Partially Paid"/>
    <s v="YES"/>
  </r>
  <r>
    <n v="2892"/>
    <s v="Student_891"/>
    <x v="2"/>
    <x v="5"/>
    <n v="45877"/>
    <n v="42931"/>
    <n v="33414"/>
    <s v="2025-08"/>
    <s v="Partially Paid"/>
    <s v="NO"/>
  </r>
  <r>
    <n v="2893"/>
    <s v="Student_892"/>
    <x v="2"/>
    <x v="1"/>
    <n v="45786"/>
    <n v="43580"/>
    <n v="36388"/>
    <s v="2025-05"/>
    <s v="Partially Paid"/>
    <s v="NO"/>
  </r>
  <r>
    <n v="2894"/>
    <s v="Student_893"/>
    <x v="0"/>
    <x v="4"/>
    <n v="45665"/>
    <n v="35166"/>
    <n v="25991"/>
    <s v="2025-01"/>
    <s v="Partially Paid"/>
    <s v="NO"/>
  </r>
  <r>
    <n v="2895"/>
    <s v="Student_894"/>
    <x v="6"/>
    <x v="1"/>
    <n v="45758"/>
    <n v="49240"/>
    <n v="40160"/>
    <s v="2025-04"/>
    <s v="Partially Paid"/>
    <s v="NO"/>
  </r>
  <r>
    <n v="2896"/>
    <s v="Student_895"/>
    <x v="5"/>
    <x v="5"/>
    <n v="45833"/>
    <n v="45991"/>
    <n v="34862"/>
    <s v="2025-06"/>
    <s v="Partially Paid"/>
    <s v="NO"/>
  </r>
  <r>
    <n v="2897"/>
    <s v="Student_896"/>
    <x v="6"/>
    <x v="5"/>
    <n v="45764"/>
    <n v="58556"/>
    <n v="48247"/>
    <s v="2025-04"/>
    <s v="Partially Paid"/>
    <s v="YES"/>
  </r>
  <r>
    <n v="2898"/>
    <s v="Student_897"/>
    <x v="4"/>
    <x v="3"/>
    <n v="45758"/>
    <n v="52969"/>
    <n v="50297"/>
    <s v="2025-04"/>
    <s v="Partially Paid"/>
    <s v="YES"/>
  </r>
  <r>
    <n v="2899"/>
    <s v="Student_898"/>
    <x v="0"/>
    <x v="5"/>
    <n v="45917"/>
    <n v="30561"/>
    <n v="17399"/>
    <s v="2025-09"/>
    <s v="Partially Paid"/>
    <s v="NO"/>
  </r>
  <r>
    <n v="2900"/>
    <s v="Student_899"/>
    <x v="6"/>
    <x v="4"/>
    <n v="45903"/>
    <n v="36901"/>
    <n v="29622"/>
    <s v="2025-09"/>
    <s v="Partially Paid"/>
    <s v="NO"/>
  </r>
  <r>
    <n v="2901"/>
    <s v="Student_900"/>
    <x v="3"/>
    <x v="4"/>
    <n v="45932"/>
    <n v="50020"/>
    <n v="42489"/>
    <s v="2025-10"/>
    <s v="Partially Paid"/>
    <s v="YES"/>
  </r>
  <r>
    <n v="2902"/>
    <s v="Student_901"/>
    <x v="2"/>
    <x v="4"/>
    <n v="45689"/>
    <n v="45917"/>
    <n v="36399"/>
    <s v="2025-02"/>
    <s v="Partially Paid"/>
    <s v="NO"/>
  </r>
  <r>
    <n v="2903"/>
    <s v="Student_902"/>
    <x v="4"/>
    <x v="3"/>
    <n v="45794"/>
    <n v="21988"/>
    <n v="13326"/>
    <s v="2025-05"/>
    <s v="Partially Paid"/>
    <s v="NO"/>
  </r>
  <r>
    <n v="2904"/>
    <s v="Student_903"/>
    <x v="0"/>
    <x v="3"/>
    <n v="45669"/>
    <n v="34256"/>
    <n v="32269"/>
    <s v="2025-01"/>
    <s v="Partially Paid"/>
    <s v="NO"/>
  </r>
  <r>
    <n v="2905"/>
    <s v="Student_904"/>
    <x v="6"/>
    <x v="5"/>
    <n v="45959"/>
    <n v="42192"/>
    <n v="42102"/>
    <s v="2025-10"/>
    <s v="Partially Paid"/>
    <s v="NO"/>
  </r>
  <r>
    <n v="2906"/>
    <s v="Student_905"/>
    <x v="5"/>
    <x v="0"/>
    <n v="45673"/>
    <n v="48230"/>
    <n v="39509"/>
    <s v="2025-01"/>
    <s v="Partially Paid"/>
    <s v="NO"/>
  </r>
  <r>
    <n v="2907"/>
    <s v="Student_906"/>
    <x v="3"/>
    <x v="0"/>
    <n v="45786"/>
    <n v="59930"/>
    <n v="46982"/>
    <s v="2025-05"/>
    <s v="Partially Paid"/>
    <s v="YES"/>
  </r>
  <r>
    <n v="2908"/>
    <s v="Student_907"/>
    <x v="3"/>
    <x v="3"/>
    <n v="45720"/>
    <n v="42625"/>
    <n v="38566"/>
    <s v="2025-03"/>
    <s v="Partially Paid"/>
    <s v="NO"/>
  </r>
  <r>
    <n v="2909"/>
    <s v="Student_908"/>
    <x v="6"/>
    <x v="5"/>
    <n v="45766"/>
    <n v="52088"/>
    <n v="39062"/>
    <s v="2025-04"/>
    <s v="Partially Paid"/>
    <s v="YES"/>
  </r>
  <r>
    <n v="2910"/>
    <s v="Student_909"/>
    <x v="2"/>
    <x v="0"/>
    <n v="45678"/>
    <n v="34114"/>
    <n v="31341"/>
    <s v="2025-01"/>
    <s v="Partially Paid"/>
    <s v="NO"/>
  </r>
  <r>
    <n v="2911"/>
    <s v="Student_910"/>
    <x v="6"/>
    <x v="5"/>
    <n v="45815"/>
    <n v="58401"/>
    <n v="45242"/>
    <s v="2025-06"/>
    <s v="Partially Paid"/>
    <s v="YES"/>
  </r>
  <r>
    <n v="2912"/>
    <s v="Student_911"/>
    <x v="4"/>
    <x v="5"/>
    <n v="45926"/>
    <n v="25755"/>
    <n v="15877"/>
    <s v="2025-09"/>
    <s v="Partially Paid"/>
    <s v="NO"/>
  </r>
  <r>
    <n v="2913"/>
    <s v="Student_912"/>
    <x v="6"/>
    <x v="5"/>
    <n v="45819"/>
    <n v="30825"/>
    <n v="22442"/>
    <s v="2025-06"/>
    <s v="Partially Paid"/>
    <s v="NO"/>
  </r>
  <r>
    <n v="2914"/>
    <s v="Student_913"/>
    <x v="3"/>
    <x v="2"/>
    <n v="45917"/>
    <n v="42693"/>
    <n v="32515"/>
    <s v="2025-09"/>
    <s v="Partially Paid"/>
    <s v="NO"/>
  </r>
  <r>
    <n v="2915"/>
    <s v="Student_914"/>
    <x v="0"/>
    <x v="4"/>
    <n v="45759"/>
    <n v="24117"/>
    <n v="12302"/>
    <s v="2025-04"/>
    <s v="Partially Paid"/>
    <s v="NO"/>
  </r>
  <r>
    <n v="2916"/>
    <s v="Student_915"/>
    <x v="6"/>
    <x v="5"/>
    <n v="45880"/>
    <n v="44729"/>
    <n v="37320"/>
    <s v="2025-08"/>
    <s v="Partially Paid"/>
    <s v="NO"/>
  </r>
  <r>
    <n v="2917"/>
    <s v="Student_916"/>
    <x v="2"/>
    <x v="2"/>
    <n v="45716"/>
    <n v="52182"/>
    <n v="41805"/>
    <s v="2025-02"/>
    <s v="Partially Paid"/>
    <s v="YES"/>
  </r>
  <r>
    <n v="2918"/>
    <s v="Student_917"/>
    <x v="0"/>
    <x v="3"/>
    <n v="45904"/>
    <n v="48890"/>
    <n v="44450"/>
    <s v="2025-09"/>
    <s v="Partially Paid"/>
    <s v="NO"/>
  </r>
  <r>
    <n v="2919"/>
    <s v="Student_918"/>
    <x v="5"/>
    <x v="0"/>
    <n v="45785"/>
    <n v="49340"/>
    <n v="41993"/>
    <s v="2025-05"/>
    <s v="Partially Paid"/>
    <s v="NO"/>
  </r>
  <r>
    <n v="2920"/>
    <s v="Student_919"/>
    <x v="1"/>
    <x v="4"/>
    <n v="45940"/>
    <n v="21518"/>
    <n v="20510"/>
    <s v="2025-10"/>
    <s v="Partially Paid"/>
    <s v="NO"/>
  </r>
  <r>
    <n v="2921"/>
    <s v="Student_920"/>
    <x v="6"/>
    <x v="0"/>
    <n v="45982"/>
    <n v="50949"/>
    <n v="47166"/>
    <s v="2025-11"/>
    <s v="Partially Paid"/>
    <s v="YES"/>
  </r>
  <r>
    <n v="2922"/>
    <s v="Student_921"/>
    <x v="2"/>
    <x v="4"/>
    <n v="45682"/>
    <n v="42547"/>
    <n v="35901"/>
    <s v="2025-01"/>
    <s v="Partially Paid"/>
    <s v="NO"/>
  </r>
  <r>
    <n v="2923"/>
    <s v="Student_922"/>
    <x v="0"/>
    <x v="0"/>
    <n v="45788"/>
    <n v="36346"/>
    <n v="32048"/>
    <s v="2025-05"/>
    <s v="Partially Paid"/>
    <s v="NO"/>
  </r>
  <r>
    <n v="2924"/>
    <s v="Student_923"/>
    <x v="2"/>
    <x v="4"/>
    <n v="46010"/>
    <n v="22600"/>
    <n v="17932"/>
    <s v="2025-12"/>
    <s v="Partially Paid"/>
    <s v="NO"/>
  </r>
  <r>
    <n v="2925"/>
    <s v="Student_924"/>
    <x v="5"/>
    <x v="0"/>
    <n v="45853"/>
    <n v="49267"/>
    <n v="44980"/>
    <s v="2025-07"/>
    <s v="Partially Paid"/>
    <s v="NO"/>
  </r>
  <r>
    <n v="2926"/>
    <s v="Student_925"/>
    <x v="3"/>
    <x v="0"/>
    <n v="45938"/>
    <n v="56322"/>
    <n v="54270"/>
    <s v="2025-10"/>
    <s v="Partially Paid"/>
    <s v="YES"/>
  </r>
  <r>
    <n v="2927"/>
    <s v="Student_926"/>
    <x v="2"/>
    <x v="0"/>
    <n v="45811"/>
    <n v="46990"/>
    <n v="40981"/>
    <s v="2025-06"/>
    <s v="Partially Paid"/>
    <s v="NO"/>
  </r>
  <r>
    <n v="2928"/>
    <s v="Student_927"/>
    <x v="0"/>
    <x v="0"/>
    <n v="45790"/>
    <n v="36193"/>
    <n v="24693"/>
    <s v="2025-05"/>
    <s v="Partially Paid"/>
    <s v="NO"/>
  </r>
  <r>
    <n v="2929"/>
    <s v="Student_928"/>
    <x v="2"/>
    <x v="3"/>
    <n v="45884"/>
    <n v="50109"/>
    <n v="48393"/>
    <s v="2025-08"/>
    <s v="Partially Paid"/>
    <s v="YES"/>
  </r>
  <r>
    <n v="2930"/>
    <s v="Student_929"/>
    <x v="2"/>
    <x v="5"/>
    <n v="45846"/>
    <n v="39233"/>
    <n v="38923"/>
    <s v="2025-07"/>
    <s v="Partially Paid"/>
    <s v="NO"/>
  </r>
  <r>
    <n v="2931"/>
    <s v="Student_930"/>
    <x v="2"/>
    <x v="1"/>
    <n v="45922"/>
    <n v="36194"/>
    <n v="21310"/>
    <s v="2025-09"/>
    <s v="Partially Paid"/>
    <s v="NO"/>
  </r>
  <r>
    <n v="2932"/>
    <s v="Student_931"/>
    <x v="4"/>
    <x v="2"/>
    <n v="45791"/>
    <n v="54510"/>
    <n v="40119"/>
    <s v="2025-05"/>
    <s v="Partially Paid"/>
    <s v="YES"/>
  </r>
  <r>
    <n v="2933"/>
    <s v="Student_932"/>
    <x v="4"/>
    <x v="1"/>
    <n v="45868"/>
    <n v="21306"/>
    <n v="16768"/>
    <s v="2025-07"/>
    <s v="Partially Paid"/>
    <s v="NO"/>
  </r>
  <r>
    <n v="2934"/>
    <s v="Student_933"/>
    <x v="3"/>
    <x v="1"/>
    <n v="45717"/>
    <n v="23849"/>
    <n v="22589"/>
    <s v="2025-03"/>
    <s v="Partially Paid"/>
    <s v="NO"/>
  </r>
  <r>
    <n v="2935"/>
    <s v="Student_934"/>
    <x v="6"/>
    <x v="4"/>
    <n v="46021"/>
    <n v="32360"/>
    <n v="19203"/>
    <s v="2025-12"/>
    <s v="Partially Paid"/>
    <s v="NO"/>
  </r>
  <r>
    <n v="2936"/>
    <s v="Student_935"/>
    <x v="2"/>
    <x v="5"/>
    <n v="46021"/>
    <n v="49231"/>
    <n v="45299"/>
    <s v="2025-12"/>
    <s v="Partially Paid"/>
    <s v="NO"/>
  </r>
  <r>
    <n v="2937"/>
    <s v="Student_936"/>
    <x v="5"/>
    <x v="4"/>
    <n v="45870"/>
    <n v="56963"/>
    <n v="45503"/>
    <s v="2025-08"/>
    <s v="Partially Paid"/>
    <s v="YES"/>
  </r>
  <r>
    <n v="2938"/>
    <s v="Student_937"/>
    <x v="6"/>
    <x v="5"/>
    <n v="45873"/>
    <n v="38689"/>
    <n v="38105"/>
    <s v="2025-08"/>
    <s v="Partially Paid"/>
    <s v="NO"/>
  </r>
  <r>
    <n v="2939"/>
    <s v="Student_938"/>
    <x v="5"/>
    <x v="5"/>
    <n v="45883"/>
    <n v="49084"/>
    <n v="35202"/>
    <s v="2025-08"/>
    <s v="Partially Paid"/>
    <s v="NO"/>
  </r>
  <r>
    <n v="2940"/>
    <s v="Student_939"/>
    <x v="6"/>
    <x v="0"/>
    <n v="45788"/>
    <n v="29280"/>
    <n v="18289"/>
    <s v="2025-05"/>
    <s v="Partially Paid"/>
    <s v="NO"/>
  </r>
  <r>
    <n v="2941"/>
    <s v="Student_940"/>
    <x v="3"/>
    <x v="3"/>
    <n v="45733"/>
    <n v="22642"/>
    <n v="8817"/>
    <s v="2025-03"/>
    <s v="Partially Paid"/>
    <s v="NO"/>
  </r>
  <r>
    <n v="2942"/>
    <s v="Student_941"/>
    <x v="2"/>
    <x v="0"/>
    <n v="45943"/>
    <n v="34296"/>
    <n v="26680"/>
    <s v="2025-10"/>
    <s v="Partially Paid"/>
    <s v="NO"/>
  </r>
  <r>
    <n v="2943"/>
    <s v="Student_942"/>
    <x v="2"/>
    <x v="3"/>
    <n v="45934"/>
    <n v="35438"/>
    <n v="26887"/>
    <s v="2025-10"/>
    <s v="Partially Paid"/>
    <s v="NO"/>
  </r>
  <r>
    <n v="2944"/>
    <s v="Student_943"/>
    <x v="1"/>
    <x v="4"/>
    <n v="45813"/>
    <n v="57525"/>
    <n v="43514"/>
    <s v="2025-06"/>
    <s v="Partially Paid"/>
    <s v="YES"/>
  </r>
  <r>
    <n v="2945"/>
    <s v="Student_944"/>
    <x v="5"/>
    <x v="3"/>
    <n v="45905"/>
    <n v="22994"/>
    <n v="20128"/>
    <s v="2025-09"/>
    <s v="Partially Paid"/>
    <s v="NO"/>
  </r>
  <r>
    <n v="2946"/>
    <s v="Student_945"/>
    <x v="6"/>
    <x v="4"/>
    <n v="45875"/>
    <n v="54039"/>
    <n v="39674"/>
    <s v="2025-08"/>
    <s v="Partially Paid"/>
    <s v="YES"/>
  </r>
  <r>
    <n v="2947"/>
    <s v="Student_946"/>
    <x v="6"/>
    <x v="1"/>
    <n v="45847"/>
    <n v="21813"/>
    <n v="15915"/>
    <s v="2025-07"/>
    <s v="Partially Paid"/>
    <s v="NO"/>
  </r>
  <r>
    <n v="2948"/>
    <s v="Student_947"/>
    <x v="4"/>
    <x v="1"/>
    <n v="45820"/>
    <n v="47491"/>
    <n v="45480"/>
    <s v="2025-06"/>
    <s v="Partially Paid"/>
    <s v="NO"/>
  </r>
  <r>
    <n v="2949"/>
    <s v="Student_948"/>
    <x v="1"/>
    <x v="3"/>
    <n v="45837"/>
    <n v="38845"/>
    <n v="32594"/>
    <s v="2025-06"/>
    <s v="Partially Paid"/>
    <s v="NO"/>
  </r>
  <r>
    <n v="2950"/>
    <s v="Student_949"/>
    <x v="0"/>
    <x v="3"/>
    <n v="45691"/>
    <n v="57164"/>
    <n v="52225"/>
    <s v="2025-02"/>
    <s v="Partially Paid"/>
    <s v="YES"/>
  </r>
  <r>
    <n v="2951"/>
    <s v="Student_950"/>
    <x v="0"/>
    <x v="4"/>
    <n v="45698"/>
    <n v="33318"/>
    <n v="29312"/>
    <s v="2025-02"/>
    <s v="Partially Paid"/>
    <s v="NO"/>
  </r>
  <r>
    <n v="2952"/>
    <s v="Student_951"/>
    <x v="4"/>
    <x v="0"/>
    <n v="45964"/>
    <n v="37200"/>
    <n v="35575"/>
    <s v="2025-11"/>
    <s v="Partially Paid"/>
    <s v="NO"/>
  </r>
  <r>
    <n v="2953"/>
    <s v="Student_952"/>
    <x v="4"/>
    <x v="4"/>
    <n v="45995"/>
    <n v="20082"/>
    <n v="9126"/>
    <s v="2025-12"/>
    <s v="Partially Paid"/>
    <s v="NO"/>
  </r>
  <r>
    <n v="2954"/>
    <s v="Student_953"/>
    <x v="4"/>
    <x v="0"/>
    <n v="45971"/>
    <n v="21920"/>
    <n v="21030"/>
    <s v="2025-11"/>
    <s v="Partially Paid"/>
    <s v="NO"/>
  </r>
  <r>
    <n v="2955"/>
    <s v="Student_954"/>
    <x v="5"/>
    <x v="1"/>
    <n v="45732"/>
    <n v="31683"/>
    <n v="17404"/>
    <s v="2025-03"/>
    <s v="Partially Paid"/>
    <s v="NO"/>
  </r>
  <r>
    <n v="2956"/>
    <s v="Student_955"/>
    <x v="5"/>
    <x v="5"/>
    <n v="45936"/>
    <n v="31336"/>
    <n v="25258"/>
    <s v="2025-10"/>
    <s v="Partially Paid"/>
    <s v="NO"/>
  </r>
  <r>
    <n v="2957"/>
    <s v="Student_956"/>
    <x v="3"/>
    <x v="3"/>
    <n v="45833"/>
    <n v="35596"/>
    <n v="22349"/>
    <s v="2025-06"/>
    <s v="Partially Paid"/>
    <s v="NO"/>
  </r>
  <r>
    <n v="2958"/>
    <s v="Student_957"/>
    <x v="3"/>
    <x v="0"/>
    <n v="45807"/>
    <n v="22093"/>
    <n v="8337"/>
    <s v="2025-05"/>
    <s v="Partially Paid"/>
    <s v="NO"/>
  </r>
  <r>
    <n v="2959"/>
    <s v="Student_958"/>
    <x v="4"/>
    <x v="4"/>
    <n v="45930"/>
    <n v="32905"/>
    <n v="25869"/>
    <s v="2025-09"/>
    <s v="Partially Paid"/>
    <s v="NO"/>
  </r>
  <r>
    <n v="2960"/>
    <s v="Student_959"/>
    <x v="1"/>
    <x v="1"/>
    <n v="45982"/>
    <n v="44351"/>
    <n v="30602"/>
    <s v="2025-11"/>
    <s v="Partially Paid"/>
    <s v="NO"/>
  </r>
  <r>
    <n v="2961"/>
    <s v="Student_960"/>
    <x v="6"/>
    <x v="0"/>
    <n v="45765"/>
    <n v="50981"/>
    <n v="42058"/>
    <s v="2025-04"/>
    <s v="Partially Paid"/>
    <s v="YES"/>
  </r>
  <r>
    <n v="2962"/>
    <s v="Student_961"/>
    <x v="5"/>
    <x v="4"/>
    <n v="45796"/>
    <n v="28367"/>
    <n v="24406"/>
    <s v="2025-05"/>
    <s v="Partially Paid"/>
    <s v="NO"/>
  </r>
  <r>
    <n v="2963"/>
    <s v="Student_962"/>
    <x v="1"/>
    <x v="3"/>
    <n v="46007"/>
    <n v="25285"/>
    <n v="12392"/>
    <s v="2025-12"/>
    <s v="Partially Paid"/>
    <s v="NO"/>
  </r>
  <r>
    <n v="2964"/>
    <s v="Student_963"/>
    <x v="2"/>
    <x v="3"/>
    <n v="45928"/>
    <n v="57705"/>
    <n v="55201"/>
    <s v="2025-09"/>
    <s v="Partially Paid"/>
    <s v="YES"/>
  </r>
  <r>
    <n v="2965"/>
    <s v="Student_964"/>
    <x v="5"/>
    <x v="2"/>
    <n v="46004"/>
    <n v="36753"/>
    <n v="27947"/>
    <s v="2025-12"/>
    <s v="Partially Paid"/>
    <s v="NO"/>
  </r>
  <r>
    <n v="2966"/>
    <s v="Student_965"/>
    <x v="5"/>
    <x v="5"/>
    <n v="45946"/>
    <n v="38485"/>
    <n v="34679"/>
    <s v="2025-10"/>
    <s v="Partially Paid"/>
    <s v="NO"/>
  </r>
  <r>
    <n v="2967"/>
    <s v="Student_966"/>
    <x v="3"/>
    <x v="2"/>
    <n v="45869"/>
    <n v="32977"/>
    <n v="26877"/>
    <s v="2025-07"/>
    <s v="Partially Paid"/>
    <s v="NO"/>
  </r>
  <r>
    <n v="2968"/>
    <s v="Student_967"/>
    <x v="6"/>
    <x v="1"/>
    <n v="45929"/>
    <n v="39874"/>
    <n v="38155"/>
    <s v="2025-09"/>
    <s v="Partially Paid"/>
    <s v="NO"/>
  </r>
  <r>
    <n v="2969"/>
    <s v="Student_968"/>
    <x v="6"/>
    <x v="0"/>
    <n v="45723"/>
    <n v="27674"/>
    <n v="14713"/>
    <s v="2025-03"/>
    <s v="Partially Paid"/>
    <s v="NO"/>
  </r>
  <r>
    <n v="2970"/>
    <s v="Student_969"/>
    <x v="0"/>
    <x v="1"/>
    <n v="45905"/>
    <n v="49038"/>
    <n v="35480"/>
    <s v="2025-09"/>
    <s v="Partially Paid"/>
    <s v="NO"/>
  </r>
  <r>
    <n v="2971"/>
    <s v="Student_970"/>
    <x v="0"/>
    <x v="4"/>
    <n v="45813"/>
    <n v="49315"/>
    <n v="42629"/>
    <s v="2025-06"/>
    <s v="Partially Paid"/>
    <s v="NO"/>
  </r>
  <r>
    <n v="2972"/>
    <s v="Student_971"/>
    <x v="0"/>
    <x v="3"/>
    <n v="45704"/>
    <n v="23676"/>
    <n v="22089"/>
    <s v="2025-02"/>
    <s v="Partially Paid"/>
    <s v="NO"/>
  </r>
  <r>
    <n v="2973"/>
    <s v="Student_972"/>
    <x v="0"/>
    <x v="2"/>
    <n v="45858"/>
    <n v="22426"/>
    <n v="15426"/>
    <s v="2025-07"/>
    <s v="Partially Paid"/>
    <s v="NO"/>
  </r>
  <r>
    <n v="2974"/>
    <s v="Student_973"/>
    <x v="2"/>
    <x v="2"/>
    <n v="45805"/>
    <n v="44473"/>
    <n v="34670"/>
    <s v="2025-05"/>
    <s v="Partially Paid"/>
    <s v="NO"/>
  </r>
  <r>
    <n v="2975"/>
    <s v="Student_974"/>
    <x v="2"/>
    <x v="2"/>
    <n v="45781"/>
    <n v="22962"/>
    <n v="22066"/>
    <s v="2025-05"/>
    <s v="Partially Paid"/>
    <s v="NO"/>
  </r>
  <r>
    <n v="2976"/>
    <s v="Student_975"/>
    <x v="5"/>
    <x v="1"/>
    <n v="45658"/>
    <n v="49943"/>
    <n v="44385"/>
    <s v="2025-01"/>
    <s v="Partially Paid"/>
    <s v="NO"/>
  </r>
  <r>
    <n v="2977"/>
    <s v="Student_976"/>
    <x v="4"/>
    <x v="3"/>
    <n v="45904"/>
    <n v="20859"/>
    <n v="12390"/>
    <s v="2025-09"/>
    <s v="Partially Paid"/>
    <s v="NO"/>
  </r>
  <r>
    <n v="2978"/>
    <s v="Student_977"/>
    <x v="3"/>
    <x v="0"/>
    <n v="46000"/>
    <n v="24138"/>
    <n v="19491"/>
    <s v="2025-12"/>
    <s v="Partially Paid"/>
    <s v="NO"/>
  </r>
  <r>
    <n v="2979"/>
    <s v="Student_978"/>
    <x v="3"/>
    <x v="4"/>
    <n v="45785"/>
    <n v="55192"/>
    <n v="45364"/>
    <s v="2025-05"/>
    <s v="Partially Paid"/>
    <s v="YES"/>
  </r>
  <r>
    <n v="2980"/>
    <s v="Student_979"/>
    <x v="0"/>
    <x v="0"/>
    <n v="45848"/>
    <n v="45640"/>
    <n v="35290"/>
    <s v="2025-07"/>
    <s v="Partially Paid"/>
    <s v="NO"/>
  </r>
  <r>
    <n v="2981"/>
    <s v="Student_980"/>
    <x v="5"/>
    <x v="1"/>
    <n v="45724"/>
    <n v="30409"/>
    <n v="27977"/>
    <s v="2025-03"/>
    <s v="Partially Paid"/>
    <s v="NO"/>
  </r>
  <r>
    <n v="2982"/>
    <s v="Student_981"/>
    <x v="1"/>
    <x v="4"/>
    <n v="45661"/>
    <n v="24017"/>
    <n v="20113"/>
    <s v="2025-01"/>
    <s v="Partially Paid"/>
    <s v="NO"/>
  </r>
  <r>
    <n v="2983"/>
    <s v="Student_982"/>
    <x v="4"/>
    <x v="2"/>
    <n v="45960"/>
    <n v="30451"/>
    <n v="17403"/>
    <s v="2025-10"/>
    <s v="Partially Paid"/>
    <s v="NO"/>
  </r>
  <r>
    <n v="2984"/>
    <s v="Student_983"/>
    <x v="5"/>
    <x v="5"/>
    <n v="45951"/>
    <n v="48327"/>
    <n v="36873"/>
    <s v="2025-10"/>
    <s v="Partially Paid"/>
    <s v="NO"/>
  </r>
  <r>
    <n v="2985"/>
    <s v="Student_984"/>
    <x v="4"/>
    <x v="1"/>
    <n v="45800"/>
    <n v="30278"/>
    <n v="23441"/>
    <s v="2025-05"/>
    <s v="Partially Paid"/>
    <s v="NO"/>
  </r>
  <r>
    <n v="2986"/>
    <s v="Student_985"/>
    <x v="4"/>
    <x v="1"/>
    <n v="45848"/>
    <n v="44944"/>
    <n v="43495"/>
    <s v="2025-07"/>
    <s v="Partially Paid"/>
    <s v="NO"/>
  </r>
  <r>
    <n v="2987"/>
    <s v="Student_986"/>
    <x v="4"/>
    <x v="3"/>
    <n v="45678"/>
    <n v="21134"/>
    <n v="16634"/>
    <s v="2025-01"/>
    <s v="Partially Paid"/>
    <s v="NO"/>
  </r>
  <r>
    <n v="2988"/>
    <s v="Student_987"/>
    <x v="5"/>
    <x v="0"/>
    <n v="45884"/>
    <n v="50131"/>
    <n v="44677"/>
    <s v="2025-08"/>
    <s v="Partially Paid"/>
    <s v="YES"/>
  </r>
  <r>
    <n v="2989"/>
    <s v="Student_988"/>
    <x v="0"/>
    <x v="1"/>
    <n v="45970"/>
    <n v="57887"/>
    <n v="48463"/>
    <s v="2025-11"/>
    <s v="Partially Paid"/>
    <s v="YES"/>
  </r>
  <r>
    <n v="2990"/>
    <s v="Student_989"/>
    <x v="3"/>
    <x v="1"/>
    <n v="45774"/>
    <n v="58462"/>
    <n v="54345"/>
    <s v="2025-04"/>
    <s v="Partially Paid"/>
    <s v="YES"/>
  </r>
  <r>
    <n v="2991"/>
    <s v="Student_990"/>
    <x v="3"/>
    <x v="2"/>
    <n v="45959"/>
    <n v="42520"/>
    <n v="33651"/>
    <s v="2025-10"/>
    <s v="Partially Paid"/>
    <s v="NO"/>
  </r>
  <r>
    <n v="2992"/>
    <s v="Student_991"/>
    <x v="0"/>
    <x v="2"/>
    <n v="45799"/>
    <n v="41869"/>
    <n v="31019"/>
    <s v="2025-05"/>
    <s v="Partially Paid"/>
    <s v="NO"/>
  </r>
  <r>
    <n v="2993"/>
    <s v="Student_992"/>
    <x v="4"/>
    <x v="4"/>
    <n v="45696"/>
    <n v="56932"/>
    <n v="54904"/>
    <s v="2025-02"/>
    <s v="Partially Paid"/>
    <s v="YES"/>
  </r>
  <r>
    <n v="2994"/>
    <s v="Student_993"/>
    <x v="1"/>
    <x v="5"/>
    <n v="46012"/>
    <n v="25039"/>
    <n v="11520"/>
    <s v="2025-12"/>
    <s v="Partially Paid"/>
    <s v="NO"/>
  </r>
  <r>
    <n v="2995"/>
    <s v="Student_994"/>
    <x v="6"/>
    <x v="3"/>
    <n v="45909"/>
    <n v="41281"/>
    <n v="26938"/>
    <s v="2025-09"/>
    <s v="Partially Paid"/>
    <s v="NO"/>
  </r>
  <r>
    <n v="2996"/>
    <s v="Student_995"/>
    <x v="5"/>
    <x v="5"/>
    <n v="45990"/>
    <n v="30442"/>
    <n v="23597"/>
    <s v="2025-11"/>
    <s v="Partially Paid"/>
    <s v="NO"/>
  </r>
  <r>
    <n v="2997"/>
    <s v="Student_996"/>
    <x v="6"/>
    <x v="4"/>
    <n v="45864"/>
    <n v="28252"/>
    <n v="24494"/>
    <s v="2025-07"/>
    <s v="Partially Paid"/>
    <s v="NO"/>
  </r>
  <r>
    <n v="2998"/>
    <s v="Student_997"/>
    <x v="0"/>
    <x v="2"/>
    <n v="45867"/>
    <n v="47586"/>
    <n v="41682"/>
    <s v="2025-07"/>
    <s v="Partially Paid"/>
    <s v="NO"/>
  </r>
  <r>
    <n v="2999"/>
    <s v="Student_998"/>
    <x v="1"/>
    <x v="0"/>
    <n v="45772"/>
    <n v="37568"/>
    <n v="32944"/>
    <s v="2025-04"/>
    <s v="Partially Paid"/>
    <s v="NO"/>
  </r>
  <r>
    <n v="3000"/>
    <s v="Student_999"/>
    <x v="5"/>
    <x v="2"/>
    <n v="45882"/>
    <n v="40810"/>
    <n v="30581"/>
    <s v="2025-08"/>
    <s v="Partially Paid"/>
    <s v="NO"/>
  </r>
  <r>
    <n v="3001"/>
    <s v="Student_1000"/>
    <x v="0"/>
    <x v="3"/>
    <n v="45791"/>
    <n v="21551"/>
    <n v="10710"/>
    <s v="2025-05"/>
    <s v="Partially Paid"/>
    <s v="NO"/>
  </r>
  <r>
    <n v="3002"/>
    <s v="Student_1001"/>
    <x v="4"/>
    <x v="2"/>
    <n v="45908"/>
    <n v="32625"/>
    <n v="18661"/>
    <s v="2025-09"/>
    <s v="Partially Paid"/>
    <s v="NO"/>
  </r>
  <r>
    <n v="3003"/>
    <s v="Student_1002"/>
    <x v="3"/>
    <x v="3"/>
    <n v="45876"/>
    <n v="54397"/>
    <n v="45549"/>
    <s v="2025-08"/>
    <s v="Partially Paid"/>
    <s v="YES"/>
  </r>
  <r>
    <n v="3004"/>
    <s v="Student_1003"/>
    <x v="6"/>
    <x v="3"/>
    <n v="45748"/>
    <n v="46249"/>
    <n v="46084"/>
    <s v="2025-04"/>
    <s v="Partially Paid"/>
    <s v="NO"/>
  </r>
  <r>
    <n v="3005"/>
    <s v="Student_1004"/>
    <x v="2"/>
    <x v="3"/>
    <n v="46011"/>
    <n v="21361"/>
    <n v="8225"/>
    <s v="2025-12"/>
    <s v="Partially Paid"/>
    <s v="NO"/>
  </r>
  <r>
    <n v="3006"/>
    <s v="Student_1005"/>
    <x v="2"/>
    <x v="4"/>
    <n v="45703"/>
    <n v="46149"/>
    <n v="41558"/>
    <s v="2025-02"/>
    <s v="Partially Paid"/>
    <s v="NO"/>
  </r>
  <r>
    <n v="3007"/>
    <s v="Student_1006"/>
    <x v="1"/>
    <x v="3"/>
    <n v="45695"/>
    <n v="24370"/>
    <n v="23781"/>
    <s v="2025-02"/>
    <s v="Partially Paid"/>
    <s v="NO"/>
  </r>
  <r>
    <n v="3008"/>
    <s v="Student_1007"/>
    <x v="4"/>
    <x v="3"/>
    <n v="45799"/>
    <n v="25283"/>
    <n v="20759"/>
    <s v="2025-05"/>
    <s v="Partially Paid"/>
    <s v="NO"/>
  </r>
  <r>
    <n v="3009"/>
    <s v="Student_1008"/>
    <x v="6"/>
    <x v="0"/>
    <n v="45757"/>
    <n v="27610"/>
    <n v="24789"/>
    <s v="2025-04"/>
    <s v="Partially Paid"/>
    <s v="NO"/>
  </r>
  <r>
    <n v="3010"/>
    <s v="Student_1009"/>
    <x v="4"/>
    <x v="5"/>
    <n v="45985"/>
    <n v="34924"/>
    <n v="22474"/>
    <s v="2025-11"/>
    <s v="Partially Paid"/>
    <s v="NO"/>
  </r>
  <r>
    <n v="3011"/>
    <s v="Student_1010"/>
    <x v="6"/>
    <x v="1"/>
    <n v="45847"/>
    <n v="30626"/>
    <n v="24117"/>
    <s v="2025-07"/>
    <s v="Partially Paid"/>
    <s v="NO"/>
  </r>
  <r>
    <n v="3012"/>
    <s v="Student_1011"/>
    <x v="1"/>
    <x v="5"/>
    <n v="45692"/>
    <n v="54761"/>
    <n v="47068"/>
    <s v="2025-02"/>
    <s v="Partially Paid"/>
    <s v="YES"/>
  </r>
  <r>
    <n v="3013"/>
    <s v="Student_1012"/>
    <x v="1"/>
    <x v="3"/>
    <n v="45804"/>
    <n v="20869"/>
    <n v="11415"/>
    <s v="2025-05"/>
    <s v="Partially Paid"/>
    <s v="NO"/>
  </r>
  <r>
    <n v="3014"/>
    <s v="Student_1013"/>
    <x v="2"/>
    <x v="0"/>
    <n v="45687"/>
    <n v="51552"/>
    <n v="51481"/>
    <s v="2025-01"/>
    <s v="Partially Paid"/>
    <s v="YES"/>
  </r>
  <r>
    <n v="3015"/>
    <s v="Student_1014"/>
    <x v="4"/>
    <x v="2"/>
    <n v="45991"/>
    <n v="21014"/>
    <n v="9306"/>
    <s v="2025-11"/>
    <s v="Partially Paid"/>
    <s v="NO"/>
  </r>
  <r>
    <n v="3016"/>
    <s v="Student_1015"/>
    <x v="5"/>
    <x v="0"/>
    <n v="45741"/>
    <n v="30103"/>
    <n v="17161"/>
    <s v="2025-03"/>
    <s v="Partially Paid"/>
    <s v="NO"/>
  </r>
  <r>
    <n v="3017"/>
    <s v="Student_1016"/>
    <x v="2"/>
    <x v="3"/>
    <n v="45938"/>
    <n v="36986"/>
    <n v="33406"/>
    <s v="2025-10"/>
    <s v="Partially Paid"/>
    <s v="NO"/>
  </r>
  <r>
    <n v="3018"/>
    <s v="Student_1017"/>
    <x v="4"/>
    <x v="0"/>
    <n v="46001"/>
    <n v="50471"/>
    <n v="42509"/>
    <s v="2025-12"/>
    <s v="Partially Paid"/>
    <s v="YES"/>
  </r>
  <r>
    <n v="3019"/>
    <s v="Student_1018"/>
    <x v="2"/>
    <x v="0"/>
    <n v="45927"/>
    <n v="53458"/>
    <n v="53190"/>
    <s v="2025-09"/>
    <s v="Partially Paid"/>
    <s v="YES"/>
  </r>
  <r>
    <n v="3020"/>
    <s v="Student_1019"/>
    <x v="5"/>
    <x v="3"/>
    <n v="45811"/>
    <n v="45069"/>
    <n v="35101"/>
    <s v="2025-06"/>
    <s v="Partially Paid"/>
    <s v="NO"/>
  </r>
  <r>
    <n v="3021"/>
    <s v="Student_1020"/>
    <x v="3"/>
    <x v="4"/>
    <n v="45759"/>
    <n v="36873"/>
    <n v="34411"/>
    <s v="2025-04"/>
    <s v="Partially Paid"/>
    <s v="NO"/>
  </r>
  <r>
    <n v="3022"/>
    <s v="Student_1021"/>
    <x v="3"/>
    <x v="0"/>
    <n v="45872"/>
    <n v="43248"/>
    <n v="33788"/>
    <s v="2025-08"/>
    <s v="Partially Paid"/>
    <s v="NO"/>
  </r>
  <r>
    <n v="3023"/>
    <s v="Student_1022"/>
    <x v="3"/>
    <x v="1"/>
    <n v="45807"/>
    <n v="43624"/>
    <n v="42609"/>
    <s v="2025-05"/>
    <s v="Partially Paid"/>
    <s v="NO"/>
  </r>
  <r>
    <n v="3024"/>
    <s v="Student_1023"/>
    <x v="3"/>
    <x v="1"/>
    <n v="45740"/>
    <n v="49061"/>
    <n v="38147"/>
    <s v="2025-03"/>
    <s v="Partially Paid"/>
    <s v="NO"/>
  </r>
  <r>
    <n v="3025"/>
    <s v="Student_1024"/>
    <x v="0"/>
    <x v="0"/>
    <n v="45767"/>
    <n v="44170"/>
    <n v="34895"/>
    <s v="2025-04"/>
    <s v="Partially Paid"/>
    <s v="NO"/>
  </r>
  <r>
    <n v="3026"/>
    <s v="Student_1025"/>
    <x v="6"/>
    <x v="4"/>
    <n v="45932"/>
    <n v="28024"/>
    <n v="15731"/>
    <s v="2025-10"/>
    <s v="Partially Paid"/>
    <s v="NO"/>
  </r>
  <r>
    <n v="3027"/>
    <s v="Student_1026"/>
    <x v="0"/>
    <x v="2"/>
    <n v="45858"/>
    <n v="36678"/>
    <n v="23409"/>
    <s v="2025-07"/>
    <s v="Partially Paid"/>
    <s v="NO"/>
  </r>
  <r>
    <n v="3028"/>
    <s v="Student_1027"/>
    <x v="0"/>
    <x v="3"/>
    <n v="45941"/>
    <n v="58256"/>
    <n v="43351"/>
    <s v="2025-10"/>
    <s v="Partially Paid"/>
    <s v="YES"/>
  </r>
  <r>
    <n v="3029"/>
    <s v="Student_1028"/>
    <x v="0"/>
    <x v="1"/>
    <n v="45830"/>
    <n v="40411"/>
    <n v="32427"/>
    <s v="2025-06"/>
    <s v="Partially Paid"/>
    <s v="NO"/>
  </r>
  <r>
    <n v="3030"/>
    <s v="Student_1029"/>
    <x v="3"/>
    <x v="2"/>
    <n v="45984"/>
    <n v="39296"/>
    <n v="38890"/>
    <s v="2025-11"/>
    <s v="Partially Paid"/>
    <s v="NO"/>
  </r>
  <r>
    <n v="3031"/>
    <s v="Student_1030"/>
    <x v="5"/>
    <x v="0"/>
    <n v="45863"/>
    <n v="46293"/>
    <n v="38909"/>
    <s v="2025-07"/>
    <s v="Partially Paid"/>
    <s v="NO"/>
  </r>
  <r>
    <n v="3032"/>
    <s v="Student_1031"/>
    <x v="1"/>
    <x v="2"/>
    <n v="45720"/>
    <n v="47172"/>
    <n v="41123"/>
    <s v="2025-03"/>
    <s v="Partially Paid"/>
    <s v="NO"/>
  </r>
  <r>
    <n v="3033"/>
    <s v="Student_1032"/>
    <x v="1"/>
    <x v="5"/>
    <n v="45730"/>
    <n v="41128"/>
    <n v="34959"/>
    <s v="2025-03"/>
    <s v="Partially Paid"/>
    <s v="NO"/>
  </r>
  <r>
    <n v="3034"/>
    <s v="Student_1033"/>
    <x v="6"/>
    <x v="1"/>
    <n v="45908"/>
    <n v="38257"/>
    <n v="30275"/>
    <s v="2025-09"/>
    <s v="Partially Paid"/>
    <s v="NO"/>
  </r>
  <r>
    <n v="3035"/>
    <s v="Student_1034"/>
    <x v="3"/>
    <x v="0"/>
    <n v="45781"/>
    <n v="32855"/>
    <n v="21587"/>
    <s v="2025-05"/>
    <s v="Partially Paid"/>
    <s v="NO"/>
  </r>
  <r>
    <n v="3036"/>
    <s v="Student_1035"/>
    <x v="3"/>
    <x v="3"/>
    <n v="45778"/>
    <n v="39642"/>
    <n v="38657"/>
    <s v="2025-05"/>
    <s v="Partially Paid"/>
    <s v="NO"/>
  </r>
  <r>
    <n v="3037"/>
    <s v="Student_1036"/>
    <x v="3"/>
    <x v="4"/>
    <n v="45932"/>
    <n v="55585"/>
    <n v="43790"/>
    <s v="2025-10"/>
    <s v="Partially Paid"/>
    <s v="YES"/>
  </r>
  <r>
    <n v="3038"/>
    <s v="Student_1037"/>
    <x v="2"/>
    <x v="0"/>
    <n v="45777"/>
    <n v="40025"/>
    <n v="35540"/>
    <s v="2025-04"/>
    <s v="Partially Paid"/>
    <s v="NO"/>
  </r>
  <r>
    <n v="3039"/>
    <s v="Student_1038"/>
    <x v="4"/>
    <x v="3"/>
    <n v="45974"/>
    <n v="24458"/>
    <n v="15557"/>
    <s v="2025-11"/>
    <s v="Partially Paid"/>
    <s v="NO"/>
  </r>
  <r>
    <n v="3040"/>
    <s v="Student_1039"/>
    <x v="2"/>
    <x v="4"/>
    <n v="45821"/>
    <n v="25307"/>
    <n v="22689"/>
    <s v="2025-06"/>
    <s v="Partially Paid"/>
    <s v="NO"/>
  </r>
  <r>
    <n v="3041"/>
    <s v="Student_1040"/>
    <x v="4"/>
    <x v="4"/>
    <n v="45943"/>
    <n v="38425"/>
    <n v="24666"/>
    <s v="2025-10"/>
    <s v="Partially Paid"/>
    <s v="NO"/>
  </r>
  <r>
    <n v="3042"/>
    <s v="Student_1041"/>
    <x v="3"/>
    <x v="0"/>
    <n v="45922"/>
    <n v="48273"/>
    <n v="35232"/>
    <s v="2025-09"/>
    <s v="Partially Paid"/>
    <s v="NO"/>
  </r>
  <r>
    <n v="3043"/>
    <s v="Student_1042"/>
    <x v="3"/>
    <x v="2"/>
    <n v="45977"/>
    <n v="58506"/>
    <n v="52217"/>
    <s v="2025-11"/>
    <s v="Partially Paid"/>
    <s v="YES"/>
  </r>
  <r>
    <n v="3044"/>
    <s v="Student_1043"/>
    <x v="2"/>
    <x v="2"/>
    <n v="45818"/>
    <n v="25668"/>
    <n v="16065"/>
    <s v="2025-06"/>
    <s v="Partially Paid"/>
    <s v="NO"/>
  </r>
  <r>
    <n v="3045"/>
    <s v="Student_1044"/>
    <x v="2"/>
    <x v="4"/>
    <n v="45965"/>
    <n v="45934"/>
    <n v="39006"/>
    <s v="2025-11"/>
    <s v="Partially Paid"/>
    <s v="NO"/>
  </r>
  <r>
    <n v="3046"/>
    <s v="Student_1045"/>
    <x v="4"/>
    <x v="2"/>
    <n v="45746"/>
    <n v="27697"/>
    <n v="22329"/>
    <s v="2025-03"/>
    <s v="Partially Paid"/>
    <s v="NO"/>
  </r>
  <r>
    <n v="3047"/>
    <s v="Student_1046"/>
    <x v="1"/>
    <x v="5"/>
    <n v="45799"/>
    <n v="44417"/>
    <n v="39796"/>
    <s v="2025-05"/>
    <s v="Partially Paid"/>
    <s v="NO"/>
  </r>
  <r>
    <n v="3048"/>
    <s v="Student_1047"/>
    <x v="4"/>
    <x v="4"/>
    <n v="45860"/>
    <n v="36446"/>
    <n v="26769"/>
    <s v="2025-07"/>
    <s v="Partially Paid"/>
    <s v="NO"/>
  </r>
  <r>
    <n v="3049"/>
    <s v="Student_1048"/>
    <x v="2"/>
    <x v="4"/>
    <n v="45966"/>
    <n v="30751"/>
    <n v="16403"/>
    <s v="2025-11"/>
    <s v="Partially Paid"/>
    <s v="NO"/>
  </r>
  <r>
    <n v="3050"/>
    <s v="Student_1049"/>
    <x v="5"/>
    <x v="3"/>
    <n v="45884"/>
    <n v="27352"/>
    <n v="16210"/>
    <s v="2025-08"/>
    <s v="Partially Paid"/>
    <s v="NO"/>
  </r>
  <r>
    <n v="3051"/>
    <s v="Student_1050"/>
    <x v="2"/>
    <x v="2"/>
    <n v="45991"/>
    <n v="33516"/>
    <n v="18797"/>
    <s v="2025-11"/>
    <s v="Partially Paid"/>
    <s v="NO"/>
  </r>
  <r>
    <n v="3052"/>
    <s v="Student_1051"/>
    <x v="5"/>
    <x v="4"/>
    <n v="45879"/>
    <n v="43299"/>
    <n v="30456"/>
    <s v="2025-08"/>
    <s v="Partially Paid"/>
    <s v="NO"/>
  </r>
  <r>
    <n v="3053"/>
    <s v="Student_1052"/>
    <x v="6"/>
    <x v="5"/>
    <n v="45698"/>
    <n v="51957"/>
    <n v="40831"/>
    <s v="2025-02"/>
    <s v="Partially Paid"/>
    <s v="YES"/>
  </r>
  <r>
    <n v="3054"/>
    <s v="Student_1053"/>
    <x v="2"/>
    <x v="3"/>
    <n v="45853"/>
    <n v="48927"/>
    <n v="41361"/>
    <s v="2025-07"/>
    <s v="Partially Paid"/>
    <s v="NO"/>
  </r>
  <r>
    <n v="3055"/>
    <s v="Student_1054"/>
    <x v="6"/>
    <x v="0"/>
    <n v="45725"/>
    <n v="56412"/>
    <n v="44106"/>
    <s v="2025-03"/>
    <s v="Partially Paid"/>
    <s v="YES"/>
  </r>
  <r>
    <n v="3056"/>
    <s v="Student_1055"/>
    <x v="1"/>
    <x v="4"/>
    <n v="45921"/>
    <n v="49493"/>
    <n v="44823"/>
    <s v="2025-09"/>
    <s v="Partially Paid"/>
    <s v="NO"/>
  </r>
  <r>
    <n v="3057"/>
    <s v="Student_1056"/>
    <x v="4"/>
    <x v="5"/>
    <n v="45659"/>
    <n v="46711"/>
    <n v="39053"/>
    <s v="2025-01"/>
    <s v="Partially Paid"/>
    <s v="NO"/>
  </r>
  <r>
    <n v="3058"/>
    <s v="Student_1057"/>
    <x v="5"/>
    <x v="1"/>
    <n v="46018"/>
    <n v="28003"/>
    <n v="27000"/>
    <s v="2025-12"/>
    <s v="Partially Paid"/>
    <s v="NO"/>
  </r>
  <r>
    <n v="3059"/>
    <s v="Student_1058"/>
    <x v="4"/>
    <x v="5"/>
    <n v="45782"/>
    <n v="51707"/>
    <n v="41049"/>
    <s v="2025-05"/>
    <s v="Partially Paid"/>
    <s v="YES"/>
  </r>
  <r>
    <n v="3060"/>
    <s v="Student_1059"/>
    <x v="6"/>
    <x v="5"/>
    <n v="45767"/>
    <n v="23278"/>
    <n v="15774"/>
    <s v="2025-04"/>
    <s v="Partially Paid"/>
    <s v="NO"/>
  </r>
  <r>
    <n v="3061"/>
    <s v="Student_1060"/>
    <x v="5"/>
    <x v="3"/>
    <n v="45743"/>
    <n v="27296"/>
    <n v="24830"/>
    <s v="2025-03"/>
    <s v="Partially Paid"/>
    <s v="NO"/>
  </r>
  <r>
    <n v="3062"/>
    <s v="Student_1061"/>
    <x v="4"/>
    <x v="0"/>
    <n v="45777"/>
    <n v="45398"/>
    <n v="35268"/>
    <s v="2025-04"/>
    <s v="Partially Paid"/>
    <s v="NO"/>
  </r>
  <r>
    <n v="3063"/>
    <s v="Student_1062"/>
    <x v="2"/>
    <x v="1"/>
    <n v="45784"/>
    <n v="55842"/>
    <n v="53903"/>
    <s v="2025-05"/>
    <s v="Partially Paid"/>
    <s v="YES"/>
  </r>
  <r>
    <n v="3064"/>
    <s v="Student_1063"/>
    <x v="3"/>
    <x v="2"/>
    <n v="45912"/>
    <n v="33261"/>
    <n v="31626"/>
    <s v="2025-09"/>
    <s v="Partially Paid"/>
    <s v="NO"/>
  </r>
  <r>
    <n v="3065"/>
    <s v="Student_1064"/>
    <x v="6"/>
    <x v="2"/>
    <n v="45840"/>
    <n v="31173"/>
    <n v="21283"/>
    <s v="2025-07"/>
    <s v="Partially Paid"/>
    <s v="NO"/>
  </r>
  <r>
    <n v="3066"/>
    <s v="Student_1065"/>
    <x v="4"/>
    <x v="5"/>
    <n v="45673"/>
    <n v="50449"/>
    <n v="42354"/>
    <s v="2025-01"/>
    <s v="Partially Paid"/>
    <s v="YES"/>
  </r>
  <r>
    <n v="3067"/>
    <s v="Student_1066"/>
    <x v="6"/>
    <x v="3"/>
    <n v="45719"/>
    <n v="21637"/>
    <n v="15372"/>
    <s v="2025-03"/>
    <s v="Partially Paid"/>
    <s v="NO"/>
  </r>
  <r>
    <n v="3068"/>
    <s v="Student_1067"/>
    <x v="0"/>
    <x v="3"/>
    <n v="45815"/>
    <n v="51781"/>
    <n v="39062"/>
    <s v="2025-06"/>
    <s v="Partially Paid"/>
    <s v="YES"/>
  </r>
  <r>
    <n v="3069"/>
    <s v="Student_1068"/>
    <x v="6"/>
    <x v="2"/>
    <n v="45925"/>
    <n v="33652"/>
    <n v="23369"/>
    <s v="2025-09"/>
    <s v="Partially Paid"/>
    <s v="NO"/>
  </r>
  <r>
    <n v="3070"/>
    <s v="Student_1069"/>
    <x v="5"/>
    <x v="1"/>
    <n v="45692"/>
    <n v="25103"/>
    <n v="23208"/>
    <s v="2025-02"/>
    <s v="Partially Paid"/>
    <s v="NO"/>
  </r>
  <r>
    <n v="3071"/>
    <s v="Student_1070"/>
    <x v="0"/>
    <x v="0"/>
    <n v="45924"/>
    <n v="45500"/>
    <n v="31269"/>
    <s v="2025-09"/>
    <s v="Partially Paid"/>
    <s v="NO"/>
  </r>
  <r>
    <n v="3072"/>
    <s v="Student_1071"/>
    <x v="5"/>
    <x v="1"/>
    <n v="45721"/>
    <n v="54800"/>
    <n v="41172"/>
    <s v="2025-03"/>
    <s v="Partially Paid"/>
    <s v="YES"/>
  </r>
  <r>
    <n v="3073"/>
    <s v="Student_1072"/>
    <x v="3"/>
    <x v="4"/>
    <n v="45707"/>
    <n v="55529"/>
    <n v="49005"/>
    <s v="2025-02"/>
    <s v="Partially Paid"/>
    <s v="YES"/>
  </r>
  <r>
    <n v="3074"/>
    <s v="Student_1073"/>
    <x v="0"/>
    <x v="4"/>
    <n v="45912"/>
    <n v="38452"/>
    <n v="26020"/>
    <s v="2025-09"/>
    <s v="Partially Paid"/>
    <s v="NO"/>
  </r>
  <r>
    <n v="3075"/>
    <s v="Student_1074"/>
    <x v="2"/>
    <x v="0"/>
    <n v="45806"/>
    <n v="51174"/>
    <n v="39584"/>
    <s v="2025-05"/>
    <s v="Partially Paid"/>
    <s v="YES"/>
  </r>
  <r>
    <n v="3076"/>
    <s v="Student_1075"/>
    <x v="6"/>
    <x v="2"/>
    <n v="45982"/>
    <n v="55436"/>
    <n v="40738"/>
    <s v="2025-11"/>
    <s v="Partially Paid"/>
    <s v="YES"/>
  </r>
  <r>
    <n v="3077"/>
    <s v="Student_1076"/>
    <x v="4"/>
    <x v="0"/>
    <n v="45961"/>
    <n v="35954"/>
    <n v="34881"/>
    <s v="2025-10"/>
    <s v="Partially Paid"/>
    <s v="NO"/>
  </r>
  <r>
    <n v="3078"/>
    <s v="Student_1077"/>
    <x v="1"/>
    <x v="3"/>
    <n v="45933"/>
    <n v="37186"/>
    <n v="32002"/>
    <s v="2025-10"/>
    <s v="Partially Paid"/>
    <s v="NO"/>
  </r>
  <r>
    <n v="3079"/>
    <s v="Student_1078"/>
    <x v="6"/>
    <x v="4"/>
    <n v="46014"/>
    <n v="32356"/>
    <n v="29954"/>
    <s v="2025-12"/>
    <s v="Partially Paid"/>
    <s v="NO"/>
  </r>
  <r>
    <n v="3080"/>
    <s v="Student_1079"/>
    <x v="6"/>
    <x v="5"/>
    <n v="45829"/>
    <n v="52963"/>
    <n v="48068"/>
    <s v="2025-06"/>
    <s v="Partially Paid"/>
    <s v="YES"/>
  </r>
  <r>
    <n v="3081"/>
    <s v="Student_1080"/>
    <x v="3"/>
    <x v="5"/>
    <n v="45858"/>
    <n v="22187"/>
    <n v="14856"/>
    <s v="2025-07"/>
    <s v="Partially Paid"/>
    <s v="NO"/>
  </r>
  <r>
    <n v="3082"/>
    <s v="Student_1081"/>
    <x v="2"/>
    <x v="2"/>
    <n v="45981"/>
    <n v="31707"/>
    <n v="20303"/>
    <s v="2025-11"/>
    <s v="Partially Paid"/>
    <s v="NO"/>
  </r>
  <r>
    <n v="3083"/>
    <s v="Student_1082"/>
    <x v="1"/>
    <x v="3"/>
    <n v="45692"/>
    <n v="55098"/>
    <n v="42869"/>
    <s v="2025-02"/>
    <s v="Partially Paid"/>
    <s v="YES"/>
  </r>
  <r>
    <n v="3084"/>
    <s v="Student_1083"/>
    <x v="0"/>
    <x v="1"/>
    <n v="45873"/>
    <n v="46935"/>
    <n v="37592"/>
    <s v="2025-08"/>
    <s v="Partially Paid"/>
    <s v="NO"/>
  </r>
  <r>
    <n v="3085"/>
    <s v="Student_1084"/>
    <x v="0"/>
    <x v="3"/>
    <n v="45722"/>
    <n v="41225"/>
    <n v="30588"/>
    <s v="2025-03"/>
    <s v="Partially Paid"/>
    <s v="NO"/>
  </r>
  <r>
    <n v="3086"/>
    <s v="Student_1085"/>
    <x v="0"/>
    <x v="5"/>
    <n v="45665"/>
    <n v="23606"/>
    <n v="21650"/>
    <s v="2025-01"/>
    <s v="Partially Paid"/>
    <s v="NO"/>
  </r>
  <r>
    <n v="3087"/>
    <s v="Student_1086"/>
    <x v="5"/>
    <x v="5"/>
    <n v="45958"/>
    <n v="52828"/>
    <n v="45805"/>
    <s v="2025-10"/>
    <s v="Partially Paid"/>
    <s v="YES"/>
  </r>
  <r>
    <n v="3088"/>
    <s v="Student_1087"/>
    <x v="5"/>
    <x v="4"/>
    <n v="46000"/>
    <n v="46489"/>
    <n v="33739"/>
    <s v="2025-12"/>
    <s v="Partially Paid"/>
    <s v="NO"/>
  </r>
  <r>
    <n v="3089"/>
    <s v="Student_1088"/>
    <x v="4"/>
    <x v="3"/>
    <n v="45989"/>
    <n v="34387"/>
    <n v="20325"/>
    <s v="2025-11"/>
    <s v="Partially Paid"/>
    <s v="NO"/>
  </r>
  <r>
    <n v="3090"/>
    <s v="Student_1089"/>
    <x v="1"/>
    <x v="3"/>
    <n v="45733"/>
    <n v="23927"/>
    <n v="9594"/>
    <s v="2025-03"/>
    <s v="Partially Paid"/>
    <s v="NO"/>
  </r>
  <r>
    <n v="3091"/>
    <s v="Student_1090"/>
    <x v="0"/>
    <x v="5"/>
    <n v="45831"/>
    <n v="26296"/>
    <n v="22389"/>
    <s v="2025-06"/>
    <s v="Partially Paid"/>
    <s v="NO"/>
  </r>
  <r>
    <n v="3092"/>
    <s v="Student_1091"/>
    <x v="5"/>
    <x v="1"/>
    <n v="45704"/>
    <n v="50444"/>
    <n v="49637"/>
    <s v="2025-02"/>
    <s v="Partially Paid"/>
    <s v="YES"/>
  </r>
  <r>
    <n v="3093"/>
    <s v="Student_1092"/>
    <x v="4"/>
    <x v="2"/>
    <n v="45672"/>
    <n v="22591"/>
    <n v="14213"/>
    <s v="2025-01"/>
    <s v="Partially Paid"/>
    <s v="NO"/>
  </r>
  <r>
    <n v="3094"/>
    <s v="Student_1093"/>
    <x v="2"/>
    <x v="2"/>
    <n v="46018"/>
    <n v="46147"/>
    <n v="32116"/>
    <s v="2025-12"/>
    <s v="Partially Paid"/>
    <s v="NO"/>
  </r>
  <r>
    <n v="3095"/>
    <s v="Student_1094"/>
    <x v="4"/>
    <x v="3"/>
    <n v="45804"/>
    <n v="58889"/>
    <n v="54062"/>
    <s v="2025-05"/>
    <s v="Partially Paid"/>
    <s v="YES"/>
  </r>
  <r>
    <n v="3096"/>
    <s v="Student_1095"/>
    <x v="5"/>
    <x v="2"/>
    <n v="45683"/>
    <n v="21200"/>
    <n v="6977"/>
    <s v="2025-01"/>
    <s v="Partially Paid"/>
    <s v="NO"/>
  </r>
  <r>
    <n v="3097"/>
    <s v="Student_1096"/>
    <x v="3"/>
    <x v="5"/>
    <n v="45965"/>
    <n v="35721"/>
    <n v="22220"/>
    <s v="2025-11"/>
    <s v="Partially Paid"/>
    <s v="NO"/>
  </r>
  <r>
    <n v="3098"/>
    <s v="Student_1097"/>
    <x v="3"/>
    <x v="5"/>
    <n v="45750"/>
    <n v="39238"/>
    <n v="25539"/>
    <s v="2025-04"/>
    <s v="Partially Paid"/>
    <s v="NO"/>
  </r>
  <r>
    <n v="3099"/>
    <s v="Student_1098"/>
    <x v="0"/>
    <x v="3"/>
    <n v="45889"/>
    <n v="31087"/>
    <n v="26563"/>
    <s v="2025-08"/>
    <s v="Partially Paid"/>
    <s v="NO"/>
  </r>
  <r>
    <n v="3100"/>
    <s v="Student_1099"/>
    <x v="3"/>
    <x v="3"/>
    <n v="45678"/>
    <n v="50816"/>
    <n v="41317"/>
    <s v="2025-01"/>
    <s v="Partially Paid"/>
    <s v="YES"/>
  </r>
  <r>
    <n v="3101"/>
    <s v="Student_1100"/>
    <x v="0"/>
    <x v="4"/>
    <n v="45964"/>
    <n v="43408"/>
    <n v="41124"/>
    <s v="2025-11"/>
    <s v="Partially Paid"/>
    <s v="NO"/>
  </r>
  <r>
    <n v="3102"/>
    <s v="Student_1101"/>
    <x v="0"/>
    <x v="3"/>
    <n v="45695"/>
    <n v="59740"/>
    <n v="54427"/>
    <s v="2025-02"/>
    <s v="Partially Paid"/>
    <s v="YES"/>
  </r>
  <r>
    <n v="3103"/>
    <s v="Student_1102"/>
    <x v="5"/>
    <x v="1"/>
    <n v="45933"/>
    <n v="20136"/>
    <n v="6538"/>
    <s v="2025-10"/>
    <s v="Partially Paid"/>
    <s v="NO"/>
  </r>
  <r>
    <n v="3104"/>
    <s v="Student_1103"/>
    <x v="3"/>
    <x v="2"/>
    <n v="45814"/>
    <n v="37413"/>
    <n v="24355"/>
    <s v="2025-06"/>
    <s v="Partially Paid"/>
    <s v="NO"/>
  </r>
  <r>
    <n v="3105"/>
    <s v="Student_1104"/>
    <x v="0"/>
    <x v="3"/>
    <n v="45836"/>
    <n v="38978"/>
    <n v="38221"/>
    <s v="2025-06"/>
    <s v="Partially Paid"/>
    <s v="NO"/>
  </r>
  <r>
    <n v="3106"/>
    <s v="Student_1105"/>
    <x v="1"/>
    <x v="0"/>
    <n v="45789"/>
    <n v="20661"/>
    <n v="8238"/>
    <s v="2025-05"/>
    <s v="Partially Paid"/>
    <s v="NO"/>
  </r>
  <r>
    <n v="3107"/>
    <s v="Student_1106"/>
    <x v="2"/>
    <x v="4"/>
    <n v="45968"/>
    <n v="55240"/>
    <n v="50353"/>
    <s v="2025-11"/>
    <s v="Partially Paid"/>
    <s v="YES"/>
  </r>
  <r>
    <n v="3108"/>
    <s v="Student_1107"/>
    <x v="4"/>
    <x v="0"/>
    <n v="46005"/>
    <n v="47253"/>
    <n v="43399"/>
    <s v="2025-12"/>
    <s v="Partially Paid"/>
    <s v="NO"/>
  </r>
  <r>
    <n v="3109"/>
    <s v="Student_1108"/>
    <x v="4"/>
    <x v="5"/>
    <n v="45685"/>
    <n v="46884"/>
    <n v="34426"/>
    <s v="2025-01"/>
    <s v="Partially Paid"/>
    <s v="NO"/>
  </r>
  <r>
    <n v="3110"/>
    <s v="Student_1109"/>
    <x v="5"/>
    <x v="2"/>
    <n v="45917"/>
    <n v="52854"/>
    <n v="42456"/>
    <s v="2025-09"/>
    <s v="Partially Paid"/>
    <s v="YES"/>
  </r>
  <r>
    <n v="3111"/>
    <s v="Student_1110"/>
    <x v="3"/>
    <x v="3"/>
    <n v="45733"/>
    <n v="30704"/>
    <n v="16168"/>
    <s v="2025-03"/>
    <s v="Partially Paid"/>
    <s v="NO"/>
  </r>
  <r>
    <n v="3112"/>
    <s v="Student_1111"/>
    <x v="3"/>
    <x v="0"/>
    <n v="45724"/>
    <n v="58987"/>
    <n v="55429"/>
    <s v="2025-03"/>
    <s v="Partially Paid"/>
    <s v="YES"/>
  </r>
  <r>
    <n v="3113"/>
    <s v="Student_1112"/>
    <x v="0"/>
    <x v="2"/>
    <n v="45999"/>
    <n v="44527"/>
    <n v="34755"/>
    <s v="2025-12"/>
    <s v="Partially Paid"/>
    <s v="NO"/>
  </r>
  <r>
    <n v="3114"/>
    <s v="Student_1113"/>
    <x v="6"/>
    <x v="5"/>
    <n v="45851"/>
    <n v="36322"/>
    <n v="35361"/>
    <s v="2025-07"/>
    <s v="Partially Paid"/>
    <s v="NO"/>
  </r>
  <r>
    <n v="3115"/>
    <s v="Student_1114"/>
    <x v="0"/>
    <x v="1"/>
    <n v="45819"/>
    <n v="26968"/>
    <n v="23121"/>
    <s v="2025-06"/>
    <s v="Partially Paid"/>
    <s v="NO"/>
  </r>
  <r>
    <n v="3116"/>
    <s v="Student_1115"/>
    <x v="2"/>
    <x v="4"/>
    <n v="46004"/>
    <n v="47518"/>
    <n v="40792"/>
    <s v="2025-12"/>
    <s v="Partially Paid"/>
    <s v="NO"/>
  </r>
  <r>
    <n v="3117"/>
    <s v="Student_1116"/>
    <x v="1"/>
    <x v="2"/>
    <n v="46018"/>
    <n v="47886"/>
    <n v="44311"/>
    <s v="2025-12"/>
    <s v="Partially Paid"/>
    <s v="NO"/>
  </r>
  <r>
    <n v="3118"/>
    <s v="Student_1117"/>
    <x v="4"/>
    <x v="2"/>
    <n v="45914"/>
    <n v="21700"/>
    <n v="12633"/>
    <s v="2025-09"/>
    <s v="Partially Paid"/>
    <s v="NO"/>
  </r>
  <r>
    <n v="3119"/>
    <s v="Student_1118"/>
    <x v="0"/>
    <x v="1"/>
    <n v="45729"/>
    <n v="48246"/>
    <n v="45828"/>
    <s v="2025-03"/>
    <s v="Partially Paid"/>
    <s v="NO"/>
  </r>
  <r>
    <n v="3120"/>
    <s v="Student_1119"/>
    <x v="6"/>
    <x v="2"/>
    <n v="45744"/>
    <n v="55468"/>
    <n v="51270"/>
    <s v="2025-03"/>
    <s v="Partially Paid"/>
    <s v="YES"/>
  </r>
  <r>
    <n v="3121"/>
    <s v="Student_1120"/>
    <x v="6"/>
    <x v="5"/>
    <n v="45919"/>
    <n v="43199"/>
    <n v="42198"/>
    <s v="2025-09"/>
    <s v="Partially Paid"/>
    <s v="NO"/>
  </r>
  <r>
    <n v="3122"/>
    <s v="Student_1121"/>
    <x v="0"/>
    <x v="5"/>
    <n v="45871"/>
    <n v="52115"/>
    <n v="46871"/>
    <s v="2025-08"/>
    <s v="Partially Paid"/>
    <s v="YES"/>
  </r>
  <r>
    <n v="3123"/>
    <s v="Student_1122"/>
    <x v="5"/>
    <x v="1"/>
    <n v="45810"/>
    <n v="25520"/>
    <n v="13944"/>
    <s v="2025-06"/>
    <s v="Partially Paid"/>
    <s v="NO"/>
  </r>
  <r>
    <n v="3124"/>
    <s v="Student_1123"/>
    <x v="4"/>
    <x v="4"/>
    <n v="45867"/>
    <n v="56455"/>
    <n v="49336"/>
    <s v="2025-07"/>
    <s v="Partially Paid"/>
    <s v="YES"/>
  </r>
  <r>
    <n v="3125"/>
    <s v="Student_1124"/>
    <x v="5"/>
    <x v="3"/>
    <n v="45718"/>
    <n v="40929"/>
    <n v="36863"/>
    <s v="2025-03"/>
    <s v="Partially Paid"/>
    <s v="NO"/>
  </r>
  <r>
    <n v="3126"/>
    <s v="Student_1125"/>
    <x v="1"/>
    <x v="0"/>
    <n v="45925"/>
    <n v="34955"/>
    <n v="32110"/>
    <s v="2025-09"/>
    <s v="Partially Paid"/>
    <s v="NO"/>
  </r>
  <r>
    <n v="3127"/>
    <s v="Student_1126"/>
    <x v="6"/>
    <x v="3"/>
    <n v="45919"/>
    <n v="33917"/>
    <n v="24244"/>
    <s v="2025-09"/>
    <s v="Partially Paid"/>
    <s v="NO"/>
  </r>
  <r>
    <n v="3128"/>
    <s v="Student_1127"/>
    <x v="6"/>
    <x v="2"/>
    <n v="45875"/>
    <n v="24757"/>
    <n v="13264"/>
    <s v="2025-08"/>
    <s v="Partially Paid"/>
    <s v="NO"/>
  </r>
  <r>
    <n v="3129"/>
    <s v="Student_1128"/>
    <x v="2"/>
    <x v="0"/>
    <n v="45940"/>
    <n v="33045"/>
    <n v="24196"/>
    <s v="2025-10"/>
    <s v="Partially Paid"/>
    <s v="NO"/>
  </r>
  <r>
    <n v="3130"/>
    <s v="Student_1129"/>
    <x v="1"/>
    <x v="1"/>
    <n v="45793"/>
    <n v="24733"/>
    <n v="19417"/>
    <s v="2025-05"/>
    <s v="Partially Paid"/>
    <s v="NO"/>
  </r>
  <r>
    <n v="3131"/>
    <s v="Student_1130"/>
    <x v="6"/>
    <x v="1"/>
    <n v="46019"/>
    <n v="50954"/>
    <n v="39982"/>
    <s v="2025-12"/>
    <s v="Partially Paid"/>
    <s v="YES"/>
  </r>
  <r>
    <n v="3132"/>
    <s v="Student_1131"/>
    <x v="1"/>
    <x v="4"/>
    <n v="45750"/>
    <n v="51135"/>
    <n v="50713"/>
    <s v="2025-04"/>
    <s v="Partially Paid"/>
    <s v="YES"/>
  </r>
  <r>
    <n v="3133"/>
    <s v="Student_1132"/>
    <x v="4"/>
    <x v="0"/>
    <n v="45766"/>
    <n v="27081"/>
    <n v="20366"/>
    <s v="2025-04"/>
    <s v="Partially Paid"/>
    <s v="NO"/>
  </r>
  <r>
    <n v="3134"/>
    <s v="Student_1133"/>
    <x v="3"/>
    <x v="5"/>
    <n v="45898"/>
    <n v="43501"/>
    <n v="31628"/>
    <s v="2025-08"/>
    <s v="Partially Paid"/>
    <s v="NO"/>
  </r>
  <r>
    <n v="3135"/>
    <s v="Student_1134"/>
    <x v="6"/>
    <x v="0"/>
    <n v="46012"/>
    <n v="41113"/>
    <n v="36847"/>
    <s v="2025-12"/>
    <s v="Partially Paid"/>
    <s v="NO"/>
  </r>
  <r>
    <n v="3136"/>
    <s v="Student_1135"/>
    <x v="2"/>
    <x v="2"/>
    <n v="45799"/>
    <n v="54441"/>
    <n v="46892"/>
    <s v="2025-05"/>
    <s v="Partially Paid"/>
    <s v="YES"/>
  </r>
  <r>
    <n v="3137"/>
    <s v="Student_1136"/>
    <x v="4"/>
    <x v="5"/>
    <n v="45948"/>
    <n v="44690"/>
    <n v="38374"/>
    <s v="2025-10"/>
    <s v="Partially Paid"/>
    <s v="NO"/>
  </r>
  <r>
    <n v="3138"/>
    <s v="Student_1137"/>
    <x v="0"/>
    <x v="1"/>
    <n v="45894"/>
    <n v="49345"/>
    <n v="46635"/>
    <s v="2025-08"/>
    <s v="Partially Paid"/>
    <s v="NO"/>
  </r>
  <r>
    <n v="3139"/>
    <s v="Student_1138"/>
    <x v="1"/>
    <x v="0"/>
    <n v="45997"/>
    <n v="46829"/>
    <n v="38185"/>
    <s v="2025-12"/>
    <s v="Partially Paid"/>
    <s v="NO"/>
  </r>
  <r>
    <n v="3140"/>
    <s v="Student_1139"/>
    <x v="0"/>
    <x v="3"/>
    <n v="45969"/>
    <n v="55062"/>
    <n v="44473"/>
    <s v="2025-11"/>
    <s v="Partially Paid"/>
    <s v="YES"/>
  </r>
  <r>
    <n v="3141"/>
    <s v="Student_1140"/>
    <x v="5"/>
    <x v="4"/>
    <n v="45834"/>
    <n v="23630"/>
    <n v="15561"/>
    <s v="2025-06"/>
    <s v="Partially Paid"/>
    <s v="NO"/>
  </r>
  <r>
    <n v="3142"/>
    <s v="Student_1141"/>
    <x v="4"/>
    <x v="3"/>
    <n v="45798"/>
    <n v="51870"/>
    <n v="41703"/>
    <s v="2025-05"/>
    <s v="Partially Paid"/>
    <s v="YES"/>
  </r>
  <r>
    <n v="3143"/>
    <s v="Student_1142"/>
    <x v="0"/>
    <x v="4"/>
    <n v="45846"/>
    <n v="23453"/>
    <n v="21796"/>
    <s v="2025-07"/>
    <s v="Partially Paid"/>
    <s v="NO"/>
  </r>
  <r>
    <n v="3144"/>
    <s v="Student_1143"/>
    <x v="6"/>
    <x v="2"/>
    <n v="45706"/>
    <n v="57275"/>
    <n v="54734"/>
    <s v="2025-02"/>
    <s v="Partially Paid"/>
    <s v="YES"/>
  </r>
  <r>
    <n v="3145"/>
    <s v="Student_1144"/>
    <x v="1"/>
    <x v="3"/>
    <n v="45959"/>
    <n v="58396"/>
    <n v="51633"/>
    <s v="2025-10"/>
    <s v="Partially Paid"/>
    <s v="YES"/>
  </r>
  <r>
    <n v="3146"/>
    <s v="Student_1145"/>
    <x v="3"/>
    <x v="0"/>
    <n v="45847"/>
    <n v="28328"/>
    <n v="25253"/>
    <s v="2025-07"/>
    <s v="Partially Paid"/>
    <s v="NO"/>
  </r>
  <r>
    <n v="3147"/>
    <s v="Student_1146"/>
    <x v="4"/>
    <x v="0"/>
    <n v="45793"/>
    <n v="35534"/>
    <n v="32370"/>
    <s v="2025-05"/>
    <s v="Partially Paid"/>
    <s v="NO"/>
  </r>
  <r>
    <n v="3148"/>
    <s v="Student_1147"/>
    <x v="6"/>
    <x v="3"/>
    <n v="45700"/>
    <n v="39744"/>
    <n v="28586"/>
    <s v="2025-02"/>
    <s v="Partially Paid"/>
    <s v="NO"/>
  </r>
  <r>
    <n v="3149"/>
    <s v="Student_1148"/>
    <x v="2"/>
    <x v="0"/>
    <n v="46010"/>
    <n v="39389"/>
    <n v="37336"/>
    <s v="2025-12"/>
    <s v="Partially Paid"/>
    <s v="NO"/>
  </r>
  <r>
    <n v="3150"/>
    <s v="Student_1149"/>
    <x v="5"/>
    <x v="2"/>
    <n v="45747"/>
    <n v="56320"/>
    <n v="47841"/>
    <s v="2025-03"/>
    <s v="Partially Paid"/>
    <s v="YES"/>
  </r>
  <r>
    <n v="3151"/>
    <s v="Student_1150"/>
    <x v="1"/>
    <x v="5"/>
    <n v="45952"/>
    <n v="55010"/>
    <n v="49273"/>
    <s v="2025-10"/>
    <s v="Partially Paid"/>
    <s v="YES"/>
  </r>
  <r>
    <n v="3152"/>
    <s v="Student_1151"/>
    <x v="4"/>
    <x v="2"/>
    <n v="45998"/>
    <n v="34665"/>
    <n v="31448"/>
    <s v="2025-12"/>
    <s v="Partially Paid"/>
    <s v="NO"/>
  </r>
  <r>
    <n v="3153"/>
    <s v="Student_1152"/>
    <x v="4"/>
    <x v="4"/>
    <n v="45902"/>
    <n v="57865"/>
    <n v="45819"/>
    <s v="2025-09"/>
    <s v="Partially Paid"/>
    <s v="YES"/>
  </r>
  <r>
    <n v="3154"/>
    <s v="Student_1153"/>
    <x v="3"/>
    <x v="2"/>
    <n v="45849"/>
    <n v="28640"/>
    <n v="27193"/>
    <s v="2025-07"/>
    <s v="Partially Paid"/>
    <s v="NO"/>
  </r>
  <r>
    <n v="3155"/>
    <s v="Student_1154"/>
    <x v="3"/>
    <x v="4"/>
    <n v="45975"/>
    <n v="54716"/>
    <n v="48707"/>
    <s v="2025-11"/>
    <s v="Partially Paid"/>
    <s v="YES"/>
  </r>
  <r>
    <n v="3156"/>
    <s v="Student_1155"/>
    <x v="2"/>
    <x v="0"/>
    <n v="45763"/>
    <n v="45521"/>
    <n v="44914"/>
    <s v="2025-04"/>
    <s v="Partially Paid"/>
    <s v="NO"/>
  </r>
  <r>
    <n v="3157"/>
    <s v="Student_1156"/>
    <x v="5"/>
    <x v="5"/>
    <n v="46020"/>
    <n v="50049"/>
    <n v="45497"/>
    <s v="2025-12"/>
    <s v="Partially Paid"/>
    <s v="YES"/>
  </r>
  <r>
    <n v="3158"/>
    <s v="Student_1157"/>
    <x v="2"/>
    <x v="0"/>
    <n v="45967"/>
    <n v="25618"/>
    <n v="23854"/>
    <s v="2025-11"/>
    <s v="Partially Paid"/>
    <s v="NO"/>
  </r>
  <r>
    <n v="3159"/>
    <s v="Student_1158"/>
    <x v="6"/>
    <x v="1"/>
    <n v="45890"/>
    <n v="57004"/>
    <n v="47587"/>
    <s v="2025-08"/>
    <s v="Partially Paid"/>
    <s v="YES"/>
  </r>
  <r>
    <n v="3160"/>
    <s v="Student_1159"/>
    <x v="6"/>
    <x v="0"/>
    <n v="45922"/>
    <n v="21920"/>
    <n v="12493"/>
    <s v="2025-09"/>
    <s v="Partially Paid"/>
    <s v="NO"/>
  </r>
  <r>
    <n v="3161"/>
    <s v="Student_1160"/>
    <x v="2"/>
    <x v="4"/>
    <n v="46001"/>
    <n v="24188"/>
    <n v="14967"/>
    <s v="2025-12"/>
    <s v="Partially Paid"/>
    <s v="NO"/>
  </r>
  <r>
    <n v="3162"/>
    <s v="Student_1161"/>
    <x v="5"/>
    <x v="0"/>
    <n v="45694"/>
    <n v="32207"/>
    <n v="29536"/>
    <s v="2025-02"/>
    <s v="Partially Paid"/>
    <s v="NO"/>
  </r>
  <r>
    <n v="3163"/>
    <s v="Student_1162"/>
    <x v="2"/>
    <x v="0"/>
    <n v="45962"/>
    <n v="20238"/>
    <n v="13719"/>
    <s v="2025-11"/>
    <s v="Partially Paid"/>
    <s v="NO"/>
  </r>
  <r>
    <n v="3164"/>
    <s v="Student_1163"/>
    <x v="5"/>
    <x v="5"/>
    <n v="45698"/>
    <n v="52972"/>
    <n v="49010"/>
    <s v="2025-02"/>
    <s v="Partially Paid"/>
    <s v="YES"/>
  </r>
  <r>
    <n v="3165"/>
    <s v="Student_1164"/>
    <x v="5"/>
    <x v="0"/>
    <n v="45674"/>
    <n v="30799"/>
    <n v="18065"/>
    <s v="2025-01"/>
    <s v="Partially Paid"/>
    <s v="NO"/>
  </r>
  <r>
    <n v="3166"/>
    <s v="Student_1165"/>
    <x v="0"/>
    <x v="5"/>
    <n v="46001"/>
    <n v="25552"/>
    <n v="12430"/>
    <s v="2025-12"/>
    <s v="Partially Paid"/>
    <s v="NO"/>
  </r>
  <r>
    <n v="3167"/>
    <s v="Student_1166"/>
    <x v="1"/>
    <x v="3"/>
    <n v="45934"/>
    <n v="48916"/>
    <n v="45739"/>
    <s v="2025-10"/>
    <s v="Partially Paid"/>
    <s v="NO"/>
  </r>
  <r>
    <n v="3168"/>
    <s v="Student_1167"/>
    <x v="5"/>
    <x v="1"/>
    <n v="45964"/>
    <n v="24927"/>
    <n v="21205"/>
    <s v="2025-11"/>
    <s v="Partially Paid"/>
    <s v="NO"/>
  </r>
  <r>
    <n v="3169"/>
    <s v="Student_1168"/>
    <x v="3"/>
    <x v="5"/>
    <n v="45716"/>
    <n v="47964"/>
    <n v="43058"/>
    <s v="2025-02"/>
    <s v="Partially Paid"/>
    <s v="NO"/>
  </r>
  <r>
    <n v="3170"/>
    <s v="Student_1169"/>
    <x v="5"/>
    <x v="4"/>
    <n v="45840"/>
    <n v="31164"/>
    <n v="17452"/>
    <s v="2025-07"/>
    <s v="Partially Paid"/>
    <s v="NO"/>
  </r>
  <r>
    <n v="3171"/>
    <s v="Student_1170"/>
    <x v="5"/>
    <x v="3"/>
    <n v="45698"/>
    <n v="57158"/>
    <n v="49895"/>
    <s v="2025-02"/>
    <s v="Partially Paid"/>
    <s v="YES"/>
  </r>
  <r>
    <n v="3172"/>
    <s v="Student_1171"/>
    <x v="5"/>
    <x v="5"/>
    <n v="45696"/>
    <n v="39071"/>
    <n v="25372"/>
    <s v="2025-02"/>
    <s v="Partially Paid"/>
    <s v="NO"/>
  </r>
  <r>
    <n v="3173"/>
    <s v="Student_1172"/>
    <x v="0"/>
    <x v="5"/>
    <n v="45849"/>
    <n v="26160"/>
    <n v="21106"/>
    <s v="2025-07"/>
    <s v="Partially Paid"/>
    <s v="NO"/>
  </r>
  <r>
    <n v="3174"/>
    <s v="Student_1173"/>
    <x v="0"/>
    <x v="1"/>
    <n v="45924"/>
    <n v="35810"/>
    <n v="26143"/>
    <s v="2025-09"/>
    <s v="Partially Paid"/>
    <s v="NO"/>
  </r>
  <r>
    <n v="3175"/>
    <s v="Student_1174"/>
    <x v="6"/>
    <x v="4"/>
    <n v="45804"/>
    <n v="25126"/>
    <n v="14038"/>
    <s v="2025-05"/>
    <s v="Partially Paid"/>
    <s v="NO"/>
  </r>
  <r>
    <n v="3176"/>
    <s v="Student_1175"/>
    <x v="0"/>
    <x v="2"/>
    <n v="45990"/>
    <n v="50009"/>
    <n v="49201"/>
    <s v="2025-11"/>
    <s v="Partially Paid"/>
    <s v="YES"/>
  </r>
  <r>
    <n v="3177"/>
    <s v="Student_1176"/>
    <x v="3"/>
    <x v="2"/>
    <n v="45784"/>
    <n v="53584"/>
    <n v="44414"/>
    <s v="2025-05"/>
    <s v="Partially Paid"/>
    <s v="YES"/>
  </r>
  <r>
    <n v="3178"/>
    <s v="Student_1177"/>
    <x v="3"/>
    <x v="5"/>
    <n v="45703"/>
    <n v="45396"/>
    <n v="34741"/>
    <s v="2025-02"/>
    <s v="Partially Paid"/>
    <s v="NO"/>
  </r>
  <r>
    <n v="3179"/>
    <s v="Student_1178"/>
    <x v="0"/>
    <x v="0"/>
    <n v="45702"/>
    <n v="20192"/>
    <n v="19467"/>
    <s v="2025-02"/>
    <s v="Partially Paid"/>
    <s v="NO"/>
  </r>
  <r>
    <n v="3180"/>
    <s v="Student_1179"/>
    <x v="2"/>
    <x v="4"/>
    <n v="45658"/>
    <n v="56413"/>
    <n v="45720"/>
    <s v="2025-01"/>
    <s v="Partially Paid"/>
    <s v="YES"/>
  </r>
  <r>
    <n v="3181"/>
    <s v="Student_1180"/>
    <x v="1"/>
    <x v="3"/>
    <n v="45825"/>
    <n v="32816"/>
    <n v="21262"/>
    <s v="2025-06"/>
    <s v="Partially Paid"/>
    <s v="NO"/>
  </r>
  <r>
    <n v="3182"/>
    <s v="Student_1181"/>
    <x v="0"/>
    <x v="0"/>
    <n v="45765"/>
    <n v="59082"/>
    <n v="51381"/>
    <s v="2025-04"/>
    <s v="Partially Paid"/>
    <s v="YES"/>
  </r>
  <r>
    <n v="3183"/>
    <s v="Student_1182"/>
    <x v="5"/>
    <x v="0"/>
    <n v="45676"/>
    <n v="52130"/>
    <n v="50914"/>
    <s v="2025-01"/>
    <s v="Partially Paid"/>
    <s v="YES"/>
  </r>
  <r>
    <n v="3184"/>
    <s v="Student_1183"/>
    <x v="4"/>
    <x v="4"/>
    <n v="45989"/>
    <n v="56468"/>
    <n v="52417"/>
    <s v="2025-11"/>
    <s v="Partially Paid"/>
    <s v="YES"/>
  </r>
  <r>
    <n v="3185"/>
    <s v="Student_1184"/>
    <x v="1"/>
    <x v="5"/>
    <n v="45729"/>
    <n v="50698"/>
    <n v="48501"/>
    <s v="2025-03"/>
    <s v="Partially Paid"/>
    <s v="YES"/>
  </r>
  <r>
    <n v="3186"/>
    <s v="Student_1185"/>
    <x v="1"/>
    <x v="5"/>
    <n v="45766"/>
    <n v="30655"/>
    <n v="16464"/>
    <s v="2025-04"/>
    <s v="Partially Paid"/>
    <s v="NO"/>
  </r>
  <r>
    <n v="3187"/>
    <s v="Student_1186"/>
    <x v="3"/>
    <x v="5"/>
    <n v="45925"/>
    <n v="50075"/>
    <n v="47269"/>
    <s v="2025-09"/>
    <s v="Partially Paid"/>
    <s v="YES"/>
  </r>
  <r>
    <n v="3188"/>
    <s v="Student_1187"/>
    <x v="1"/>
    <x v="5"/>
    <n v="45897"/>
    <n v="29359"/>
    <n v="20389"/>
    <s v="2025-08"/>
    <s v="Partially Paid"/>
    <s v="NO"/>
  </r>
  <r>
    <n v="3189"/>
    <s v="Student_1188"/>
    <x v="0"/>
    <x v="2"/>
    <n v="45958"/>
    <n v="56661"/>
    <n v="55689"/>
    <s v="2025-10"/>
    <s v="Partially Paid"/>
    <s v="YES"/>
  </r>
  <r>
    <n v="3190"/>
    <s v="Student_1189"/>
    <x v="5"/>
    <x v="5"/>
    <n v="45747"/>
    <n v="59579"/>
    <n v="48577"/>
    <s v="2025-03"/>
    <s v="Partially Paid"/>
    <s v="YES"/>
  </r>
  <r>
    <n v="3191"/>
    <s v="Student_1190"/>
    <x v="5"/>
    <x v="2"/>
    <n v="45760"/>
    <n v="53272"/>
    <n v="47638"/>
    <s v="2025-04"/>
    <s v="Partially Paid"/>
    <s v="YES"/>
  </r>
  <r>
    <n v="3192"/>
    <s v="Student_1191"/>
    <x v="6"/>
    <x v="2"/>
    <n v="45907"/>
    <n v="34671"/>
    <n v="20967"/>
    <s v="2025-09"/>
    <s v="Partially Paid"/>
    <s v="NO"/>
  </r>
  <r>
    <n v="3193"/>
    <s v="Student_1192"/>
    <x v="5"/>
    <x v="5"/>
    <n v="45665"/>
    <n v="47048"/>
    <n v="39565"/>
    <s v="2025-01"/>
    <s v="Partially Paid"/>
    <s v="NO"/>
  </r>
  <r>
    <n v="3194"/>
    <s v="Student_1193"/>
    <x v="5"/>
    <x v="1"/>
    <n v="45810"/>
    <n v="30738"/>
    <n v="28615"/>
    <s v="2025-06"/>
    <s v="Partially Paid"/>
    <s v="NO"/>
  </r>
  <r>
    <n v="3195"/>
    <s v="Student_1194"/>
    <x v="3"/>
    <x v="3"/>
    <n v="46004"/>
    <n v="45963"/>
    <n v="37173"/>
    <s v="2025-12"/>
    <s v="Partially Paid"/>
    <s v="NO"/>
  </r>
  <r>
    <n v="3196"/>
    <s v="Student_1195"/>
    <x v="5"/>
    <x v="0"/>
    <n v="45831"/>
    <n v="26773"/>
    <n v="15240"/>
    <s v="2025-06"/>
    <s v="Partially Paid"/>
    <s v="NO"/>
  </r>
  <r>
    <n v="3197"/>
    <s v="Student_1196"/>
    <x v="6"/>
    <x v="2"/>
    <n v="46000"/>
    <n v="56584"/>
    <n v="56360"/>
    <s v="2025-12"/>
    <s v="Partially Paid"/>
    <s v="YES"/>
  </r>
  <r>
    <n v="3198"/>
    <s v="Student_1197"/>
    <x v="4"/>
    <x v="4"/>
    <n v="45815"/>
    <n v="49894"/>
    <n v="36053"/>
    <s v="2025-06"/>
    <s v="Partially Paid"/>
    <s v="NO"/>
  </r>
  <r>
    <n v="3199"/>
    <s v="Student_1198"/>
    <x v="0"/>
    <x v="4"/>
    <n v="45872"/>
    <n v="20717"/>
    <n v="6269"/>
    <s v="2025-08"/>
    <s v="Partially Paid"/>
    <s v="NO"/>
  </r>
  <r>
    <n v="3200"/>
    <s v="Student_1199"/>
    <x v="3"/>
    <x v="3"/>
    <n v="45834"/>
    <n v="31676"/>
    <n v="17090"/>
    <s v="2025-06"/>
    <s v="Partially Paid"/>
    <s v="NO"/>
  </r>
  <r>
    <m/>
    <m/>
    <x v="7"/>
    <x v="6"/>
    <m/>
    <m/>
    <m/>
    <m/>
    <m/>
    <m/>
  </r>
</pivotCacheRecords>
</file>

<file path=xl/pivotCache/pivotCacheRecords2.xml><?xml version="1.0" encoding="utf-8"?>
<pivotCacheRecords xmlns="http://schemas.openxmlformats.org/spreadsheetml/2006/main" xmlns:r="http://schemas.openxmlformats.org/officeDocument/2006/relationships" count="1200">
  <r>
    <n v="2001"/>
    <s v="Student_0"/>
    <s v="Kolkata"/>
    <x v="0"/>
    <d v="2025-04-12T00:00:00"/>
    <n v="42190"/>
    <n v="37756"/>
    <s v="2025-04"/>
  </r>
  <r>
    <n v="2002"/>
    <s v="Student_1"/>
    <s v="Mumbai"/>
    <x v="1"/>
    <d v="2025-01-19T00:00:00"/>
    <n v="21875"/>
    <n v="21217"/>
    <s v="2025-01"/>
  </r>
  <r>
    <n v="2003"/>
    <s v="Student_2"/>
    <s v="Delhi"/>
    <x v="2"/>
    <d v="2025-03-23T00:00:00"/>
    <n v="43377"/>
    <n v="38320"/>
    <s v="2025-03"/>
  </r>
  <r>
    <n v="2004"/>
    <s v="Student_3"/>
    <s v="Kolkata"/>
    <x v="3"/>
    <d v="2025-10-06T00:00:00"/>
    <n v="24033"/>
    <n v="20025"/>
    <s v="2025-10"/>
  </r>
  <r>
    <n v="2005"/>
    <s v="Student_4"/>
    <s v="Chennai"/>
    <x v="2"/>
    <d v="2025-12-05T00:00:00"/>
    <n v="58211"/>
    <n v="45495"/>
    <s v="2025-12"/>
  </r>
  <r>
    <n v="2006"/>
    <s v="Student_5"/>
    <s v="Delhi"/>
    <x v="4"/>
    <d v="2025-12-31T00:00:00"/>
    <n v="37373"/>
    <n v="32379"/>
    <s v="2025-12"/>
  </r>
  <r>
    <n v="2007"/>
    <s v="Student_6"/>
    <s v="Delhi"/>
    <x v="0"/>
    <d v="2025-11-27T00:00:00"/>
    <n v="23744"/>
    <n v="19510"/>
    <s v="2025-11"/>
  </r>
  <r>
    <n v="2008"/>
    <s v="Student_7"/>
    <s v="Kolkata"/>
    <x v="4"/>
    <d v="2025-05-09T00:00:00"/>
    <n v="44995"/>
    <n v="41231"/>
    <s v="2025-05"/>
  </r>
  <r>
    <n v="2009"/>
    <s v="Student_8"/>
    <s v="Bangalore"/>
    <x v="3"/>
    <d v="2025-12-10T00:00:00"/>
    <n v="36977"/>
    <n v="25796"/>
    <s v="2025-12"/>
  </r>
  <r>
    <n v="2010"/>
    <s v="Student_9"/>
    <s v="Chennai"/>
    <x v="1"/>
    <d v="2025-11-06T00:00:00"/>
    <n v="52402"/>
    <n v="47765"/>
    <s v="2025-11"/>
  </r>
  <r>
    <n v="2011"/>
    <s v="Student_10"/>
    <s v="Kolkata"/>
    <x v="3"/>
    <d v="2025-03-30T00:00:00"/>
    <n v="54542"/>
    <n v="52438"/>
    <s v="2025-03"/>
  </r>
  <r>
    <n v="2012"/>
    <s v="Student_11"/>
    <s v="Chennai"/>
    <x v="5"/>
    <d v="2025-08-01T00:00:00"/>
    <n v="30651"/>
    <n v="21204"/>
    <s v="2025-08"/>
  </r>
  <r>
    <n v="2013"/>
    <s v="Student_12"/>
    <s v="Chennai"/>
    <x v="3"/>
    <d v="2025-05-23T00:00:00"/>
    <n v="53703"/>
    <n v="46902"/>
    <s v="2025-05"/>
  </r>
  <r>
    <n v="2014"/>
    <s v="Student_13"/>
    <s v="Delhi"/>
    <x v="5"/>
    <d v="2025-03-06T00:00:00"/>
    <n v="33395"/>
    <n v="22721"/>
    <s v="2025-03"/>
  </r>
  <r>
    <n v="2015"/>
    <s v="Student_14"/>
    <s v="Mumbai"/>
    <x v="3"/>
    <d v="2025-03-17T00:00:00"/>
    <n v="49808"/>
    <n v="41233"/>
    <s v="2025-03"/>
  </r>
  <r>
    <n v="2016"/>
    <s v="Student_15"/>
    <s v="Chennai"/>
    <x v="5"/>
    <d v="2025-07-18T00:00:00"/>
    <n v="56576"/>
    <n v="53969"/>
    <s v="2025-07"/>
  </r>
  <r>
    <n v="2017"/>
    <s v="Student_16"/>
    <s v="Pune"/>
    <x v="0"/>
    <d v="2025-05-23T00:00:00"/>
    <n v="36715"/>
    <n v="28330"/>
    <s v="2025-05"/>
  </r>
  <r>
    <n v="2018"/>
    <s v="Student_17"/>
    <s v="Delhi"/>
    <x v="4"/>
    <d v="2025-11-12T00:00:00"/>
    <n v="44306"/>
    <n v="32307"/>
    <s v="2025-11"/>
  </r>
  <r>
    <n v="2019"/>
    <s v="Student_18"/>
    <s v="Bangalore"/>
    <x v="4"/>
    <d v="2025-04-03T00:00:00"/>
    <n v="39086"/>
    <n v="35367"/>
    <s v="2025-04"/>
  </r>
  <r>
    <n v="2020"/>
    <s v="Student_19"/>
    <s v="Mumbai"/>
    <x v="2"/>
    <d v="2025-11-01T00:00:00"/>
    <n v="34376"/>
    <n v="31795"/>
    <s v="2025-11"/>
  </r>
  <r>
    <n v="2021"/>
    <s v="Student_20"/>
    <s v="Pune"/>
    <x v="4"/>
    <d v="2025-08-12T00:00:00"/>
    <n v="25889"/>
    <n v="23324"/>
    <s v="2025-08"/>
  </r>
  <r>
    <n v="2022"/>
    <s v="Student_21"/>
    <s v="Pune"/>
    <x v="1"/>
    <d v="2025-10-18T00:00:00"/>
    <n v="57822"/>
    <n v="55059"/>
    <s v="2025-10"/>
  </r>
  <r>
    <n v="2023"/>
    <s v="Student_22"/>
    <s v="Bangalore"/>
    <x v="3"/>
    <d v="2025-04-12T00:00:00"/>
    <n v="56636"/>
    <n v="45646"/>
    <s v="2025-04"/>
  </r>
  <r>
    <n v="2024"/>
    <s v="Student_23"/>
    <s v="Mumbai"/>
    <x v="2"/>
    <d v="2025-09-24T00:00:00"/>
    <n v="40584"/>
    <n v="34256"/>
    <s v="2025-09"/>
  </r>
  <r>
    <n v="2025"/>
    <s v="Student_24"/>
    <s v="Delhi"/>
    <x v="1"/>
    <d v="2025-12-21T00:00:00"/>
    <n v="54610"/>
    <n v="48619"/>
    <s v="2025-12"/>
  </r>
  <r>
    <n v="2026"/>
    <s v="Student_25"/>
    <s v="Hyderabad"/>
    <x v="1"/>
    <d v="2025-04-20T00:00:00"/>
    <n v="30058"/>
    <n v="19527"/>
    <s v="2025-04"/>
  </r>
  <r>
    <n v="2027"/>
    <s v="Student_26"/>
    <s v="Mumbai"/>
    <x v="5"/>
    <d v="2025-11-26T00:00:00"/>
    <n v="29101"/>
    <n v="25695"/>
    <s v="2025-11"/>
  </r>
  <r>
    <n v="2028"/>
    <s v="Student_27"/>
    <s v="Bangalore"/>
    <x v="4"/>
    <d v="2025-09-22T00:00:00"/>
    <n v="32497"/>
    <n v="23574"/>
    <s v="2025-09"/>
  </r>
  <r>
    <n v="2029"/>
    <s v="Student_28"/>
    <s v="Pune"/>
    <x v="0"/>
    <d v="2025-01-03T00:00:00"/>
    <n v="24658"/>
    <n v="10207"/>
    <s v="2025-01"/>
  </r>
  <r>
    <n v="2030"/>
    <s v="Student_29"/>
    <s v="Delhi"/>
    <x v="0"/>
    <d v="2025-03-26T00:00:00"/>
    <n v="31381"/>
    <n v="20317"/>
    <s v="2025-03"/>
  </r>
  <r>
    <n v="2031"/>
    <s v="Student_30"/>
    <s v="Mumbai"/>
    <x v="2"/>
    <d v="2025-10-09T00:00:00"/>
    <n v="37154"/>
    <n v="25842"/>
    <s v="2025-10"/>
  </r>
  <r>
    <n v="2032"/>
    <s v="Student_31"/>
    <s v="Hyderabad"/>
    <x v="0"/>
    <d v="2025-11-24T00:00:00"/>
    <n v="39539"/>
    <n v="34759"/>
    <s v="2025-11"/>
  </r>
  <r>
    <n v="2033"/>
    <s v="Student_32"/>
    <s v="Hyderabad"/>
    <x v="3"/>
    <d v="2025-10-31T00:00:00"/>
    <n v="31777"/>
    <n v="27600"/>
    <s v="2025-10"/>
  </r>
  <r>
    <n v="2034"/>
    <s v="Student_33"/>
    <s v="Chennai"/>
    <x v="0"/>
    <d v="2025-04-27T00:00:00"/>
    <n v="54396"/>
    <n v="47920"/>
    <s v="2025-04"/>
  </r>
  <r>
    <n v="2035"/>
    <s v="Student_34"/>
    <s v="Chennai"/>
    <x v="2"/>
    <d v="2025-08-09T00:00:00"/>
    <n v="50373"/>
    <n v="47769"/>
    <s v="2025-08"/>
  </r>
  <r>
    <n v="2036"/>
    <s v="Student_35"/>
    <s v="Kolkata"/>
    <x v="0"/>
    <d v="2025-06-03T00:00:00"/>
    <n v="53154"/>
    <n v="44973"/>
    <s v="2025-06"/>
  </r>
  <r>
    <n v="2037"/>
    <s v="Student_36"/>
    <s v="Bangalore"/>
    <x v="3"/>
    <d v="2025-06-02T00:00:00"/>
    <n v="26031"/>
    <n v="23649"/>
    <s v="2025-06"/>
  </r>
  <r>
    <n v="2038"/>
    <s v="Student_37"/>
    <s v="Mumbai"/>
    <x v="5"/>
    <d v="2025-01-12T00:00:00"/>
    <n v="47997"/>
    <n v="47466"/>
    <s v="2025-01"/>
  </r>
  <r>
    <n v="2039"/>
    <s v="Student_38"/>
    <s v="Mumbai"/>
    <x v="2"/>
    <d v="2025-05-13T00:00:00"/>
    <n v="26439"/>
    <n v="20360"/>
    <s v="2025-05"/>
  </r>
  <r>
    <n v="2040"/>
    <s v="Student_39"/>
    <s v="Kolkata"/>
    <x v="5"/>
    <d v="2025-10-31T00:00:00"/>
    <n v="42785"/>
    <n v="30277"/>
    <s v="2025-10"/>
  </r>
  <r>
    <n v="2041"/>
    <s v="Student_40"/>
    <s v="Pune"/>
    <x v="5"/>
    <d v="2025-10-20T00:00:00"/>
    <n v="33392"/>
    <n v="32758"/>
    <s v="2025-10"/>
  </r>
  <r>
    <n v="2042"/>
    <s v="Student_41"/>
    <s v="Pune"/>
    <x v="5"/>
    <d v="2025-10-27T00:00:00"/>
    <n v="48669"/>
    <n v="38708"/>
    <s v="2025-10"/>
  </r>
  <r>
    <n v="2043"/>
    <s v="Student_42"/>
    <s v="Kolkata"/>
    <x v="1"/>
    <d v="2025-08-16T00:00:00"/>
    <n v="48939"/>
    <n v="36943"/>
    <s v="2025-08"/>
  </r>
  <r>
    <n v="2044"/>
    <s v="Student_43"/>
    <s v="Pune"/>
    <x v="4"/>
    <d v="2025-09-28T00:00:00"/>
    <n v="22282"/>
    <n v="11720"/>
    <s v="2025-09"/>
  </r>
  <r>
    <n v="2045"/>
    <s v="Student_44"/>
    <s v="Chennai"/>
    <x v="1"/>
    <d v="2025-02-12T00:00:00"/>
    <n v="54624"/>
    <n v="40462"/>
    <s v="2025-02"/>
  </r>
  <r>
    <n v="2046"/>
    <s v="Student_45"/>
    <s v="Mumbai"/>
    <x v="4"/>
    <d v="2025-12-09T00:00:00"/>
    <n v="44364"/>
    <n v="44362"/>
    <s v="2025-12"/>
  </r>
  <r>
    <n v="2047"/>
    <s v="Student_46"/>
    <s v="Kolkata"/>
    <x v="5"/>
    <d v="2025-11-22T00:00:00"/>
    <n v="21998"/>
    <n v="7993"/>
    <s v="2025-11"/>
  </r>
  <r>
    <n v="2048"/>
    <s v="Student_47"/>
    <s v="Mumbai"/>
    <x v="2"/>
    <d v="2025-10-29T00:00:00"/>
    <n v="51705"/>
    <n v="43308"/>
    <s v="2025-10"/>
  </r>
  <r>
    <n v="2049"/>
    <s v="Student_48"/>
    <s v="Hyderabad"/>
    <x v="4"/>
    <d v="2025-12-30T00:00:00"/>
    <n v="58244"/>
    <n v="52293"/>
    <s v="2025-12"/>
  </r>
  <r>
    <n v="2050"/>
    <s v="Student_49"/>
    <s v="Chennai"/>
    <x v="3"/>
    <d v="2025-01-21T00:00:00"/>
    <n v="29428"/>
    <n v="17101"/>
    <s v="2025-01"/>
  </r>
  <r>
    <n v="2051"/>
    <s v="Student_50"/>
    <s v="Delhi"/>
    <x v="3"/>
    <d v="2025-04-17T00:00:00"/>
    <n v="57437"/>
    <n v="43043"/>
    <s v="2025-04"/>
  </r>
  <r>
    <n v="2052"/>
    <s v="Student_51"/>
    <s v="Chennai"/>
    <x v="0"/>
    <d v="2025-12-02T00:00:00"/>
    <n v="32336"/>
    <n v="21523"/>
    <s v="2025-12"/>
  </r>
  <r>
    <n v="2053"/>
    <s v="Student_52"/>
    <s v="Kolkata"/>
    <x v="4"/>
    <d v="2025-10-30T00:00:00"/>
    <n v="29342"/>
    <n v="16411"/>
    <s v="2025-10"/>
  </r>
  <r>
    <n v="2054"/>
    <s v="Student_53"/>
    <s v="Delhi"/>
    <x v="2"/>
    <d v="2025-04-27T00:00:00"/>
    <n v="59832"/>
    <n v="54206"/>
    <s v="2025-04"/>
  </r>
  <r>
    <n v="2055"/>
    <s v="Student_54"/>
    <s v="Hyderabad"/>
    <x v="1"/>
    <d v="2025-05-04T00:00:00"/>
    <n v="27446"/>
    <n v="19707"/>
    <s v="2025-05"/>
  </r>
  <r>
    <n v="2056"/>
    <s v="Student_55"/>
    <s v="Kolkata"/>
    <x v="5"/>
    <d v="2025-10-08T00:00:00"/>
    <n v="58392"/>
    <n v="52389"/>
    <s v="2025-10"/>
  </r>
  <r>
    <n v="2057"/>
    <s v="Student_56"/>
    <s v="Bangalore"/>
    <x v="0"/>
    <d v="2025-10-19T00:00:00"/>
    <n v="27461"/>
    <n v="24571"/>
    <s v="2025-10"/>
  </r>
  <r>
    <n v="2058"/>
    <s v="Student_57"/>
    <s v="Mumbai"/>
    <x v="3"/>
    <d v="2025-07-22T00:00:00"/>
    <n v="54587"/>
    <n v="43202"/>
    <s v="2025-07"/>
  </r>
  <r>
    <n v="2059"/>
    <s v="Student_58"/>
    <s v="Hyderabad"/>
    <x v="1"/>
    <d v="2025-02-20T00:00:00"/>
    <n v="30516"/>
    <n v="19658"/>
    <s v="2025-02"/>
  </r>
  <r>
    <n v="2060"/>
    <s v="Student_59"/>
    <s v="Mumbai"/>
    <x v="1"/>
    <d v="2025-09-28T00:00:00"/>
    <n v="33749"/>
    <n v="27510"/>
    <s v="2025-09"/>
  </r>
  <r>
    <n v="2061"/>
    <s v="Student_60"/>
    <s v="Pune"/>
    <x v="5"/>
    <d v="2025-11-20T00:00:00"/>
    <n v="37514"/>
    <n v="29488"/>
    <s v="2025-11"/>
  </r>
  <r>
    <n v="2062"/>
    <s v="Student_61"/>
    <s v="Bangalore"/>
    <x v="4"/>
    <d v="2025-10-04T00:00:00"/>
    <n v="55426"/>
    <n v="52120"/>
    <s v="2025-10"/>
  </r>
  <r>
    <n v="2063"/>
    <s v="Student_62"/>
    <s v="Bangalore"/>
    <x v="3"/>
    <d v="2025-05-21T00:00:00"/>
    <n v="56268"/>
    <n v="55371"/>
    <s v="2025-05"/>
  </r>
  <r>
    <n v="2064"/>
    <s v="Student_63"/>
    <s v="Hyderabad"/>
    <x v="2"/>
    <d v="2025-10-02T00:00:00"/>
    <n v="44950"/>
    <n v="35673"/>
    <s v="2025-10"/>
  </r>
  <r>
    <n v="2065"/>
    <s v="Student_64"/>
    <s v="Bangalore"/>
    <x v="1"/>
    <d v="2025-10-17T00:00:00"/>
    <n v="54888"/>
    <n v="45417"/>
    <s v="2025-10"/>
  </r>
  <r>
    <n v="2066"/>
    <s v="Student_65"/>
    <s v="Delhi"/>
    <x v="5"/>
    <d v="2025-11-30T00:00:00"/>
    <n v="56788"/>
    <n v="41892"/>
    <s v="2025-11"/>
  </r>
  <r>
    <n v="2067"/>
    <s v="Student_66"/>
    <s v="Bangalore"/>
    <x v="2"/>
    <d v="2025-02-21T00:00:00"/>
    <n v="30213"/>
    <n v="15530"/>
    <s v="2025-02"/>
  </r>
  <r>
    <n v="2068"/>
    <s v="Student_67"/>
    <s v="Mumbai"/>
    <x v="4"/>
    <d v="2025-01-27T00:00:00"/>
    <n v="56027"/>
    <n v="55357"/>
    <s v="2025-01"/>
  </r>
  <r>
    <n v="2069"/>
    <s v="Student_68"/>
    <s v="Mumbai"/>
    <x v="3"/>
    <d v="2025-06-06T00:00:00"/>
    <n v="48011"/>
    <n v="40720"/>
    <s v="2025-06"/>
  </r>
  <r>
    <n v="2070"/>
    <s v="Student_69"/>
    <s v="Kolkata"/>
    <x v="4"/>
    <d v="2025-08-27T00:00:00"/>
    <n v="54591"/>
    <n v="53086"/>
    <s v="2025-08"/>
  </r>
  <r>
    <n v="2071"/>
    <s v="Student_70"/>
    <s v="Mumbai"/>
    <x v="1"/>
    <d v="2025-06-05T00:00:00"/>
    <n v="37858"/>
    <n v="31398"/>
    <s v="2025-06"/>
  </r>
  <r>
    <n v="2072"/>
    <s v="Student_71"/>
    <s v="Kolkata"/>
    <x v="2"/>
    <d v="2025-10-18T00:00:00"/>
    <n v="38626"/>
    <n v="26859"/>
    <s v="2025-10"/>
  </r>
  <r>
    <n v="2073"/>
    <s v="Student_72"/>
    <s v="Mumbai"/>
    <x v="2"/>
    <d v="2025-05-16T00:00:00"/>
    <n v="33467"/>
    <n v="20461"/>
    <s v="2025-05"/>
  </r>
  <r>
    <n v="2074"/>
    <s v="Student_73"/>
    <s v="Delhi"/>
    <x v="2"/>
    <d v="2025-05-24T00:00:00"/>
    <n v="59758"/>
    <n v="54591"/>
    <s v="2025-05"/>
  </r>
  <r>
    <n v="2075"/>
    <s v="Student_74"/>
    <s v="Kolkata"/>
    <x v="1"/>
    <d v="2025-04-16T00:00:00"/>
    <n v="23134"/>
    <n v="12987"/>
    <s v="2025-04"/>
  </r>
  <r>
    <n v="2076"/>
    <s v="Student_75"/>
    <s v="Chennai"/>
    <x v="1"/>
    <d v="2025-06-07T00:00:00"/>
    <n v="36743"/>
    <n v="31488"/>
    <s v="2025-06"/>
  </r>
  <r>
    <n v="2077"/>
    <s v="Student_76"/>
    <s v="Pune"/>
    <x v="4"/>
    <d v="2025-05-26T00:00:00"/>
    <n v="35434"/>
    <n v="35185"/>
    <s v="2025-05"/>
  </r>
  <r>
    <n v="2078"/>
    <s v="Student_77"/>
    <s v="Hyderabad"/>
    <x v="0"/>
    <d v="2025-01-02T00:00:00"/>
    <n v="30233"/>
    <n v="23776"/>
    <s v="2025-01"/>
  </r>
  <r>
    <n v="2079"/>
    <s v="Student_78"/>
    <s v="Mumbai"/>
    <x v="4"/>
    <d v="2025-03-18T00:00:00"/>
    <n v="21141"/>
    <n v="19249"/>
    <s v="2025-03"/>
  </r>
  <r>
    <n v="2080"/>
    <s v="Student_79"/>
    <s v="Bangalore"/>
    <x v="3"/>
    <d v="2025-05-12T00:00:00"/>
    <n v="38019"/>
    <n v="34580"/>
    <s v="2025-05"/>
  </r>
  <r>
    <n v="2081"/>
    <s v="Student_80"/>
    <s v="Mumbai"/>
    <x v="5"/>
    <d v="2025-03-31T00:00:00"/>
    <n v="40384"/>
    <n v="30339"/>
    <s v="2025-03"/>
  </r>
  <r>
    <n v="2082"/>
    <s v="Student_81"/>
    <s v="Bangalore"/>
    <x v="2"/>
    <d v="2025-12-11T00:00:00"/>
    <n v="56129"/>
    <n v="53275"/>
    <s v="2025-12"/>
  </r>
  <r>
    <n v="2083"/>
    <s v="Student_82"/>
    <s v="Pune"/>
    <x v="0"/>
    <d v="2025-12-16T00:00:00"/>
    <n v="42967"/>
    <n v="33272"/>
    <s v="2025-12"/>
  </r>
  <r>
    <n v="2084"/>
    <s v="Student_83"/>
    <s v="Pune"/>
    <x v="5"/>
    <d v="2025-09-20T00:00:00"/>
    <n v="31172"/>
    <n v="19595"/>
    <s v="2025-09"/>
  </r>
  <r>
    <n v="2085"/>
    <s v="Student_84"/>
    <s v="Pune"/>
    <x v="0"/>
    <d v="2025-12-17T00:00:00"/>
    <n v="36390"/>
    <n v="24627"/>
    <s v="2025-12"/>
  </r>
  <r>
    <n v="2086"/>
    <s v="Student_85"/>
    <s v="Bangalore"/>
    <x v="4"/>
    <d v="2025-04-18T00:00:00"/>
    <n v="23267"/>
    <n v="19475"/>
    <s v="2025-04"/>
  </r>
  <r>
    <n v="2087"/>
    <s v="Student_86"/>
    <s v="Mumbai"/>
    <x v="1"/>
    <d v="2025-03-15T00:00:00"/>
    <n v="59332"/>
    <n v="47714"/>
    <s v="2025-03"/>
  </r>
  <r>
    <n v="2088"/>
    <s v="Student_87"/>
    <s v="Pune"/>
    <x v="2"/>
    <d v="2025-02-08T00:00:00"/>
    <n v="46167"/>
    <n v="31347"/>
    <s v="2025-02"/>
  </r>
  <r>
    <n v="2089"/>
    <s v="Student_88"/>
    <s v="Delhi"/>
    <x v="4"/>
    <d v="2025-06-08T00:00:00"/>
    <n v="41312"/>
    <n v="35982"/>
    <s v="2025-06"/>
  </r>
  <r>
    <n v="2090"/>
    <s v="Student_89"/>
    <s v="Kolkata"/>
    <x v="5"/>
    <d v="2025-03-12T00:00:00"/>
    <n v="47840"/>
    <n v="39969"/>
    <s v="2025-03"/>
  </r>
  <r>
    <n v="2091"/>
    <s v="Student_90"/>
    <s v="Bangalore"/>
    <x v="5"/>
    <d v="2025-11-08T00:00:00"/>
    <n v="38990"/>
    <n v="30755"/>
    <s v="2025-11"/>
  </r>
  <r>
    <n v="2092"/>
    <s v="Student_91"/>
    <s v="Bangalore"/>
    <x v="5"/>
    <d v="2025-08-29T00:00:00"/>
    <n v="25906"/>
    <n v="22294"/>
    <s v="2025-08"/>
  </r>
  <r>
    <n v="2093"/>
    <s v="Student_92"/>
    <s v="Mumbai"/>
    <x v="5"/>
    <d v="2025-10-25T00:00:00"/>
    <n v="37297"/>
    <n v="34679"/>
    <s v="2025-10"/>
  </r>
  <r>
    <n v="2094"/>
    <s v="Student_93"/>
    <s v="Bangalore"/>
    <x v="5"/>
    <d v="2025-02-05T00:00:00"/>
    <n v="22011"/>
    <n v="17333"/>
    <s v="2025-02"/>
  </r>
  <r>
    <n v="2095"/>
    <s v="Student_94"/>
    <s v="Bangalore"/>
    <x v="0"/>
    <d v="2025-03-25T00:00:00"/>
    <n v="31738"/>
    <n v="28575"/>
    <s v="2025-03"/>
  </r>
  <r>
    <n v="2096"/>
    <s v="Student_95"/>
    <s v="Pune"/>
    <x v="4"/>
    <d v="2025-09-20T00:00:00"/>
    <n v="48797"/>
    <n v="39317"/>
    <s v="2025-09"/>
  </r>
  <r>
    <n v="2097"/>
    <s v="Student_96"/>
    <s v="Mumbai"/>
    <x v="2"/>
    <d v="2025-11-06T00:00:00"/>
    <n v="31120"/>
    <n v="28178"/>
    <s v="2025-11"/>
  </r>
  <r>
    <n v="2098"/>
    <s v="Student_97"/>
    <s v="Pune"/>
    <x v="1"/>
    <d v="2025-06-21T00:00:00"/>
    <n v="28767"/>
    <n v="20356"/>
    <s v="2025-06"/>
  </r>
  <r>
    <n v="2099"/>
    <s v="Student_98"/>
    <s v="Kolkata"/>
    <x v="1"/>
    <d v="2025-06-22T00:00:00"/>
    <n v="42852"/>
    <n v="40927"/>
    <s v="2025-06"/>
  </r>
  <r>
    <n v="2100"/>
    <s v="Student_99"/>
    <s v="Kolkata"/>
    <x v="4"/>
    <d v="2025-12-28T00:00:00"/>
    <n v="33703"/>
    <n v="30731"/>
    <s v="2025-12"/>
  </r>
  <r>
    <n v="2101"/>
    <s v="Student_100"/>
    <s v="Pune"/>
    <x v="4"/>
    <d v="2025-02-16T00:00:00"/>
    <n v="20929"/>
    <n v="9224"/>
    <s v="2025-02"/>
  </r>
  <r>
    <n v="2102"/>
    <s v="Student_101"/>
    <s v="Kolkata"/>
    <x v="1"/>
    <d v="2025-05-21T00:00:00"/>
    <n v="31951"/>
    <n v="21311"/>
    <s v="2025-05"/>
  </r>
  <r>
    <n v="2103"/>
    <s v="Student_102"/>
    <s v="Mumbai"/>
    <x v="1"/>
    <d v="2025-04-28T00:00:00"/>
    <n v="46039"/>
    <n v="34376"/>
    <s v="2025-04"/>
  </r>
  <r>
    <n v="2104"/>
    <s v="Student_103"/>
    <s v="Hyderabad"/>
    <x v="0"/>
    <d v="2025-10-04T00:00:00"/>
    <n v="49504"/>
    <n v="38538"/>
    <s v="2025-10"/>
  </r>
  <r>
    <n v="2105"/>
    <s v="Student_104"/>
    <s v="Pune"/>
    <x v="3"/>
    <d v="2025-08-02T00:00:00"/>
    <n v="37438"/>
    <n v="36448"/>
    <s v="2025-08"/>
  </r>
  <r>
    <n v="2106"/>
    <s v="Student_105"/>
    <s v="Delhi"/>
    <x v="2"/>
    <d v="2025-08-08T00:00:00"/>
    <n v="25744"/>
    <n v="14606"/>
    <s v="2025-08"/>
  </r>
  <r>
    <n v="2107"/>
    <s v="Student_106"/>
    <s v="Delhi"/>
    <x v="5"/>
    <d v="2025-01-26T00:00:00"/>
    <n v="38284"/>
    <n v="36472"/>
    <s v="2025-01"/>
  </r>
  <r>
    <n v="2108"/>
    <s v="Student_107"/>
    <s v="Bangalore"/>
    <x v="3"/>
    <d v="2025-01-09T00:00:00"/>
    <n v="59748"/>
    <n v="46603"/>
    <s v="2025-01"/>
  </r>
  <r>
    <n v="2109"/>
    <s v="Student_108"/>
    <s v="Kolkata"/>
    <x v="4"/>
    <d v="2025-09-28T00:00:00"/>
    <n v="27069"/>
    <n v="18074"/>
    <s v="2025-09"/>
  </r>
  <r>
    <n v="2110"/>
    <s v="Student_109"/>
    <s v="Delhi"/>
    <x v="1"/>
    <d v="2025-01-10T00:00:00"/>
    <n v="39799"/>
    <n v="39310"/>
    <s v="2025-01"/>
  </r>
  <r>
    <n v="2111"/>
    <s v="Student_110"/>
    <s v="Bangalore"/>
    <x v="3"/>
    <d v="2025-05-01T00:00:00"/>
    <n v="53210"/>
    <n v="41462"/>
    <s v="2025-05"/>
  </r>
  <r>
    <n v="2112"/>
    <s v="Student_111"/>
    <s v="Hyderabad"/>
    <x v="2"/>
    <d v="2025-05-05T00:00:00"/>
    <n v="48226"/>
    <n v="42350"/>
    <s v="2025-05"/>
  </r>
  <r>
    <n v="2113"/>
    <s v="Student_112"/>
    <s v="Mumbai"/>
    <x v="4"/>
    <d v="2025-06-19T00:00:00"/>
    <n v="24652"/>
    <n v="14967"/>
    <s v="2025-06"/>
  </r>
  <r>
    <n v="2114"/>
    <s v="Student_113"/>
    <s v="Mumbai"/>
    <x v="5"/>
    <d v="2025-03-13T00:00:00"/>
    <n v="44323"/>
    <n v="40678"/>
    <s v="2025-03"/>
  </r>
  <r>
    <n v="2115"/>
    <s v="Student_114"/>
    <s v="Mumbai"/>
    <x v="5"/>
    <d v="2025-06-01T00:00:00"/>
    <n v="27597"/>
    <n v="20516"/>
    <s v="2025-06"/>
  </r>
  <r>
    <n v="2116"/>
    <s v="Student_115"/>
    <s v="Delhi"/>
    <x v="2"/>
    <d v="2025-07-27T00:00:00"/>
    <n v="57226"/>
    <n v="54335"/>
    <s v="2025-07"/>
  </r>
  <r>
    <n v="2117"/>
    <s v="Student_116"/>
    <s v="Hyderabad"/>
    <x v="2"/>
    <d v="2025-02-18T00:00:00"/>
    <n v="26591"/>
    <n v="16694"/>
    <s v="2025-02"/>
  </r>
  <r>
    <n v="2118"/>
    <s v="Student_117"/>
    <s v="Delhi"/>
    <x v="1"/>
    <d v="2025-06-03T00:00:00"/>
    <n v="45833"/>
    <n v="42317"/>
    <s v="2025-06"/>
  </r>
  <r>
    <n v="2119"/>
    <s v="Student_118"/>
    <s v="Kolkata"/>
    <x v="5"/>
    <d v="2025-12-13T00:00:00"/>
    <n v="31826"/>
    <n v="28486"/>
    <s v="2025-12"/>
  </r>
  <r>
    <n v="2120"/>
    <s v="Student_119"/>
    <s v="Delhi"/>
    <x v="4"/>
    <d v="2025-10-20T00:00:00"/>
    <n v="46417"/>
    <n v="40007"/>
    <s v="2025-10"/>
  </r>
  <r>
    <n v="2121"/>
    <s v="Student_120"/>
    <s v="Hyderabad"/>
    <x v="3"/>
    <d v="2025-03-09T00:00:00"/>
    <n v="38693"/>
    <n v="38640"/>
    <s v="2025-03"/>
  </r>
  <r>
    <n v="2122"/>
    <s v="Student_121"/>
    <s v="Hyderabad"/>
    <x v="4"/>
    <d v="2025-02-19T00:00:00"/>
    <n v="34138"/>
    <n v="31563"/>
    <s v="2025-02"/>
  </r>
  <r>
    <n v="2123"/>
    <s v="Student_122"/>
    <s v="Kolkata"/>
    <x v="0"/>
    <d v="2025-06-01T00:00:00"/>
    <n v="22169"/>
    <n v="10386"/>
    <s v="2025-06"/>
  </r>
  <r>
    <n v="2124"/>
    <s v="Student_123"/>
    <s v="Hyderabad"/>
    <x v="0"/>
    <d v="2025-01-19T00:00:00"/>
    <n v="38556"/>
    <n v="37941"/>
    <s v="2025-01"/>
  </r>
  <r>
    <n v="2125"/>
    <s v="Student_124"/>
    <s v="Hyderabad"/>
    <x v="2"/>
    <d v="2025-04-10T00:00:00"/>
    <n v="42052"/>
    <n v="28682"/>
    <s v="2025-04"/>
  </r>
  <r>
    <n v="2126"/>
    <s v="Student_125"/>
    <s v="Mumbai"/>
    <x v="1"/>
    <d v="2025-03-01T00:00:00"/>
    <n v="26313"/>
    <n v="20369"/>
    <s v="2025-03"/>
  </r>
  <r>
    <n v="2127"/>
    <s v="Student_126"/>
    <s v="Kolkata"/>
    <x v="0"/>
    <d v="2025-06-16T00:00:00"/>
    <n v="28315"/>
    <n v="20911"/>
    <s v="2025-06"/>
  </r>
  <r>
    <n v="2128"/>
    <s v="Student_127"/>
    <s v="Chennai"/>
    <x v="5"/>
    <d v="2025-07-21T00:00:00"/>
    <n v="28036"/>
    <n v="27082"/>
    <s v="2025-07"/>
  </r>
  <r>
    <n v="2129"/>
    <s v="Student_128"/>
    <s v="Chennai"/>
    <x v="4"/>
    <d v="2025-12-11T00:00:00"/>
    <n v="51778"/>
    <n v="41153"/>
    <s v="2025-12"/>
  </r>
  <r>
    <n v="2130"/>
    <s v="Student_129"/>
    <s v="Hyderabad"/>
    <x v="4"/>
    <d v="2025-05-26T00:00:00"/>
    <n v="47734"/>
    <n v="46105"/>
    <s v="2025-05"/>
  </r>
  <r>
    <n v="2131"/>
    <s v="Student_130"/>
    <s v="Chennai"/>
    <x v="2"/>
    <d v="2025-06-13T00:00:00"/>
    <n v="43173"/>
    <n v="32200"/>
    <s v="2025-06"/>
  </r>
  <r>
    <n v="2132"/>
    <s v="Student_131"/>
    <s v="Chennai"/>
    <x v="3"/>
    <d v="2025-08-30T00:00:00"/>
    <n v="50403"/>
    <n v="43544"/>
    <s v="2025-08"/>
  </r>
  <r>
    <n v="2133"/>
    <s v="Student_132"/>
    <s v="Hyderabad"/>
    <x v="2"/>
    <d v="2025-03-10T00:00:00"/>
    <n v="20785"/>
    <n v="11944"/>
    <s v="2025-03"/>
  </r>
  <r>
    <n v="2134"/>
    <s v="Student_133"/>
    <s v="Chennai"/>
    <x v="3"/>
    <d v="2025-06-24T00:00:00"/>
    <n v="26139"/>
    <n v="15600"/>
    <s v="2025-06"/>
  </r>
  <r>
    <n v="2135"/>
    <s v="Student_134"/>
    <s v="Delhi"/>
    <x v="2"/>
    <d v="2025-02-18T00:00:00"/>
    <n v="26344"/>
    <n v="13662"/>
    <s v="2025-02"/>
  </r>
  <r>
    <n v="2136"/>
    <s v="Student_135"/>
    <s v="Bangalore"/>
    <x v="2"/>
    <d v="2025-04-18T00:00:00"/>
    <n v="38800"/>
    <n v="35522"/>
    <s v="2025-04"/>
  </r>
  <r>
    <n v="2137"/>
    <s v="Student_136"/>
    <s v="Kolkata"/>
    <x v="2"/>
    <d v="2025-08-14T00:00:00"/>
    <n v="45372"/>
    <n v="39917"/>
    <s v="2025-08"/>
  </r>
  <r>
    <n v="2138"/>
    <s v="Student_137"/>
    <s v="Bangalore"/>
    <x v="3"/>
    <d v="2025-06-10T00:00:00"/>
    <n v="40538"/>
    <n v="29706"/>
    <s v="2025-06"/>
  </r>
  <r>
    <n v="2139"/>
    <s v="Student_138"/>
    <s v="Hyderabad"/>
    <x v="3"/>
    <d v="2025-04-29T00:00:00"/>
    <n v="34973"/>
    <n v="31172"/>
    <s v="2025-04"/>
  </r>
  <r>
    <n v="2140"/>
    <s v="Student_139"/>
    <s v="Mumbai"/>
    <x v="2"/>
    <d v="2025-05-29T00:00:00"/>
    <n v="25619"/>
    <n v="23058"/>
    <s v="2025-05"/>
  </r>
  <r>
    <n v="2141"/>
    <s v="Student_140"/>
    <s v="Kolkata"/>
    <x v="0"/>
    <d v="2025-05-30T00:00:00"/>
    <n v="54704"/>
    <n v="43263"/>
    <s v="2025-05"/>
  </r>
  <r>
    <n v="2142"/>
    <s v="Student_141"/>
    <s v="Hyderabad"/>
    <x v="1"/>
    <d v="2025-10-20T00:00:00"/>
    <n v="56575"/>
    <n v="50036"/>
    <s v="2025-10"/>
  </r>
  <r>
    <n v="2143"/>
    <s v="Student_142"/>
    <s v="Mumbai"/>
    <x v="1"/>
    <d v="2025-05-23T00:00:00"/>
    <n v="59919"/>
    <n v="59549"/>
    <s v="2025-05"/>
  </r>
  <r>
    <n v="2144"/>
    <s v="Student_143"/>
    <s v="Bangalore"/>
    <x v="1"/>
    <d v="2025-06-09T00:00:00"/>
    <n v="47716"/>
    <n v="46859"/>
    <s v="2025-06"/>
  </r>
  <r>
    <n v="2145"/>
    <s v="Student_144"/>
    <s v="Hyderabad"/>
    <x v="3"/>
    <d v="2025-01-11T00:00:00"/>
    <n v="23236"/>
    <n v="18350"/>
    <s v="2025-01"/>
  </r>
  <r>
    <n v="2146"/>
    <s v="Student_145"/>
    <s v="Kolkata"/>
    <x v="3"/>
    <d v="2025-05-18T00:00:00"/>
    <n v="35848"/>
    <n v="22903"/>
    <s v="2025-05"/>
  </r>
  <r>
    <n v="2147"/>
    <s v="Student_146"/>
    <s v="Kolkata"/>
    <x v="0"/>
    <d v="2025-03-19T00:00:00"/>
    <n v="22352"/>
    <n v="14867"/>
    <s v="2025-03"/>
  </r>
  <r>
    <n v="2148"/>
    <s v="Student_147"/>
    <s v="Pune"/>
    <x v="1"/>
    <d v="2025-03-18T00:00:00"/>
    <n v="21932"/>
    <n v="8252"/>
    <s v="2025-03"/>
  </r>
  <r>
    <n v="2149"/>
    <s v="Student_148"/>
    <s v="Delhi"/>
    <x v="1"/>
    <d v="2025-09-11T00:00:00"/>
    <n v="30913"/>
    <n v="30530"/>
    <s v="2025-09"/>
  </r>
  <r>
    <n v="2150"/>
    <s v="Student_149"/>
    <s v="Chennai"/>
    <x v="2"/>
    <d v="2025-09-15T00:00:00"/>
    <n v="28556"/>
    <n v="14159"/>
    <s v="2025-09"/>
  </r>
  <r>
    <n v="2151"/>
    <s v="Student_150"/>
    <s v="Mumbai"/>
    <x v="3"/>
    <d v="2025-11-16T00:00:00"/>
    <n v="41300"/>
    <n v="29231"/>
    <s v="2025-11"/>
  </r>
  <r>
    <n v="2152"/>
    <s v="Student_151"/>
    <s v="Pune"/>
    <x v="1"/>
    <d v="2025-10-18T00:00:00"/>
    <n v="25498"/>
    <n v="14754"/>
    <s v="2025-10"/>
  </r>
  <r>
    <n v="2153"/>
    <s v="Student_152"/>
    <s v="Chennai"/>
    <x v="4"/>
    <d v="2025-09-20T00:00:00"/>
    <n v="30582"/>
    <n v="26248"/>
    <s v="2025-09"/>
  </r>
  <r>
    <n v="2154"/>
    <s v="Student_153"/>
    <s v="Chennai"/>
    <x v="0"/>
    <d v="2025-03-26T00:00:00"/>
    <n v="29569"/>
    <n v="25279"/>
    <s v="2025-03"/>
  </r>
  <r>
    <n v="2155"/>
    <s v="Student_154"/>
    <s v="Hyderabad"/>
    <x v="4"/>
    <d v="2025-05-26T00:00:00"/>
    <n v="24857"/>
    <n v="22132"/>
    <s v="2025-05"/>
  </r>
  <r>
    <n v="2156"/>
    <s v="Student_155"/>
    <s v="Chennai"/>
    <x v="4"/>
    <d v="2025-11-19T00:00:00"/>
    <n v="20340"/>
    <n v="8114"/>
    <s v="2025-11"/>
  </r>
  <r>
    <n v="2157"/>
    <s v="Student_156"/>
    <s v="Delhi"/>
    <x v="0"/>
    <d v="2025-02-11T00:00:00"/>
    <n v="36766"/>
    <n v="25281"/>
    <s v="2025-02"/>
  </r>
  <r>
    <n v="2158"/>
    <s v="Student_157"/>
    <s v="Kolkata"/>
    <x v="4"/>
    <d v="2025-05-05T00:00:00"/>
    <n v="46132"/>
    <n v="39928"/>
    <s v="2025-05"/>
  </r>
  <r>
    <n v="2159"/>
    <s v="Student_158"/>
    <s v="Pune"/>
    <x v="1"/>
    <d v="2025-06-16T00:00:00"/>
    <n v="28491"/>
    <n v="15051"/>
    <s v="2025-06"/>
  </r>
  <r>
    <n v="2160"/>
    <s v="Student_159"/>
    <s v="Chennai"/>
    <x v="3"/>
    <d v="2025-08-29T00:00:00"/>
    <n v="20138"/>
    <n v="14027"/>
    <s v="2025-08"/>
  </r>
  <r>
    <n v="2161"/>
    <s v="Student_160"/>
    <s v="Hyderabad"/>
    <x v="0"/>
    <d v="2025-10-07T00:00:00"/>
    <n v="20358"/>
    <n v="16107"/>
    <s v="2025-10"/>
  </r>
  <r>
    <n v="2162"/>
    <s v="Student_161"/>
    <s v="Delhi"/>
    <x v="2"/>
    <d v="2025-07-07T00:00:00"/>
    <n v="29714"/>
    <n v="17534"/>
    <s v="2025-07"/>
  </r>
  <r>
    <n v="2163"/>
    <s v="Student_162"/>
    <s v="Bangalore"/>
    <x v="4"/>
    <d v="2025-10-29T00:00:00"/>
    <n v="39840"/>
    <n v="38918"/>
    <s v="2025-10"/>
  </r>
  <r>
    <n v="2164"/>
    <s v="Student_163"/>
    <s v="Kolkata"/>
    <x v="0"/>
    <d v="2025-01-19T00:00:00"/>
    <n v="54395"/>
    <n v="51480"/>
    <s v="2025-01"/>
  </r>
  <r>
    <n v="2165"/>
    <s v="Student_164"/>
    <s v="Kolkata"/>
    <x v="5"/>
    <d v="2025-03-09T00:00:00"/>
    <n v="50654"/>
    <n v="39512"/>
    <s v="2025-03"/>
  </r>
  <r>
    <n v="2166"/>
    <s v="Student_165"/>
    <s v="Pune"/>
    <x v="5"/>
    <d v="2025-08-06T00:00:00"/>
    <n v="45879"/>
    <n v="37922"/>
    <s v="2025-08"/>
  </r>
  <r>
    <n v="2167"/>
    <s v="Student_166"/>
    <s v="Kolkata"/>
    <x v="3"/>
    <d v="2025-04-12T00:00:00"/>
    <n v="35996"/>
    <n v="22099"/>
    <s v="2025-04"/>
  </r>
  <r>
    <n v="2168"/>
    <s v="Student_167"/>
    <s v="Chennai"/>
    <x v="1"/>
    <d v="2025-02-11T00:00:00"/>
    <n v="57772"/>
    <n v="54726"/>
    <s v="2025-02"/>
  </r>
  <r>
    <n v="2169"/>
    <s v="Student_168"/>
    <s v="Hyderabad"/>
    <x v="3"/>
    <d v="2025-10-15T00:00:00"/>
    <n v="46762"/>
    <n v="37596"/>
    <s v="2025-10"/>
  </r>
  <r>
    <n v="2170"/>
    <s v="Student_169"/>
    <s v="Kolkata"/>
    <x v="3"/>
    <d v="2025-06-16T00:00:00"/>
    <n v="33283"/>
    <n v="32053"/>
    <s v="2025-06"/>
  </r>
  <r>
    <n v="2171"/>
    <s v="Student_170"/>
    <s v="Kolkata"/>
    <x v="3"/>
    <d v="2025-04-19T00:00:00"/>
    <n v="59420"/>
    <n v="48793"/>
    <s v="2025-04"/>
  </r>
  <r>
    <n v="2172"/>
    <s v="Student_171"/>
    <s v="Bangalore"/>
    <x v="3"/>
    <d v="2025-02-05T00:00:00"/>
    <n v="39554"/>
    <n v="31907"/>
    <s v="2025-02"/>
  </r>
  <r>
    <n v="2173"/>
    <s v="Student_172"/>
    <s v="Bangalore"/>
    <x v="2"/>
    <d v="2025-08-20T00:00:00"/>
    <n v="40219"/>
    <n v="30213"/>
    <s v="2025-08"/>
  </r>
  <r>
    <n v="2174"/>
    <s v="Student_173"/>
    <s v="Mumbai"/>
    <x v="2"/>
    <d v="2025-08-17T00:00:00"/>
    <n v="54919"/>
    <n v="43793"/>
    <s v="2025-08"/>
  </r>
  <r>
    <n v="2175"/>
    <s v="Student_174"/>
    <s v="Delhi"/>
    <x v="0"/>
    <d v="2025-12-19T00:00:00"/>
    <n v="29429"/>
    <n v="24496"/>
    <s v="2025-12"/>
  </r>
  <r>
    <n v="2176"/>
    <s v="Student_175"/>
    <s v="Chennai"/>
    <x v="5"/>
    <d v="2025-06-13T00:00:00"/>
    <n v="59673"/>
    <n v="45378"/>
    <s v="2025-06"/>
  </r>
  <r>
    <n v="2177"/>
    <s v="Student_176"/>
    <s v="Kolkata"/>
    <x v="3"/>
    <d v="2025-03-14T00:00:00"/>
    <n v="39218"/>
    <n v="29663"/>
    <s v="2025-03"/>
  </r>
  <r>
    <n v="2178"/>
    <s v="Student_177"/>
    <s v="Kolkata"/>
    <x v="0"/>
    <d v="2025-05-16T00:00:00"/>
    <n v="32452"/>
    <n v="28512"/>
    <s v="2025-05"/>
  </r>
  <r>
    <n v="2179"/>
    <s v="Student_178"/>
    <s v="Hyderabad"/>
    <x v="5"/>
    <d v="2025-12-19T00:00:00"/>
    <n v="38951"/>
    <n v="32468"/>
    <s v="2025-12"/>
  </r>
  <r>
    <n v="2180"/>
    <s v="Student_179"/>
    <s v="Mumbai"/>
    <x v="4"/>
    <d v="2025-03-11T00:00:00"/>
    <n v="21307"/>
    <n v="21104"/>
    <s v="2025-03"/>
  </r>
  <r>
    <n v="2181"/>
    <s v="Student_180"/>
    <s v="Delhi"/>
    <x v="1"/>
    <d v="2025-07-15T00:00:00"/>
    <n v="34852"/>
    <n v="34692"/>
    <s v="2025-07"/>
  </r>
  <r>
    <n v="2182"/>
    <s v="Student_181"/>
    <s v="Mumbai"/>
    <x v="2"/>
    <d v="2025-09-26T00:00:00"/>
    <n v="45232"/>
    <n v="32553"/>
    <s v="2025-09"/>
  </r>
  <r>
    <n v="2183"/>
    <s v="Student_182"/>
    <s v="Pune"/>
    <x v="4"/>
    <d v="2025-02-18T00:00:00"/>
    <n v="55428"/>
    <n v="46468"/>
    <s v="2025-02"/>
  </r>
  <r>
    <n v="2184"/>
    <s v="Student_183"/>
    <s v="Delhi"/>
    <x v="5"/>
    <d v="2025-11-12T00:00:00"/>
    <n v="46485"/>
    <n v="42737"/>
    <s v="2025-11"/>
  </r>
  <r>
    <n v="2185"/>
    <s v="Student_184"/>
    <s v="Kolkata"/>
    <x v="4"/>
    <d v="2025-05-10T00:00:00"/>
    <n v="30238"/>
    <n v="23520"/>
    <s v="2025-05"/>
  </r>
  <r>
    <n v="2186"/>
    <s v="Student_185"/>
    <s v="Kolkata"/>
    <x v="1"/>
    <d v="2025-01-05T00:00:00"/>
    <n v="58975"/>
    <n v="56394"/>
    <s v="2025-01"/>
  </r>
  <r>
    <n v="2187"/>
    <s v="Student_186"/>
    <s v="Delhi"/>
    <x v="5"/>
    <d v="2025-01-27T00:00:00"/>
    <n v="21140"/>
    <n v="20047"/>
    <s v="2025-01"/>
  </r>
  <r>
    <n v="2188"/>
    <s v="Student_187"/>
    <s v="Kolkata"/>
    <x v="4"/>
    <d v="2025-06-09T00:00:00"/>
    <n v="44842"/>
    <n v="40342"/>
    <s v="2025-06"/>
  </r>
  <r>
    <n v="2189"/>
    <s v="Student_188"/>
    <s v="Chennai"/>
    <x v="2"/>
    <d v="2025-05-29T00:00:00"/>
    <n v="46421"/>
    <n v="37622"/>
    <s v="2025-05"/>
  </r>
  <r>
    <n v="2190"/>
    <s v="Student_189"/>
    <s v="Delhi"/>
    <x v="2"/>
    <d v="2025-09-21T00:00:00"/>
    <n v="21708"/>
    <n v="15998"/>
    <s v="2025-09"/>
  </r>
  <r>
    <n v="2191"/>
    <s v="Student_190"/>
    <s v="Mumbai"/>
    <x v="0"/>
    <d v="2025-08-18T00:00:00"/>
    <n v="23630"/>
    <n v="13898"/>
    <s v="2025-08"/>
  </r>
  <r>
    <n v="2192"/>
    <s v="Student_191"/>
    <s v="Delhi"/>
    <x v="4"/>
    <d v="2025-07-19T00:00:00"/>
    <n v="39595"/>
    <n v="36720"/>
    <s v="2025-07"/>
  </r>
  <r>
    <n v="2193"/>
    <s v="Student_192"/>
    <s v="Kolkata"/>
    <x v="3"/>
    <d v="2025-02-19T00:00:00"/>
    <n v="30485"/>
    <n v="27294"/>
    <s v="2025-02"/>
  </r>
  <r>
    <n v="2194"/>
    <s v="Student_193"/>
    <s v="Chennai"/>
    <x v="4"/>
    <d v="2025-03-08T00:00:00"/>
    <n v="48308"/>
    <n v="46471"/>
    <s v="2025-03"/>
  </r>
  <r>
    <n v="2195"/>
    <s v="Student_194"/>
    <s v="Chennai"/>
    <x v="5"/>
    <d v="2025-10-27T00:00:00"/>
    <n v="46086"/>
    <n v="45397"/>
    <s v="2025-10"/>
  </r>
  <r>
    <n v="2196"/>
    <s v="Student_195"/>
    <s v="Pune"/>
    <x v="5"/>
    <d v="2025-02-27T00:00:00"/>
    <n v="36859"/>
    <n v="33100"/>
    <s v="2025-02"/>
  </r>
  <r>
    <n v="2197"/>
    <s v="Student_196"/>
    <s v="Mumbai"/>
    <x v="4"/>
    <d v="2025-09-16T00:00:00"/>
    <n v="27684"/>
    <n v="16543"/>
    <s v="2025-09"/>
  </r>
  <r>
    <n v="2198"/>
    <s v="Student_197"/>
    <s v="Bangalore"/>
    <x v="1"/>
    <d v="2025-12-08T00:00:00"/>
    <n v="45552"/>
    <n v="32024"/>
    <s v="2025-12"/>
  </r>
  <r>
    <n v="2199"/>
    <s v="Student_198"/>
    <s v="Bangalore"/>
    <x v="2"/>
    <d v="2025-11-22T00:00:00"/>
    <n v="21207"/>
    <n v="19104"/>
    <s v="2025-11"/>
  </r>
  <r>
    <n v="2200"/>
    <s v="Student_199"/>
    <s v="Delhi"/>
    <x v="5"/>
    <d v="2025-05-10T00:00:00"/>
    <n v="21960"/>
    <n v="21595"/>
    <s v="2025-05"/>
  </r>
  <r>
    <n v="2201"/>
    <s v="Student_200"/>
    <s v="Pune"/>
    <x v="2"/>
    <d v="2025-08-03T00:00:00"/>
    <n v="20557"/>
    <n v="6547"/>
    <s v="2025-08"/>
  </r>
  <r>
    <n v="2202"/>
    <s v="Student_201"/>
    <s v="Hyderabad"/>
    <x v="5"/>
    <d v="2025-06-21T00:00:00"/>
    <n v="49689"/>
    <n v="37922"/>
    <s v="2025-06"/>
  </r>
  <r>
    <n v="2203"/>
    <s v="Student_202"/>
    <s v="Delhi"/>
    <x v="0"/>
    <d v="2025-09-15T00:00:00"/>
    <n v="33893"/>
    <n v="25801"/>
    <s v="2025-09"/>
  </r>
  <r>
    <n v="2204"/>
    <s v="Student_203"/>
    <s v="Pune"/>
    <x v="3"/>
    <d v="2025-04-12T00:00:00"/>
    <n v="52272"/>
    <n v="39530"/>
    <s v="2025-04"/>
  </r>
  <r>
    <n v="2205"/>
    <s v="Student_204"/>
    <s v="Mumbai"/>
    <x v="5"/>
    <d v="2025-07-28T00:00:00"/>
    <n v="20882"/>
    <n v="8491"/>
    <s v="2025-07"/>
  </r>
  <r>
    <n v="2206"/>
    <s v="Student_205"/>
    <s v="Mumbai"/>
    <x v="2"/>
    <d v="2025-10-18T00:00:00"/>
    <n v="57529"/>
    <n v="53357"/>
    <s v="2025-10"/>
  </r>
  <r>
    <n v="2207"/>
    <s v="Student_206"/>
    <s v="Mumbai"/>
    <x v="0"/>
    <d v="2025-12-20T00:00:00"/>
    <n v="58635"/>
    <n v="46118"/>
    <s v="2025-12"/>
  </r>
  <r>
    <n v="2208"/>
    <s v="Student_207"/>
    <s v="Mumbai"/>
    <x v="5"/>
    <d v="2025-10-13T00:00:00"/>
    <n v="49535"/>
    <n v="43502"/>
    <s v="2025-10"/>
  </r>
  <r>
    <n v="2209"/>
    <s v="Student_208"/>
    <s v="Mumbai"/>
    <x v="1"/>
    <d v="2025-04-26T00:00:00"/>
    <n v="32869"/>
    <n v="30491"/>
    <s v="2025-04"/>
  </r>
  <r>
    <n v="2210"/>
    <s v="Student_209"/>
    <s v="Pune"/>
    <x v="3"/>
    <d v="2025-09-21T00:00:00"/>
    <n v="27166"/>
    <n v="25961"/>
    <s v="2025-09"/>
  </r>
  <r>
    <n v="2211"/>
    <s v="Student_210"/>
    <s v="Pune"/>
    <x v="5"/>
    <d v="2025-05-30T00:00:00"/>
    <n v="32982"/>
    <n v="27994"/>
    <s v="2025-05"/>
  </r>
  <r>
    <n v="2212"/>
    <s v="Student_211"/>
    <s v="Chennai"/>
    <x v="0"/>
    <d v="2025-10-27T00:00:00"/>
    <n v="58115"/>
    <n v="46084"/>
    <s v="2025-10"/>
  </r>
  <r>
    <n v="2213"/>
    <s v="Student_212"/>
    <s v="Bangalore"/>
    <x v="1"/>
    <d v="2025-02-05T00:00:00"/>
    <n v="27269"/>
    <n v="21600"/>
    <s v="2025-02"/>
  </r>
  <r>
    <n v="2214"/>
    <s v="Student_213"/>
    <s v="Kolkata"/>
    <x v="4"/>
    <d v="2025-11-29T00:00:00"/>
    <n v="48064"/>
    <n v="45329"/>
    <s v="2025-11"/>
  </r>
  <r>
    <n v="2215"/>
    <s v="Student_214"/>
    <s v="Mumbai"/>
    <x v="0"/>
    <d v="2025-10-14T00:00:00"/>
    <n v="33527"/>
    <n v="19165"/>
    <s v="2025-10"/>
  </r>
  <r>
    <n v="2216"/>
    <s v="Student_215"/>
    <s v="Hyderabad"/>
    <x v="0"/>
    <d v="2025-10-30T00:00:00"/>
    <n v="22454"/>
    <n v="10915"/>
    <s v="2025-10"/>
  </r>
  <r>
    <n v="2217"/>
    <s v="Student_216"/>
    <s v="Kolkata"/>
    <x v="1"/>
    <d v="2025-11-07T00:00:00"/>
    <n v="40878"/>
    <n v="31011"/>
    <s v="2025-11"/>
  </r>
  <r>
    <n v="2218"/>
    <s v="Student_217"/>
    <s v="Pune"/>
    <x v="0"/>
    <d v="2025-07-27T00:00:00"/>
    <n v="32991"/>
    <n v="24501"/>
    <s v="2025-07"/>
  </r>
  <r>
    <n v="2219"/>
    <s v="Student_218"/>
    <s v="Hyderabad"/>
    <x v="1"/>
    <d v="2025-04-16T00:00:00"/>
    <n v="22808"/>
    <n v="21852"/>
    <s v="2025-04"/>
  </r>
  <r>
    <n v="2220"/>
    <s v="Student_219"/>
    <s v="Hyderabad"/>
    <x v="5"/>
    <d v="2025-06-07T00:00:00"/>
    <n v="59410"/>
    <n v="50104"/>
    <s v="2025-06"/>
  </r>
  <r>
    <n v="2221"/>
    <s v="Student_220"/>
    <s v="Hyderabad"/>
    <x v="1"/>
    <d v="2025-05-01T00:00:00"/>
    <n v="56593"/>
    <n v="49970"/>
    <s v="2025-05"/>
  </r>
  <r>
    <n v="2222"/>
    <s v="Student_221"/>
    <s v="Chennai"/>
    <x v="1"/>
    <d v="2025-02-24T00:00:00"/>
    <n v="56304"/>
    <n v="41396"/>
    <s v="2025-02"/>
  </r>
  <r>
    <n v="2223"/>
    <s v="Student_222"/>
    <s v="Pune"/>
    <x v="3"/>
    <d v="2025-01-12T00:00:00"/>
    <n v="50386"/>
    <n v="39689"/>
    <s v="2025-01"/>
  </r>
  <r>
    <n v="2224"/>
    <s v="Student_223"/>
    <s v="Hyderabad"/>
    <x v="1"/>
    <d v="2025-05-25T00:00:00"/>
    <n v="23802"/>
    <n v="22328"/>
    <s v="2025-05"/>
  </r>
  <r>
    <n v="2225"/>
    <s v="Student_224"/>
    <s v="Mumbai"/>
    <x v="1"/>
    <d v="2025-05-16T00:00:00"/>
    <n v="48753"/>
    <n v="44293"/>
    <s v="2025-05"/>
  </r>
  <r>
    <n v="2226"/>
    <s v="Student_225"/>
    <s v="Delhi"/>
    <x v="4"/>
    <d v="2025-01-03T00:00:00"/>
    <n v="41083"/>
    <n v="34081"/>
    <s v="2025-01"/>
  </r>
  <r>
    <n v="2227"/>
    <s v="Student_226"/>
    <s v="Hyderabad"/>
    <x v="5"/>
    <d v="2025-05-24T00:00:00"/>
    <n v="38354"/>
    <n v="24368"/>
    <s v="2025-05"/>
  </r>
  <r>
    <n v="2228"/>
    <s v="Student_227"/>
    <s v="Chennai"/>
    <x v="3"/>
    <d v="2025-01-30T00:00:00"/>
    <n v="42190"/>
    <n v="29552"/>
    <s v="2025-01"/>
  </r>
  <r>
    <n v="2229"/>
    <s v="Student_228"/>
    <s v="Kolkata"/>
    <x v="4"/>
    <d v="2025-08-25T00:00:00"/>
    <n v="26142"/>
    <n v="14224"/>
    <s v="2025-08"/>
  </r>
  <r>
    <n v="2230"/>
    <s v="Student_229"/>
    <s v="Pune"/>
    <x v="2"/>
    <d v="2025-10-06T00:00:00"/>
    <n v="48398"/>
    <n v="36735"/>
    <s v="2025-10"/>
  </r>
  <r>
    <n v="2231"/>
    <s v="Student_230"/>
    <s v="Chennai"/>
    <x v="5"/>
    <d v="2025-12-14T00:00:00"/>
    <n v="53132"/>
    <n v="46736"/>
    <s v="2025-12"/>
  </r>
  <r>
    <n v="2232"/>
    <s v="Student_231"/>
    <s v="Hyderabad"/>
    <x v="5"/>
    <d v="2025-04-25T00:00:00"/>
    <n v="39503"/>
    <n v="36675"/>
    <s v="2025-04"/>
  </r>
  <r>
    <n v="2233"/>
    <s v="Student_232"/>
    <s v="Pune"/>
    <x v="2"/>
    <d v="2025-04-14T00:00:00"/>
    <n v="54631"/>
    <n v="40439"/>
    <s v="2025-04"/>
  </r>
  <r>
    <n v="2234"/>
    <s v="Student_233"/>
    <s v="Delhi"/>
    <x v="1"/>
    <d v="2025-04-28T00:00:00"/>
    <n v="36499"/>
    <n v="33649"/>
    <s v="2025-04"/>
  </r>
  <r>
    <n v="2235"/>
    <s v="Student_234"/>
    <s v="Hyderabad"/>
    <x v="4"/>
    <d v="2025-01-05T00:00:00"/>
    <n v="59852"/>
    <n v="46553"/>
    <s v="2025-01"/>
  </r>
  <r>
    <n v="2236"/>
    <s v="Student_235"/>
    <s v="Chennai"/>
    <x v="0"/>
    <d v="2025-12-26T00:00:00"/>
    <n v="28016"/>
    <n v="17318"/>
    <s v="2025-12"/>
  </r>
  <r>
    <n v="2237"/>
    <s v="Student_236"/>
    <s v="Bangalore"/>
    <x v="3"/>
    <d v="2025-09-05T00:00:00"/>
    <n v="22384"/>
    <n v="10422"/>
    <s v="2025-09"/>
  </r>
  <r>
    <n v="2238"/>
    <s v="Student_237"/>
    <s v="Mumbai"/>
    <x v="0"/>
    <d v="2025-12-30T00:00:00"/>
    <n v="35072"/>
    <n v="32108"/>
    <s v="2025-12"/>
  </r>
  <r>
    <n v="2239"/>
    <s v="Student_238"/>
    <s v="Kolkata"/>
    <x v="2"/>
    <d v="2025-11-17T00:00:00"/>
    <n v="56703"/>
    <n v="52109"/>
    <s v="2025-11"/>
  </r>
  <r>
    <n v="2240"/>
    <s v="Student_239"/>
    <s v="Chennai"/>
    <x v="5"/>
    <d v="2025-05-01T00:00:00"/>
    <n v="34482"/>
    <n v="25341"/>
    <s v="2025-05"/>
  </r>
  <r>
    <n v="2241"/>
    <s v="Student_240"/>
    <s v="Pune"/>
    <x v="5"/>
    <d v="2025-10-13T00:00:00"/>
    <n v="41826"/>
    <n v="27544"/>
    <s v="2025-10"/>
  </r>
  <r>
    <n v="2242"/>
    <s v="Student_241"/>
    <s v="Hyderabad"/>
    <x v="3"/>
    <d v="2025-05-29T00:00:00"/>
    <n v="22490"/>
    <n v="8156"/>
    <s v="2025-05"/>
  </r>
  <r>
    <n v="2243"/>
    <s v="Student_242"/>
    <s v="Mumbai"/>
    <x v="5"/>
    <d v="2025-03-25T00:00:00"/>
    <n v="45518"/>
    <n v="32723"/>
    <s v="2025-03"/>
  </r>
  <r>
    <n v="2244"/>
    <s v="Student_243"/>
    <s v="Hyderabad"/>
    <x v="5"/>
    <d v="2025-08-19T00:00:00"/>
    <n v="44045"/>
    <n v="30430"/>
    <s v="2025-08"/>
  </r>
  <r>
    <n v="2245"/>
    <s v="Student_244"/>
    <s v="Pune"/>
    <x v="3"/>
    <d v="2025-10-15T00:00:00"/>
    <n v="46910"/>
    <n v="40266"/>
    <s v="2025-10"/>
  </r>
  <r>
    <n v="2246"/>
    <s v="Student_245"/>
    <s v="Hyderabad"/>
    <x v="4"/>
    <d v="2025-06-10T00:00:00"/>
    <n v="44566"/>
    <n v="41716"/>
    <s v="2025-06"/>
  </r>
  <r>
    <n v="2247"/>
    <s v="Student_246"/>
    <s v="Bangalore"/>
    <x v="4"/>
    <d v="2025-09-29T00:00:00"/>
    <n v="53905"/>
    <n v="38972"/>
    <s v="2025-09"/>
  </r>
  <r>
    <n v="2248"/>
    <s v="Student_247"/>
    <s v="Mumbai"/>
    <x v="3"/>
    <d v="2025-02-07T00:00:00"/>
    <n v="47103"/>
    <n v="46938"/>
    <s v="2025-02"/>
  </r>
  <r>
    <n v="2249"/>
    <s v="Student_248"/>
    <s v="Mumbai"/>
    <x v="2"/>
    <d v="2025-08-14T00:00:00"/>
    <n v="56188"/>
    <n v="44510"/>
    <s v="2025-08"/>
  </r>
  <r>
    <n v="2250"/>
    <s v="Student_249"/>
    <s v="Pune"/>
    <x v="5"/>
    <d v="2025-05-22T00:00:00"/>
    <n v="25845"/>
    <n v="15144"/>
    <s v="2025-05"/>
  </r>
  <r>
    <n v="2251"/>
    <s v="Student_250"/>
    <s v="Kolkata"/>
    <x v="5"/>
    <d v="2025-10-19T00:00:00"/>
    <n v="41162"/>
    <n v="40243"/>
    <s v="2025-10"/>
  </r>
  <r>
    <n v="2252"/>
    <s v="Student_251"/>
    <s v="Bangalore"/>
    <x v="2"/>
    <d v="2025-05-31T00:00:00"/>
    <n v="56674"/>
    <n v="48369"/>
    <s v="2025-05"/>
  </r>
  <r>
    <n v="2253"/>
    <s v="Student_252"/>
    <s v="Chennai"/>
    <x v="4"/>
    <d v="2025-04-24T00:00:00"/>
    <n v="39337"/>
    <n v="35833"/>
    <s v="2025-04"/>
  </r>
  <r>
    <n v="2254"/>
    <s v="Student_253"/>
    <s v="Hyderabad"/>
    <x v="1"/>
    <d v="2025-08-25T00:00:00"/>
    <n v="42313"/>
    <n v="41322"/>
    <s v="2025-08"/>
  </r>
  <r>
    <n v="2255"/>
    <s v="Student_254"/>
    <s v="Delhi"/>
    <x v="1"/>
    <d v="2025-03-07T00:00:00"/>
    <n v="46943"/>
    <n v="40896"/>
    <s v="2025-03"/>
  </r>
  <r>
    <n v="2256"/>
    <s v="Student_255"/>
    <s v="Hyderabad"/>
    <x v="1"/>
    <d v="2025-12-27T00:00:00"/>
    <n v="32413"/>
    <n v="17871"/>
    <s v="2025-12"/>
  </r>
  <r>
    <n v="2257"/>
    <s v="Student_256"/>
    <s v="Hyderabad"/>
    <x v="4"/>
    <d v="2025-12-07T00:00:00"/>
    <n v="20276"/>
    <n v="16437"/>
    <s v="2025-12"/>
  </r>
  <r>
    <n v="2258"/>
    <s v="Student_257"/>
    <s v="Chennai"/>
    <x v="4"/>
    <d v="2025-09-15T00:00:00"/>
    <n v="37611"/>
    <n v="36353"/>
    <s v="2025-09"/>
  </r>
  <r>
    <n v="2259"/>
    <s v="Student_258"/>
    <s v="Hyderabad"/>
    <x v="2"/>
    <d v="2025-09-06T00:00:00"/>
    <n v="59105"/>
    <n v="51496"/>
    <s v="2025-09"/>
  </r>
  <r>
    <n v="2260"/>
    <s v="Student_259"/>
    <s v="Bangalore"/>
    <x v="5"/>
    <d v="2025-11-27T00:00:00"/>
    <n v="31944"/>
    <n v="20326"/>
    <s v="2025-11"/>
  </r>
  <r>
    <n v="2261"/>
    <s v="Student_260"/>
    <s v="Bangalore"/>
    <x v="2"/>
    <d v="2025-11-19T00:00:00"/>
    <n v="35906"/>
    <n v="27200"/>
    <s v="2025-11"/>
  </r>
  <r>
    <n v="2262"/>
    <s v="Student_261"/>
    <s v="Mumbai"/>
    <x v="2"/>
    <d v="2025-06-29T00:00:00"/>
    <n v="40536"/>
    <n v="27017"/>
    <s v="2025-06"/>
  </r>
  <r>
    <n v="2263"/>
    <s v="Student_262"/>
    <s v="Pune"/>
    <x v="4"/>
    <d v="2025-07-09T00:00:00"/>
    <n v="47810"/>
    <n v="43006"/>
    <s v="2025-07"/>
  </r>
  <r>
    <n v="2264"/>
    <s v="Student_263"/>
    <s v="Kolkata"/>
    <x v="1"/>
    <d v="2025-06-03T00:00:00"/>
    <n v="32306"/>
    <n v="20918"/>
    <s v="2025-06"/>
  </r>
  <r>
    <n v="2265"/>
    <s v="Student_264"/>
    <s v="Delhi"/>
    <x v="0"/>
    <d v="2025-07-15T00:00:00"/>
    <n v="30503"/>
    <n v="16030"/>
    <s v="2025-07"/>
  </r>
  <r>
    <n v="2266"/>
    <s v="Student_265"/>
    <s v="Hyderabad"/>
    <x v="5"/>
    <d v="2025-11-07T00:00:00"/>
    <n v="39225"/>
    <n v="26599"/>
    <s v="2025-11"/>
  </r>
  <r>
    <n v="2267"/>
    <s v="Student_266"/>
    <s v="Hyderabad"/>
    <x v="4"/>
    <d v="2025-09-19T00:00:00"/>
    <n v="56976"/>
    <n v="46200"/>
    <s v="2025-09"/>
  </r>
  <r>
    <n v="2268"/>
    <s v="Student_267"/>
    <s v="Chennai"/>
    <x v="1"/>
    <d v="2025-05-23T00:00:00"/>
    <n v="31590"/>
    <n v="31523"/>
    <s v="2025-05"/>
  </r>
  <r>
    <n v="2269"/>
    <s v="Student_268"/>
    <s v="Pune"/>
    <x v="0"/>
    <d v="2025-12-08T00:00:00"/>
    <n v="30886"/>
    <n v="21098"/>
    <s v="2025-12"/>
  </r>
  <r>
    <n v="2270"/>
    <s v="Student_269"/>
    <s v="Bangalore"/>
    <x v="0"/>
    <d v="2025-11-12T00:00:00"/>
    <n v="32866"/>
    <n v="27206"/>
    <s v="2025-11"/>
  </r>
  <r>
    <n v="2271"/>
    <s v="Student_270"/>
    <s v="Delhi"/>
    <x v="4"/>
    <d v="2025-04-11T00:00:00"/>
    <n v="21088"/>
    <n v="16610"/>
    <s v="2025-04"/>
  </r>
  <r>
    <n v="2272"/>
    <s v="Student_271"/>
    <s v="Mumbai"/>
    <x v="3"/>
    <d v="2025-09-01T00:00:00"/>
    <n v="23363"/>
    <n v="15153"/>
    <s v="2025-09"/>
  </r>
  <r>
    <n v="2273"/>
    <s v="Student_272"/>
    <s v="Bangalore"/>
    <x v="5"/>
    <d v="2025-01-12T00:00:00"/>
    <n v="52792"/>
    <n v="41870"/>
    <s v="2025-01"/>
  </r>
  <r>
    <n v="2274"/>
    <s v="Student_273"/>
    <s v="Pune"/>
    <x v="0"/>
    <d v="2025-08-27T00:00:00"/>
    <n v="29764"/>
    <n v="26243"/>
    <s v="2025-08"/>
  </r>
  <r>
    <n v="2275"/>
    <s v="Student_274"/>
    <s v="Kolkata"/>
    <x v="4"/>
    <d v="2025-02-18T00:00:00"/>
    <n v="40620"/>
    <n v="26211"/>
    <s v="2025-02"/>
  </r>
  <r>
    <n v="2276"/>
    <s v="Student_275"/>
    <s v="Mumbai"/>
    <x v="4"/>
    <d v="2025-02-11T00:00:00"/>
    <n v="32935"/>
    <n v="32363"/>
    <s v="2025-02"/>
  </r>
  <r>
    <n v="2277"/>
    <s v="Student_276"/>
    <s v="Kolkata"/>
    <x v="1"/>
    <d v="2025-06-15T00:00:00"/>
    <n v="28068"/>
    <n v="20986"/>
    <s v="2025-06"/>
  </r>
  <r>
    <n v="2278"/>
    <s v="Student_277"/>
    <s v="Chennai"/>
    <x v="3"/>
    <d v="2025-03-23T00:00:00"/>
    <n v="27295"/>
    <n v="19463"/>
    <s v="2025-03"/>
  </r>
  <r>
    <n v="2279"/>
    <s v="Student_278"/>
    <s v="Chennai"/>
    <x v="5"/>
    <d v="2025-10-18T00:00:00"/>
    <n v="31390"/>
    <n v="25995"/>
    <s v="2025-10"/>
  </r>
  <r>
    <n v="2280"/>
    <s v="Student_279"/>
    <s v="Hyderabad"/>
    <x v="2"/>
    <d v="2025-06-07T00:00:00"/>
    <n v="40131"/>
    <n v="37873"/>
    <s v="2025-06"/>
  </r>
  <r>
    <n v="2281"/>
    <s v="Student_280"/>
    <s v="Kolkata"/>
    <x v="1"/>
    <d v="2025-08-04T00:00:00"/>
    <n v="49218"/>
    <n v="38124"/>
    <s v="2025-08"/>
  </r>
  <r>
    <n v="2282"/>
    <s v="Student_281"/>
    <s v="Pune"/>
    <x v="0"/>
    <d v="2025-06-07T00:00:00"/>
    <n v="30433"/>
    <n v="24394"/>
    <s v="2025-06"/>
  </r>
  <r>
    <n v="2283"/>
    <s v="Student_282"/>
    <s v="Delhi"/>
    <x v="0"/>
    <d v="2025-05-14T00:00:00"/>
    <n v="35038"/>
    <n v="34388"/>
    <s v="2025-05"/>
  </r>
  <r>
    <n v="2284"/>
    <s v="Student_283"/>
    <s v="Mumbai"/>
    <x v="1"/>
    <d v="2025-03-08T00:00:00"/>
    <n v="48182"/>
    <n v="42441"/>
    <s v="2025-03"/>
  </r>
  <r>
    <n v="2285"/>
    <s v="Student_284"/>
    <s v="Bangalore"/>
    <x v="4"/>
    <d v="2025-12-02T00:00:00"/>
    <n v="31528"/>
    <n v="18247"/>
    <s v="2025-12"/>
  </r>
  <r>
    <n v="2286"/>
    <s v="Student_285"/>
    <s v="Pune"/>
    <x v="0"/>
    <d v="2025-01-07T00:00:00"/>
    <n v="41281"/>
    <n v="34443"/>
    <s v="2025-01"/>
  </r>
  <r>
    <n v="2287"/>
    <s v="Student_286"/>
    <s v="Pune"/>
    <x v="3"/>
    <d v="2025-01-14T00:00:00"/>
    <n v="28605"/>
    <n v="26018"/>
    <s v="2025-01"/>
  </r>
  <r>
    <n v="2288"/>
    <s v="Student_287"/>
    <s v="Chennai"/>
    <x v="5"/>
    <d v="2025-03-14T00:00:00"/>
    <n v="54782"/>
    <n v="46906"/>
    <s v="2025-03"/>
  </r>
  <r>
    <n v="2289"/>
    <s v="Student_288"/>
    <s v="Kolkata"/>
    <x v="3"/>
    <d v="2025-06-12T00:00:00"/>
    <n v="21381"/>
    <n v="18119"/>
    <s v="2025-06"/>
  </r>
  <r>
    <n v="2290"/>
    <s v="Student_289"/>
    <s v="Hyderabad"/>
    <x v="0"/>
    <d v="2025-03-07T00:00:00"/>
    <n v="21098"/>
    <n v="19760"/>
    <s v="2025-03"/>
  </r>
  <r>
    <n v="2291"/>
    <s v="Student_290"/>
    <s v="Hyderabad"/>
    <x v="2"/>
    <d v="2025-12-13T00:00:00"/>
    <n v="39810"/>
    <n v="34814"/>
    <s v="2025-12"/>
  </r>
  <r>
    <n v="2292"/>
    <s v="Student_291"/>
    <s v="Mumbai"/>
    <x v="5"/>
    <d v="2025-05-10T00:00:00"/>
    <n v="44322"/>
    <n v="32496"/>
    <s v="2025-05"/>
  </r>
  <r>
    <n v="2293"/>
    <s v="Student_292"/>
    <s v="Chennai"/>
    <x v="5"/>
    <d v="2025-07-25T00:00:00"/>
    <n v="52955"/>
    <n v="47175"/>
    <s v="2025-07"/>
  </r>
  <r>
    <n v="2294"/>
    <s v="Student_293"/>
    <s v="Pune"/>
    <x v="1"/>
    <d v="2025-10-03T00:00:00"/>
    <n v="30207"/>
    <n v="27380"/>
    <s v="2025-10"/>
  </r>
  <r>
    <n v="2295"/>
    <s v="Student_294"/>
    <s v="Delhi"/>
    <x v="1"/>
    <d v="2025-09-13T00:00:00"/>
    <n v="41793"/>
    <n v="27920"/>
    <s v="2025-09"/>
  </r>
  <r>
    <n v="2296"/>
    <s v="Student_295"/>
    <s v="Chennai"/>
    <x v="2"/>
    <d v="2025-09-23T00:00:00"/>
    <n v="22092"/>
    <n v="7881"/>
    <s v="2025-09"/>
  </r>
  <r>
    <n v="2297"/>
    <s v="Student_296"/>
    <s v="Mumbai"/>
    <x v="4"/>
    <d v="2025-01-25T00:00:00"/>
    <n v="48220"/>
    <n v="34151"/>
    <s v="2025-01"/>
  </r>
  <r>
    <n v="2298"/>
    <s v="Student_297"/>
    <s v="Mumbai"/>
    <x v="5"/>
    <d v="2025-10-08T00:00:00"/>
    <n v="38514"/>
    <n v="33282"/>
    <s v="2025-10"/>
  </r>
  <r>
    <n v="2299"/>
    <s v="Student_298"/>
    <s v="Chennai"/>
    <x v="2"/>
    <d v="2025-09-10T00:00:00"/>
    <n v="58010"/>
    <n v="55793"/>
    <s v="2025-09"/>
  </r>
  <r>
    <n v="2300"/>
    <s v="Student_299"/>
    <s v="Mumbai"/>
    <x v="1"/>
    <d v="2025-11-06T00:00:00"/>
    <n v="28549"/>
    <n v="25010"/>
    <s v="2025-11"/>
  </r>
  <r>
    <n v="2301"/>
    <s v="Student_300"/>
    <s v="Chennai"/>
    <x v="1"/>
    <d v="2025-10-16T00:00:00"/>
    <n v="42031"/>
    <n v="34186"/>
    <s v="2025-10"/>
  </r>
  <r>
    <n v="2302"/>
    <s v="Student_301"/>
    <s v="Bangalore"/>
    <x v="5"/>
    <d v="2025-06-13T00:00:00"/>
    <n v="25185"/>
    <n v="10953"/>
    <s v="2025-06"/>
  </r>
  <r>
    <n v="2303"/>
    <s v="Student_302"/>
    <s v="Chennai"/>
    <x v="3"/>
    <d v="2025-04-05T00:00:00"/>
    <n v="35271"/>
    <n v="26042"/>
    <s v="2025-04"/>
  </r>
  <r>
    <n v="2304"/>
    <s v="Student_303"/>
    <s v="Kolkata"/>
    <x v="0"/>
    <d v="2025-09-27T00:00:00"/>
    <n v="25776"/>
    <n v="11750"/>
    <s v="2025-09"/>
  </r>
  <r>
    <n v="2305"/>
    <s v="Student_304"/>
    <s v="Chennai"/>
    <x v="1"/>
    <d v="2025-11-17T00:00:00"/>
    <n v="32449"/>
    <n v="28066"/>
    <s v="2025-11"/>
  </r>
  <r>
    <n v="2306"/>
    <s v="Student_305"/>
    <s v="Mumbai"/>
    <x v="4"/>
    <d v="2025-04-20T00:00:00"/>
    <n v="44297"/>
    <n v="32127"/>
    <s v="2025-04"/>
  </r>
  <r>
    <n v="2307"/>
    <s v="Student_306"/>
    <s v="Kolkata"/>
    <x v="4"/>
    <d v="2025-12-02T00:00:00"/>
    <n v="35717"/>
    <n v="21193"/>
    <s v="2025-12"/>
  </r>
  <r>
    <n v="2308"/>
    <s v="Student_307"/>
    <s v="Mumbai"/>
    <x v="1"/>
    <d v="2025-11-06T00:00:00"/>
    <n v="59233"/>
    <n v="56272"/>
    <s v="2025-11"/>
  </r>
  <r>
    <n v="2309"/>
    <s v="Student_308"/>
    <s v="Hyderabad"/>
    <x v="3"/>
    <d v="2025-08-26T00:00:00"/>
    <n v="30350"/>
    <n v="27124"/>
    <s v="2025-08"/>
  </r>
  <r>
    <n v="2310"/>
    <s v="Student_309"/>
    <s v="Hyderabad"/>
    <x v="3"/>
    <d v="2025-01-25T00:00:00"/>
    <n v="50622"/>
    <n v="36744"/>
    <s v="2025-01"/>
  </r>
  <r>
    <n v="2311"/>
    <s v="Student_310"/>
    <s v="Kolkata"/>
    <x v="2"/>
    <d v="2025-05-21T00:00:00"/>
    <n v="55323"/>
    <n v="48486"/>
    <s v="2025-05"/>
  </r>
  <r>
    <n v="2312"/>
    <s v="Student_311"/>
    <s v="Bangalore"/>
    <x v="4"/>
    <d v="2025-04-27T00:00:00"/>
    <n v="22951"/>
    <n v="8918"/>
    <s v="2025-04"/>
  </r>
  <r>
    <n v="2313"/>
    <s v="Student_312"/>
    <s v="Hyderabad"/>
    <x v="2"/>
    <d v="2025-01-25T00:00:00"/>
    <n v="37622"/>
    <n v="30591"/>
    <s v="2025-01"/>
  </r>
  <r>
    <n v="2314"/>
    <s v="Student_313"/>
    <s v="Chennai"/>
    <x v="4"/>
    <d v="2025-03-20T00:00:00"/>
    <n v="24727"/>
    <n v="9921"/>
    <s v="2025-03"/>
  </r>
  <r>
    <n v="2315"/>
    <s v="Student_314"/>
    <s v="Mumbai"/>
    <x v="0"/>
    <d v="2025-03-09T00:00:00"/>
    <n v="58454"/>
    <n v="49164"/>
    <s v="2025-03"/>
  </r>
  <r>
    <n v="2316"/>
    <s v="Student_315"/>
    <s v="Hyderabad"/>
    <x v="0"/>
    <d v="2025-06-22T00:00:00"/>
    <n v="56469"/>
    <n v="45953"/>
    <s v="2025-06"/>
  </r>
  <r>
    <n v="2317"/>
    <s v="Student_316"/>
    <s v="Hyderabad"/>
    <x v="5"/>
    <d v="2025-01-12T00:00:00"/>
    <n v="55548"/>
    <n v="46417"/>
    <s v="2025-01"/>
  </r>
  <r>
    <n v="2318"/>
    <s v="Student_317"/>
    <s v="Bangalore"/>
    <x v="2"/>
    <d v="2025-10-15T00:00:00"/>
    <n v="43782"/>
    <n v="40066"/>
    <s v="2025-10"/>
  </r>
  <r>
    <n v="2319"/>
    <s v="Student_318"/>
    <s v="Kolkata"/>
    <x v="1"/>
    <d v="2025-05-08T00:00:00"/>
    <n v="48454"/>
    <n v="45040"/>
    <s v="2025-05"/>
  </r>
  <r>
    <n v="2320"/>
    <s v="Student_319"/>
    <s v="Kolkata"/>
    <x v="2"/>
    <d v="2025-04-06T00:00:00"/>
    <n v="22368"/>
    <n v="20920"/>
    <s v="2025-04"/>
  </r>
  <r>
    <n v="2321"/>
    <s v="Student_320"/>
    <s v="Pune"/>
    <x v="1"/>
    <d v="2025-04-02T00:00:00"/>
    <n v="35592"/>
    <n v="35022"/>
    <s v="2025-04"/>
  </r>
  <r>
    <n v="2322"/>
    <s v="Student_321"/>
    <s v="Bangalore"/>
    <x v="3"/>
    <d v="2025-05-21T00:00:00"/>
    <n v="42173"/>
    <n v="39269"/>
    <s v="2025-05"/>
  </r>
  <r>
    <n v="2323"/>
    <s v="Student_322"/>
    <s v="Chennai"/>
    <x v="2"/>
    <d v="2025-01-31T00:00:00"/>
    <n v="53204"/>
    <n v="39916"/>
    <s v="2025-01"/>
  </r>
  <r>
    <n v="2324"/>
    <s v="Student_323"/>
    <s v="Kolkata"/>
    <x v="3"/>
    <d v="2025-11-30T00:00:00"/>
    <n v="55596"/>
    <n v="42103"/>
    <s v="2025-11"/>
  </r>
  <r>
    <n v="2325"/>
    <s v="Student_324"/>
    <s v="Mumbai"/>
    <x v="0"/>
    <d v="2025-01-20T00:00:00"/>
    <n v="54324"/>
    <n v="51819"/>
    <s v="2025-01"/>
  </r>
  <r>
    <n v="2326"/>
    <s v="Student_325"/>
    <s v="Bangalore"/>
    <x v="0"/>
    <d v="2025-05-26T00:00:00"/>
    <n v="43864"/>
    <n v="42947"/>
    <s v="2025-05"/>
  </r>
  <r>
    <n v="2327"/>
    <s v="Student_326"/>
    <s v="Hyderabad"/>
    <x v="5"/>
    <d v="2025-11-12T00:00:00"/>
    <n v="50750"/>
    <n v="40684"/>
    <s v="2025-11"/>
  </r>
  <r>
    <n v="2328"/>
    <s v="Student_327"/>
    <s v="Mumbai"/>
    <x v="2"/>
    <d v="2025-06-09T00:00:00"/>
    <n v="30576"/>
    <n v="17456"/>
    <s v="2025-06"/>
  </r>
  <r>
    <n v="2329"/>
    <s v="Student_328"/>
    <s v="Mumbai"/>
    <x v="3"/>
    <d v="2025-12-15T00:00:00"/>
    <n v="36566"/>
    <n v="29584"/>
    <s v="2025-12"/>
  </r>
  <r>
    <n v="2330"/>
    <s v="Student_329"/>
    <s v="Hyderabad"/>
    <x v="1"/>
    <d v="2025-02-12T00:00:00"/>
    <n v="27190"/>
    <n v="19763"/>
    <s v="2025-02"/>
  </r>
  <r>
    <n v="2331"/>
    <s v="Student_330"/>
    <s v="Bangalore"/>
    <x v="0"/>
    <d v="2025-09-11T00:00:00"/>
    <n v="43071"/>
    <n v="36735"/>
    <s v="2025-09"/>
  </r>
  <r>
    <n v="2332"/>
    <s v="Student_331"/>
    <s v="Hyderabad"/>
    <x v="0"/>
    <d v="2025-05-10T00:00:00"/>
    <n v="58333"/>
    <n v="56655"/>
    <s v="2025-05"/>
  </r>
  <r>
    <n v="2333"/>
    <s v="Student_332"/>
    <s v="Pune"/>
    <x v="1"/>
    <d v="2025-03-01T00:00:00"/>
    <n v="35369"/>
    <n v="34754"/>
    <s v="2025-03"/>
  </r>
  <r>
    <n v="2334"/>
    <s v="Student_333"/>
    <s v="Mumbai"/>
    <x v="3"/>
    <d v="2025-05-31T00:00:00"/>
    <n v="44035"/>
    <n v="31342"/>
    <s v="2025-05"/>
  </r>
  <r>
    <n v="2335"/>
    <s v="Student_334"/>
    <s v="Delhi"/>
    <x v="3"/>
    <d v="2025-10-14T00:00:00"/>
    <n v="21589"/>
    <n v="11648"/>
    <s v="2025-10"/>
  </r>
  <r>
    <n v="2336"/>
    <s v="Student_335"/>
    <s v="Delhi"/>
    <x v="2"/>
    <d v="2025-01-05T00:00:00"/>
    <n v="45235"/>
    <n v="33218"/>
    <s v="2025-01"/>
  </r>
  <r>
    <n v="2337"/>
    <s v="Student_336"/>
    <s v="Chennai"/>
    <x v="2"/>
    <d v="2025-09-23T00:00:00"/>
    <n v="20159"/>
    <n v="13073"/>
    <s v="2025-09"/>
  </r>
  <r>
    <n v="2338"/>
    <s v="Student_337"/>
    <s v="Kolkata"/>
    <x v="4"/>
    <d v="2025-12-11T00:00:00"/>
    <n v="32145"/>
    <n v="19765"/>
    <s v="2025-12"/>
  </r>
  <r>
    <n v="2339"/>
    <s v="Student_338"/>
    <s v="Hyderabad"/>
    <x v="4"/>
    <d v="2025-05-10T00:00:00"/>
    <n v="35373"/>
    <n v="24704"/>
    <s v="2025-05"/>
  </r>
  <r>
    <n v="2340"/>
    <s v="Student_339"/>
    <s v="Hyderabad"/>
    <x v="5"/>
    <d v="2025-09-24T00:00:00"/>
    <n v="51921"/>
    <n v="47172"/>
    <s v="2025-09"/>
  </r>
  <r>
    <n v="2341"/>
    <s v="Student_340"/>
    <s v="Chennai"/>
    <x v="0"/>
    <d v="2025-06-27T00:00:00"/>
    <n v="59323"/>
    <n v="55818"/>
    <s v="2025-06"/>
  </r>
  <r>
    <n v="2342"/>
    <s v="Student_341"/>
    <s v="Chennai"/>
    <x v="2"/>
    <d v="2025-09-10T00:00:00"/>
    <n v="36237"/>
    <n v="24570"/>
    <s v="2025-09"/>
  </r>
  <r>
    <n v="2343"/>
    <s v="Student_342"/>
    <s v="Chennai"/>
    <x v="3"/>
    <d v="2025-02-25T00:00:00"/>
    <n v="28244"/>
    <n v="23715"/>
    <s v="2025-02"/>
  </r>
  <r>
    <n v="2344"/>
    <s v="Student_343"/>
    <s v="Mumbai"/>
    <x v="1"/>
    <d v="2025-03-24T00:00:00"/>
    <n v="34743"/>
    <n v="33608"/>
    <s v="2025-03"/>
  </r>
  <r>
    <n v="2345"/>
    <s v="Student_344"/>
    <s v="Pune"/>
    <x v="3"/>
    <d v="2025-04-09T00:00:00"/>
    <n v="51566"/>
    <n v="39374"/>
    <s v="2025-04"/>
  </r>
  <r>
    <n v="2346"/>
    <s v="Student_345"/>
    <s v="Hyderabad"/>
    <x v="0"/>
    <d v="2025-05-29T00:00:00"/>
    <n v="38691"/>
    <n v="30125"/>
    <s v="2025-05"/>
  </r>
  <r>
    <n v="2347"/>
    <s v="Student_346"/>
    <s v="Mumbai"/>
    <x v="4"/>
    <d v="2025-11-25T00:00:00"/>
    <n v="53996"/>
    <n v="46770"/>
    <s v="2025-11"/>
  </r>
  <r>
    <n v="2348"/>
    <s v="Student_347"/>
    <s v="Chennai"/>
    <x v="3"/>
    <d v="2025-06-05T00:00:00"/>
    <n v="25590"/>
    <n v="20428"/>
    <s v="2025-06"/>
  </r>
  <r>
    <n v="2349"/>
    <s v="Student_348"/>
    <s v="Hyderabad"/>
    <x v="5"/>
    <d v="2025-07-09T00:00:00"/>
    <n v="25585"/>
    <n v="25379"/>
    <s v="2025-07"/>
  </r>
  <r>
    <n v="2350"/>
    <s v="Student_349"/>
    <s v="Mumbai"/>
    <x v="0"/>
    <d v="2025-09-20T00:00:00"/>
    <n v="29227"/>
    <n v="24352"/>
    <s v="2025-09"/>
  </r>
  <r>
    <n v="2351"/>
    <s v="Student_350"/>
    <s v="Pune"/>
    <x v="4"/>
    <d v="2025-03-21T00:00:00"/>
    <n v="48278"/>
    <n v="46959"/>
    <s v="2025-03"/>
  </r>
  <r>
    <n v="2352"/>
    <s v="Student_351"/>
    <s v="Mumbai"/>
    <x v="1"/>
    <d v="2025-09-09T00:00:00"/>
    <n v="58814"/>
    <n v="57673"/>
    <s v="2025-09"/>
  </r>
  <r>
    <n v="2353"/>
    <s v="Student_352"/>
    <s v="Pune"/>
    <x v="4"/>
    <d v="2025-04-07T00:00:00"/>
    <n v="32237"/>
    <n v="27610"/>
    <s v="2025-04"/>
  </r>
  <r>
    <n v="2354"/>
    <s v="Student_353"/>
    <s v="Chennai"/>
    <x v="5"/>
    <d v="2025-09-17T00:00:00"/>
    <n v="35649"/>
    <n v="28260"/>
    <s v="2025-09"/>
  </r>
  <r>
    <n v="2355"/>
    <s v="Student_354"/>
    <s v="Pune"/>
    <x v="0"/>
    <d v="2025-09-17T00:00:00"/>
    <n v="57713"/>
    <n v="43212"/>
    <s v="2025-09"/>
  </r>
  <r>
    <n v="2356"/>
    <s v="Student_355"/>
    <s v="Hyderabad"/>
    <x v="1"/>
    <d v="2025-04-13T00:00:00"/>
    <n v="27927"/>
    <n v="25237"/>
    <s v="2025-04"/>
  </r>
  <r>
    <n v="2357"/>
    <s v="Student_356"/>
    <s v="Chennai"/>
    <x v="5"/>
    <d v="2025-02-09T00:00:00"/>
    <n v="27016"/>
    <n v="19693"/>
    <s v="2025-02"/>
  </r>
  <r>
    <n v="2358"/>
    <s v="Student_357"/>
    <s v="Hyderabad"/>
    <x v="4"/>
    <d v="2025-09-30T00:00:00"/>
    <n v="34027"/>
    <n v="30772"/>
    <s v="2025-09"/>
  </r>
  <r>
    <n v="2359"/>
    <s v="Student_358"/>
    <s v="Delhi"/>
    <x v="5"/>
    <d v="2025-04-11T00:00:00"/>
    <n v="44142"/>
    <n v="35861"/>
    <s v="2025-04"/>
  </r>
  <r>
    <n v="2360"/>
    <s v="Student_359"/>
    <s v="Bangalore"/>
    <x v="0"/>
    <d v="2025-12-25T00:00:00"/>
    <n v="43545"/>
    <n v="38332"/>
    <s v="2025-12"/>
  </r>
  <r>
    <n v="2361"/>
    <s v="Student_360"/>
    <s v="Pune"/>
    <x v="2"/>
    <d v="2025-11-04T00:00:00"/>
    <n v="51897"/>
    <n v="47789"/>
    <s v="2025-11"/>
  </r>
  <r>
    <n v="2362"/>
    <s v="Student_361"/>
    <s v="Bangalore"/>
    <x v="5"/>
    <d v="2025-08-09T00:00:00"/>
    <n v="23167"/>
    <n v="20147"/>
    <s v="2025-08"/>
  </r>
  <r>
    <n v="2363"/>
    <s v="Student_362"/>
    <s v="Bangalore"/>
    <x v="5"/>
    <d v="2025-11-04T00:00:00"/>
    <n v="46917"/>
    <n v="45060"/>
    <s v="2025-11"/>
  </r>
  <r>
    <n v="2364"/>
    <s v="Student_363"/>
    <s v="Pune"/>
    <x v="4"/>
    <d v="2025-05-04T00:00:00"/>
    <n v="42736"/>
    <n v="33740"/>
    <s v="2025-05"/>
  </r>
  <r>
    <n v="2365"/>
    <s v="Student_364"/>
    <s v="Chennai"/>
    <x v="4"/>
    <d v="2025-08-19T00:00:00"/>
    <n v="47990"/>
    <n v="38854"/>
    <s v="2025-08"/>
  </r>
  <r>
    <n v="2366"/>
    <s v="Student_365"/>
    <s v="Delhi"/>
    <x v="1"/>
    <d v="2025-06-27T00:00:00"/>
    <n v="34087"/>
    <n v="31298"/>
    <s v="2025-06"/>
  </r>
  <r>
    <n v="2367"/>
    <s v="Student_366"/>
    <s v="Hyderabad"/>
    <x v="4"/>
    <d v="2025-03-04T00:00:00"/>
    <n v="42440"/>
    <n v="28295"/>
    <s v="2025-03"/>
  </r>
  <r>
    <n v="2368"/>
    <s v="Student_367"/>
    <s v="Mumbai"/>
    <x v="3"/>
    <d v="2025-04-26T00:00:00"/>
    <n v="55205"/>
    <n v="51330"/>
    <s v="2025-04"/>
  </r>
  <r>
    <n v="2369"/>
    <s v="Student_368"/>
    <s v="Hyderabad"/>
    <x v="0"/>
    <d v="2025-07-10T00:00:00"/>
    <n v="35275"/>
    <n v="27670"/>
    <s v="2025-07"/>
  </r>
  <r>
    <n v="2370"/>
    <s v="Student_369"/>
    <s v="Mumbai"/>
    <x v="0"/>
    <d v="2025-03-03T00:00:00"/>
    <n v="25276"/>
    <n v="15474"/>
    <s v="2025-03"/>
  </r>
  <r>
    <n v="2371"/>
    <s v="Student_370"/>
    <s v="Hyderabad"/>
    <x v="2"/>
    <d v="2025-09-13T00:00:00"/>
    <n v="57496"/>
    <n v="49361"/>
    <s v="2025-09"/>
  </r>
  <r>
    <n v="2372"/>
    <s v="Student_371"/>
    <s v="Pune"/>
    <x v="2"/>
    <d v="2025-01-07T00:00:00"/>
    <n v="39008"/>
    <n v="27893"/>
    <s v="2025-01"/>
  </r>
  <r>
    <n v="2373"/>
    <s v="Student_372"/>
    <s v="Delhi"/>
    <x v="0"/>
    <d v="2025-06-04T00:00:00"/>
    <n v="25738"/>
    <n v="19683"/>
    <s v="2025-06"/>
  </r>
  <r>
    <n v="2374"/>
    <s v="Student_373"/>
    <s v="Mumbai"/>
    <x v="2"/>
    <d v="2025-04-02T00:00:00"/>
    <n v="52402"/>
    <n v="48520"/>
    <s v="2025-04"/>
  </r>
  <r>
    <n v="2375"/>
    <s v="Student_374"/>
    <s v="Kolkata"/>
    <x v="1"/>
    <d v="2025-01-14T00:00:00"/>
    <n v="25793"/>
    <n v="14380"/>
    <s v="2025-01"/>
  </r>
  <r>
    <n v="2376"/>
    <s v="Student_375"/>
    <s v="Chennai"/>
    <x v="4"/>
    <d v="2025-08-17T00:00:00"/>
    <n v="57291"/>
    <n v="42296"/>
    <s v="2025-08"/>
  </r>
  <r>
    <n v="2377"/>
    <s v="Student_376"/>
    <s v="Hyderabad"/>
    <x v="0"/>
    <d v="2025-03-27T00:00:00"/>
    <n v="25571"/>
    <n v="18396"/>
    <s v="2025-03"/>
  </r>
  <r>
    <n v="2378"/>
    <s v="Student_377"/>
    <s v="Hyderabad"/>
    <x v="2"/>
    <d v="2025-05-13T00:00:00"/>
    <n v="51331"/>
    <n v="37991"/>
    <s v="2025-05"/>
  </r>
  <r>
    <n v="2379"/>
    <s v="Student_378"/>
    <s v="Mumbai"/>
    <x v="0"/>
    <d v="2025-07-02T00:00:00"/>
    <n v="36209"/>
    <n v="23626"/>
    <s v="2025-07"/>
  </r>
  <r>
    <n v="2380"/>
    <s v="Student_379"/>
    <s v="Chennai"/>
    <x v="3"/>
    <d v="2025-03-03T00:00:00"/>
    <n v="45394"/>
    <n v="38265"/>
    <s v="2025-03"/>
  </r>
  <r>
    <n v="2381"/>
    <s v="Student_380"/>
    <s v="Chennai"/>
    <x v="5"/>
    <d v="2025-08-07T00:00:00"/>
    <n v="45682"/>
    <n v="40661"/>
    <s v="2025-08"/>
  </r>
  <r>
    <n v="2382"/>
    <s v="Student_381"/>
    <s v="Pune"/>
    <x v="4"/>
    <d v="2025-09-03T00:00:00"/>
    <n v="22224"/>
    <n v="17489"/>
    <s v="2025-09"/>
  </r>
  <r>
    <n v="2383"/>
    <s v="Student_382"/>
    <s v="Kolkata"/>
    <x v="0"/>
    <d v="2025-08-18T00:00:00"/>
    <n v="52441"/>
    <n v="50054"/>
    <s v="2025-08"/>
  </r>
  <r>
    <n v="2384"/>
    <s v="Student_383"/>
    <s v="Pune"/>
    <x v="5"/>
    <d v="2025-03-20T00:00:00"/>
    <n v="59129"/>
    <n v="46214"/>
    <s v="2025-03"/>
  </r>
  <r>
    <n v="2385"/>
    <s v="Student_384"/>
    <s v="Pune"/>
    <x v="2"/>
    <d v="2025-05-29T00:00:00"/>
    <n v="54716"/>
    <n v="48134"/>
    <s v="2025-05"/>
  </r>
  <r>
    <n v="2386"/>
    <s v="Student_385"/>
    <s v="Pune"/>
    <x v="5"/>
    <d v="2025-05-18T00:00:00"/>
    <n v="46586"/>
    <n v="33131"/>
    <s v="2025-05"/>
  </r>
  <r>
    <n v="2387"/>
    <s v="Student_386"/>
    <s v="Pune"/>
    <x v="4"/>
    <d v="2025-11-10T00:00:00"/>
    <n v="43478"/>
    <n v="34345"/>
    <s v="2025-11"/>
  </r>
  <r>
    <n v="2388"/>
    <s v="Student_387"/>
    <s v="Pune"/>
    <x v="0"/>
    <d v="2025-03-06T00:00:00"/>
    <n v="26318"/>
    <n v="13201"/>
    <s v="2025-03"/>
  </r>
  <r>
    <n v="2389"/>
    <s v="Student_388"/>
    <s v="Delhi"/>
    <x v="3"/>
    <d v="2025-01-13T00:00:00"/>
    <n v="48694"/>
    <n v="42828"/>
    <s v="2025-01"/>
  </r>
  <r>
    <n v="2390"/>
    <s v="Student_389"/>
    <s v="Chennai"/>
    <x v="2"/>
    <d v="2025-08-01T00:00:00"/>
    <n v="40180"/>
    <n v="37614"/>
    <s v="2025-08"/>
  </r>
  <r>
    <n v="2391"/>
    <s v="Student_390"/>
    <s v="Pune"/>
    <x v="0"/>
    <d v="2025-08-30T00:00:00"/>
    <n v="32180"/>
    <n v="31205"/>
    <s v="2025-08"/>
  </r>
  <r>
    <n v="2392"/>
    <s v="Student_391"/>
    <s v="Chennai"/>
    <x v="4"/>
    <d v="2025-08-01T00:00:00"/>
    <n v="53002"/>
    <n v="45790"/>
    <s v="2025-08"/>
  </r>
  <r>
    <n v="2393"/>
    <s v="Student_392"/>
    <s v="Chennai"/>
    <x v="2"/>
    <d v="2025-06-30T00:00:00"/>
    <n v="35372"/>
    <n v="26226"/>
    <s v="2025-06"/>
  </r>
  <r>
    <n v="2394"/>
    <s v="Student_393"/>
    <s v="Bangalore"/>
    <x v="1"/>
    <d v="2025-12-04T00:00:00"/>
    <n v="49796"/>
    <n v="48534"/>
    <s v="2025-12"/>
  </r>
  <r>
    <n v="2395"/>
    <s v="Student_394"/>
    <s v="Delhi"/>
    <x v="5"/>
    <d v="2025-06-22T00:00:00"/>
    <n v="44427"/>
    <n v="39380"/>
    <s v="2025-06"/>
  </r>
  <r>
    <n v="2396"/>
    <s v="Student_395"/>
    <s v="Pune"/>
    <x v="4"/>
    <d v="2025-06-09T00:00:00"/>
    <n v="53290"/>
    <n v="44155"/>
    <s v="2025-06"/>
  </r>
  <r>
    <n v="2397"/>
    <s v="Student_396"/>
    <s v="Hyderabad"/>
    <x v="1"/>
    <d v="2025-06-13T00:00:00"/>
    <n v="48099"/>
    <n v="37705"/>
    <s v="2025-06"/>
  </r>
  <r>
    <n v="2398"/>
    <s v="Student_397"/>
    <s v="Mumbai"/>
    <x v="0"/>
    <d v="2025-07-07T00:00:00"/>
    <n v="29821"/>
    <n v="16329"/>
    <s v="2025-07"/>
  </r>
  <r>
    <n v="2399"/>
    <s v="Student_398"/>
    <s v="Kolkata"/>
    <x v="3"/>
    <d v="2025-07-10T00:00:00"/>
    <n v="25832"/>
    <n v="18450"/>
    <s v="2025-07"/>
  </r>
  <r>
    <n v="2400"/>
    <s v="Student_399"/>
    <s v="Hyderabad"/>
    <x v="2"/>
    <d v="2025-11-04T00:00:00"/>
    <n v="32820"/>
    <n v="26589"/>
    <s v="2025-11"/>
  </r>
  <r>
    <n v="2401"/>
    <s v="Student_400"/>
    <s v="Delhi"/>
    <x v="5"/>
    <d v="2025-09-13T00:00:00"/>
    <n v="36211"/>
    <n v="32884"/>
    <s v="2025-09"/>
  </r>
  <r>
    <n v="2402"/>
    <s v="Student_401"/>
    <s v="Mumbai"/>
    <x v="2"/>
    <d v="2025-07-02T00:00:00"/>
    <n v="59890"/>
    <n v="54260"/>
    <s v="2025-07"/>
  </r>
  <r>
    <n v="2403"/>
    <s v="Student_402"/>
    <s v="Delhi"/>
    <x v="0"/>
    <d v="2025-04-27T00:00:00"/>
    <n v="25842"/>
    <n v="12458"/>
    <s v="2025-04"/>
  </r>
  <r>
    <n v="2404"/>
    <s v="Student_403"/>
    <s v="Chennai"/>
    <x v="2"/>
    <d v="2025-10-09T00:00:00"/>
    <n v="21316"/>
    <n v="8850"/>
    <s v="2025-10"/>
  </r>
  <r>
    <n v="2405"/>
    <s v="Student_404"/>
    <s v="Mumbai"/>
    <x v="5"/>
    <d v="2025-07-15T00:00:00"/>
    <n v="37508"/>
    <n v="35249"/>
    <s v="2025-07"/>
  </r>
  <r>
    <n v="2406"/>
    <s v="Student_405"/>
    <s v="Chennai"/>
    <x v="0"/>
    <d v="2025-02-03T00:00:00"/>
    <n v="42005"/>
    <n v="31985"/>
    <s v="2025-02"/>
  </r>
  <r>
    <n v="2407"/>
    <s v="Student_406"/>
    <s v="Hyderabad"/>
    <x v="2"/>
    <d v="2025-02-21T00:00:00"/>
    <n v="35206"/>
    <n v="33949"/>
    <s v="2025-02"/>
  </r>
  <r>
    <n v="2408"/>
    <s v="Student_407"/>
    <s v="Hyderabad"/>
    <x v="3"/>
    <d v="2025-04-22T00:00:00"/>
    <n v="38971"/>
    <n v="38507"/>
    <s v="2025-04"/>
  </r>
  <r>
    <n v="2409"/>
    <s v="Student_408"/>
    <s v="Mumbai"/>
    <x v="4"/>
    <d v="2025-09-09T00:00:00"/>
    <n v="45599"/>
    <n v="31537"/>
    <s v="2025-09"/>
  </r>
  <r>
    <n v="2410"/>
    <s v="Student_409"/>
    <s v="Mumbai"/>
    <x v="0"/>
    <d v="2025-03-23T00:00:00"/>
    <n v="42056"/>
    <n v="38762"/>
    <s v="2025-03"/>
  </r>
  <r>
    <n v="2411"/>
    <s v="Student_410"/>
    <s v="Pune"/>
    <x v="4"/>
    <d v="2025-08-20T00:00:00"/>
    <n v="21378"/>
    <n v="14604"/>
    <s v="2025-08"/>
  </r>
  <r>
    <n v="2412"/>
    <s v="Student_411"/>
    <s v="Delhi"/>
    <x v="0"/>
    <d v="2025-08-15T00:00:00"/>
    <n v="21519"/>
    <n v="14088"/>
    <s v="2025-08"/>
  </r>
  <r>
    <n v="2413"/>
    <s v="Student_412"/>
    <s v="Pune"/>
    <x v="3"/>
    <d v="2025-08-21T00:00:00"/>
    <n v="42161"/>
    <n v="40931"/>
    <s v="2025-08"/>
  </r>
  <r>
    <n v="2414"/>
    <s v="Student_413"/>
    <s v="Delhi"/>
    <x v="4"/>
    <d v="2025-08-09T00:00:00"/>
    <n v="58861"/>
    <n v="48015"/>
    <s v="2025-08"/>
  </r>
  <r>
    <n v="2415"/>
    <s v="Student_414"/>
    <s v="Pune"/>
    <x v="1"/>
    <d v="2025-02-11T00:00:00"/>
    <n v="25355"/>
    <n v="16279"/>
    <s v="2025-02"/>
  </r>
  <r>
    <n v="2416"/>
    <s v="Student_415"/>
    <s v="Chennai"/>
    <x v="5"/>
    <d v="2025-01-21T00:00:00"/>
    <n v="29083"/>
    <n v="25278"/>
    <s v="2025-01"/>
  </r>
  <r>
    <n v="2417"/>
    <s v="Student_416"/>
    <s v="Mumbai"/>
    <x v="1"/>
    <d v="2025-02-11T00:00:00"/>
    <n v="58342"/>
    <n v="43641"/>
    <s v="2025-02"/>
  </r>
  <r>
    <n v="2418"/>
    <s v="Student_417"/>
    <s v="Hyderabad"/>
    <x v="2"/>
    <d v="2025-04-23T00:00:00"/>
    <n v="40456"/>
    <n v="34037"/>
    <s v="2025-04"/>
  </r>
  <r>
    <n v="2419"/>
    <s v="Student_418"/>
    <s v="Delhi"/>
    <x v="3"/>
    <d v="2025-04-15T00:00:00"/>
    <n v="33324"/>
    <n v="18609"/>
    <s v="2025-04"/>
  </r>
  <r>
    <n v="2420"/>
    <s v="Student_419"/>
    <s v="Delhi"/>
    <x v="1"/>
    <d v="2025-07-11T00:00:00"/>
    <n v="22257"/>
    <n v="8637"/>
    <s v="2025-07"/>
  </r>
  <r>
    <n v="2421"/>
    <s v="Student_420"/>
    <s v="Hyderabad"/>
    <x v="0"/>
    <d v="2025-01-17T00:00:00"/>
    <n v="47364"/>
    <n v="41614"/>
    <s v="2025-01"/>
  </r>
  <r>
    <n v="2422"/>
    <s v="Student_421"/>
    <s v="Pune"/>
    <x v="2"/>
    <d v="2025-04-30T00:00:00"/>
    <n v="44972"/>
    <n v="31740"/>
    <s v="2025-04"/>
  </r>
  <r>
    <n v="2423"/>
    <s v="Student_422"/>
    <s v="Delhi"/>
    <x v="2"/>
    <d v="2025-05-09T00:00:00"/>
    <n v="46654"/>
    <n v="42798"/>
    <s v="2025-05"/>
  </r>
  <r>
    <n v="2424"/>
    <s v="Student_423"/>
    <s v="Kolkata"/>
    <x v="1"/>
    <d v="2025-05-10T00:00:00"/>
    <n v="35233"/>
    <n v="32098"/>
    <s v="2025-05"/>
  </r>
  <r>
    <n v="2425"/>
    <s v="Student_424"/>
    <s v="Chennai"/>
    <x v="1"/>
    <d v="2025-03-01T00:00:00"/>
    <n v="35887"/>
    <n v="28934"/>
    <s v="2025-03"/>
  </r>
  <r>
    <n v="2426"/>
    <s v="Student_425"/>
    <s v="Mumbai"/>
    <x v="3"/>
    <d v="2025-02-17T00:00:00"/>
    <n v="49320"/>
    <n v="40204"/>
    <s v="2025-02"/>
  </r>
  <r>
    <n v="2427"/>
    <s v="Student_426"/>
    <s v="Hyderabad"/>
    <x v="5"/>
    <d v="2025-01-29T00:00:00"/>
    <n v="40808"/>
    <n v="34774"/>
    <s v="2025-01"/>
  </r>
  <r>
    <n v="2428"/>
    <s v="Student_427"/>
    <s v="Mumbai"/>
    <x v="1"/>
    <d v="2025-04-07T00:00:00"/>
    <n v="50154"/>
    <n v="45565"/>
    <s v="2025-04"/>
  </r>
  <r>
    <n v="2429"/>
    <s v="Student_428"/>
    <s v="Kolkata"/>
    <x v="1"/>
    <d v="2025-01-10T00:00:00"/>
    <n v="54773"/>
    <n v="53227"/>
    <s v="2025-01"/>
  </r>
  <r>
    <n v="2430"/>
    <s v="Student_429"/>
    <s v="Delhi"/>
    <x v="4"/>
    <d v="2025-08-30T00:00:00"/>
    <n v="47747"/>
    <n v="41682"/>
    <s v="2025-08"/>
  </r>
  <r>
    <n v="2431"/>
    <s v="Student_430"/>
    <s v="Delhi"/>
    <x v="0"/>
    <d v="2025-11-10T00:00:00"/>
    <n v="30860"/>
    <n v="29766"/>
    <s v="2025-11"/>
  </r>
  <r>
    <n v="2432"/>
    <s v="Student_431"/>
    <s v="Kolkata"/>
    <x v="4"/>
    <d v="2025-08-20T00:00:00"/>
    <n v="38156"/>
    <n v="35745"/>
    <s v="2025-08"/>
  </r>
  <r>
    <n v="2433"/>
    <s v="Student_432"/>
    <s v="Hyderabad"/>
    <x v="4"/>
    <d v="2025-10-04T00:00:00"/>
    <n v="40360"/>
    <n v="37743"/>
    <s v="2025-10"/>
  </r>
  <r>
    <n v="2434"/>
    <s v="Student_433"/>
    <s v="Chennai"/>
    <x v="2"/>
    <d v="2025-10-11T00:00:00"/>
    <n v="38135"/>
    <n v="24022"/>
    <s v="2025-10"/>
  </r>
  <r>
    <n v="2435"/>
    <s v="Student_434"/>
    <s v="Bangalore"/>
    <x v="5"/>
    <d v="2025-07-22T00:00:00"/>
    <n v="45351"/>
    <n v="36397"/>
    <s v="2025-07"/>
  </r>
  <r>
    <n v="2436"/>
    <s v="Student_435"/>
    <s v="Hyderabad"/>
    <x v="0"/>
    <d v="2025-09-04T00:00:00"/>
    <n v="50499"/>
    <n v="39984"/>
    <s v="2025-09"/>
  </r>
  <r>
    <n v="2437"/>
    <s v="Student_436"/>
    <s v="Bangalore"/>
    <x v="3"/>
    <d v="2025-10-17T00:00:00"/>
    <n v="43554"/>
    <n v="39409"/>
    <s v="2025-10"/>
  </r>
  <r>
    <n v="2438"/>
    <s v="Student_437"/>
    <s v="Kolkata"/>
    <x v="3"/>
    <d v="2025-09-21T00:00:00"/>
    <n v="39604"/>
    <n v="36829"/>
    <s v="2025-09"/>
  </r>
  <r>
    <n v="2439"/>
    <s v="Student_438"/>
    <s v="Pune"/>
    <x v="1"/>
    <d v="2025-08-02T00:00:00"/>
    <n v="36923"/>
    <n v="23730"/>
    <s v="2025-08"/>
  </r>
  <r>
    <n v="2440"/>
    <s v="Student_439"/>
    <s v="Bangalore"/>
    <x v="1"/>
    <d v="2025-07-19T00:00:00"/>
    <n v="28547"/>
    <n v="15696"/>
    <s v="2025-07"/>
  </r>
  <r>
    <n v="2441"/>
    <s v="Student_440"/>
    <s v="Chennai"/>
    <x v="3"/>
    <d v="2025-03-20T00:00:00"/>
    <n v="53002"/>
    <n v="39932"/>
    <s v="2025-03"/>
  </r>
  <r>
    <n v="2442"/>
    <s v="Student_441"/>
    <s v="Pune"/>
    <x v="1"/>
    <d v="2025-12-09T00:00:00"/>
    <n v="34562"/>
    <n v="27934"/>
    <s v="2025-12"/>
  </r>
  <r>
    <n v="2443"/>
    <s v="Student_442"/>
    <s v="Bangalore"/>
    <x v="5"/>
    <d v="2025-12-10T00:00:00"/>
    <n v="27480"/>
    <n v="24325"/>
    <s v="2025-12"/>
  </r>
  <r>
    <n v="2444"/>
    <s v="Student_443"/>
    <s v="Kolkata"/>
    <x v="4"/>
    <d v="2025-06-22T00:00:00"/>
    <n v="46672"/>
    <n v="42702"/>
    <s v="2025-06"/>
  </r>
  <r>
    <n v="2445"/>
    <s v="Student_444"/>
    <s v="Pune"/>
    <x v="1"/>
    <d v="2025-03-10T00:00:00"/>
    <n v="24213"/>
    <n v="16241"/>
    <s v="2025-03"/>
  </r>
  <r>
    <n v="2446"/>
    <s v="Student_445"/>
    <s v="Kolkata"/>
    <x v="2"/>
    <d v="2025-03-28T00:00:00"/>
    <n v="30293"/>
    <n v="20061"/>
    <s v="2025-03"/>
  </r>
  <r>
    <n v="2447"/>
    <s v="Student_446"/>
    <s v="Bangalore"/>
    <x v="1"/>
    <d v="2025-04-11T00:00:00"/>
    <n v="54441"/>
    <n v="40322"/>
    <s v="2025-04"/>
  </r>
  <r>
    <n v="2448"/>
    <s v="Student_447"/>
    <s v="Kolkata"/>
    <x v="0"/>
    <d v="2025-01-08T00:00:00"/>
    <n v="22100"/>
    <n v="13325"/>
    <s v="2025-01"/>
  </r>
  <r>
    <n v="2449"/>
    <s v="Student_448"/>
    <s v="Chennai"/>
    <x v="5"/>
    <d v="2025-11-29T00:00:00"/>
    <n v="48172"/>
    <n v="42757"/>
    <s v="2025-11"/>
  </r>
  <r>
    <n v="2450"/>
    <s v="Student_449"/>
    <s v="Bangalore"/>
    <x v="0"/>
    <d v="2025-07-19T00:00:00"/>
    <n v="40132"/>
    <n v="35801"/>
    <s v="2025-07"/>
  </r>
  <r>
    <n v="2451"/>
    <s v="Student_450"/>
    <s v="Bangalore"/>
    <x v="0"/>
    <d v="2025-03-28T00:00:00"/>
    <n v="38199"/>
    <n v="27904"/>
    <s v="2025-03"/>
  </r>
  <r>
    <n v="2452"/>
    <s v="Student_451"/>
    <s v="Bangalore"/>
    <x v="2"/>
    <d v="2025-02-12T00:00:00"/>
    <n v="56609"/>
    <n v="54667"/>
    <s v="2025-02"/>
  </r>
  <r>
    <n v="2453"/>
    <s v="Student_452"/>
    <s v="Hyderabad"/>
    <x v="5"/>
    <d v="2025-04-19T00:00:00"/>
    <n v="28016"/>
    <n v="15369"/>
    <s v="2025-04"/>
  </r>
  <r>
    <n v="2454"/>
    <s v="Student_453"/>
    <s v="Hyderabad"/>
    <x v="5"/>
    <d v="2025-06-01T00:00:00"/>
    <n v="59779"/>
    <n v="53753"/>
    <s v="2025-06"/>
  </r>
  <r>
    <n v="2455"/>
    <s v="Student_454"/>
    <s v="Hyderabad"/>
    <x v="5"/>
    <d v="2025-01-17T00:00:00"/>
    <n v="57261"/>
    <n v="48960"/>
    <s v="2025-01"/>
  </r>
  <r>
    <n v="2456"/>
    <s v="Student_455"/>
    <s v="Chennai"/>
    <x v="5"/>
    <d v="2025-05-13T00:00:00"/>
    <n v="51881"/>
    <n v="51690"/>
    <s v="2025-05"/>
  </r>
  <r>
    <n v="2457"/>
    <s v="Student_456"/>
    <s v="Pune"/>
    <x v="5"/>
    <d v="2025-05-28T00:00:00"/>
    <n v="37058"/>
    <n v="27963"/>
    <s v="2025-05"/>
  </r>
  <r>
    <n v="2458"/>
    <s v="Student_457"/>
    <s v="Kolkata"/>
    <x v="2"/>
    <d v="2025-10-04T00:00:00"/>
    <n v="44472"/>
    <n v="31068"/>
    <s v="2025-10"/>
  </r>
  <r>
    <n v="2459"/>
    <s v="Student_458"/>
    <s v="Delhi"/>
    <x v="1"/>
    <d v="2025-08-20T00:00:00"/>
    <n v="54926"/>
    <n v="54065"/>
    <s v="2025-08"/>
  </r>
  <r>
    <n v="2460"/>
    <s v="Student_459"/>
    <s v="Bangalore"/>
    <x v="0"/>
    <d v="2025-11-10T00:00:00"/>
    <n v="54832"/>
    <n v="48121"/>
    <s v="2025-11"/>
  </r>
  <r>
    <n v="2461"/>
    <s v="Student_460"/>
    <s v="Kolkata"/>
    <x v="5"/>
    <d v="2025-08-16T00:00:00"/>
    <n v="56021"/>
    <n v="46746"/>
    <s v="2025-08"/>
  </r>
  <r>
    <n v="2462"/>
    <s v="Student_461"/>
    <s v="Bangalore"/>
    <x v="1"/>
    <d v="2025-05-19T00:00:00"/>
    <n v="44087"/>
    <n v="43438"/>
    <s v="2025-05"/>
  </r>
  <r>
    <n v="2463"/>
    <s v="Student_462"/>
    <s v="Chennai"/>
    <x v="1"/>
    <d v="2025-07-30T00:00:00"/>
    <n v="32828"/>
    <n v="28694"/>
    <s v="2025-07"/>
  </r>
  <r>
    <n v="2464"/>
    <s v="Student_463"/>
    <s v="Bangalore"/>
    <x v="0"/>
    <d v="2025-01-28T00:00:00"/>
    <n v="51128"/>
    <n v="39325"/>
    <s v="2025-01"/>
  </r>
  <r>
    <n v="2465"/>
    <s v="Student_464"/>
    <s v="Hyderabad"/>
    <x v="2"/>
    <d v="2025-02-20T00:00:00"/>
    <n v="21401"/>
    <n v="13814"/>
    <s v="2025-02"/>
  </r>
  <r>
    <n v="2466"/>
    <s v="Student_465"/>
    <s v="Delhi"/>
    <x v="3"/>
    <d v="2025-09-18T00:00:00"/>
    <n v="39643"/>
    <n v="30815"/>
    <s v="2025-09"/>
  </r>
  <r>
    <n v="2467"/>
    <s v="Student_466"/>
    <s v="Mumbai"/>
    <x v="3"/>
    <d v="2025-09-18T00:00:00"/>
    <n v="35193"/>
    <n v="34157"/>
    <s v="2025-09"/>
  </r>
  <r>
    <n v="2468"/>
    <s v="Student_467"/>
    <s v="Bangalore"/>
    <x v="1"/>
    <d v="2025-12-16T00:00:00"/>
    <n v="46853"/>
    <n v="42722"/>
    <s v="2025-12"/>
  </r>
  <r>
    <n v="2469"/>
    <s v="Student_468"/>
    <s v="Kolkata"/>
    <x v="4"/>
    <d v="2025-12-18T00:00:00"/>
    <n v="40307"/>
    <n v="38159"/>
    <s v="2025-12"/>
  </r>
  <r>
    <n v="2470"/>
    <s v="Student_469"/>
    <s v="Hyderabad"/>
    <x v="4"/>
    <d v="2025-01-08T00:00:00"/>
    <n v="56982"/>
    <n v="44925"/>
    <s v="2025-01"/>
  </r>
  <r>
    <n v="2471"/>
    <s v="Student_470"/>
    <s v="Mumbai"/>
    <x v="0"/>
    <d v="2025-11-16T00:00:00"/>
    <n v="39611"/>
    <n v="28262"/>
    <s v="2025-11"/>
  </r>
  <r>
    <n v="2472"/>
    <s v="Student_471"/>
    <s v="Delhi"/>
    <x v="3"/>
    <d v="2025-05-18T00:00:00"/>
    <n v="31950"/>
    <n v="20171"/>
    <s v="2025-05"/>
  </r>
  <r>
    <n v="2473"/>
    <s v="Student_472"/>
    <s v="Mumbai"/>
    <x v="1"/>
    <d v="2025-02-07T00:00:00"/>
    <n v="30704"/>
    <n v="19218"/>
    <s v="2025-02"/>
  </r>
  <r>
    <n v="2474"/>
    <s v="Student_473"/>
    <s v="Hyderabad"/>
    <x v="2"/>
    <d v="2025-04-21T00:00:00"/>
    <n v="31867"/>
    <n v="26410"/>
    <s v="2025-04"/>
  </r>
  <r>
    <n v="2475"/>
    <s v="Student_474"/>
    <s v="Pune"/>
    <x v="3"/>
    <d v="2025-08-08T00:00:00"/>
    <n v="22745"/>
    <n v="16666"/>
    <s v="2025-08"/>
  </r>
  <r>
    <n v="2476"/>
    <s v="Student_475"/>
    <s v="Pune"/>
    <x v="1"/>
    <d v="2025-12-03T00:00:00"/>
    <n v="23866"/>
    <n v="11413"/>
    <s v="2025-12"/>
  </r>
  <r>
    <n v="2477"/>
    <s v="Student_476"/>
    <s v="Mumbai"/>
    <x v="1"/>
    <d v="2025-08-11T00:00:00"/>
    <n v="52245"/>
    <n v="49815"/>
    <s v="2025-08"/>
  </r>
  <r>
    <n v="2478"/>
    <s v="Student_477"/>
    <s v="Chennai"/>
    <x v="5"/>
    <d v="2025-05-16T00:00:00"/>
    <n v="25818"/>
    <n v="23939"/>
    <s v="2025-05"/>
  </r>
  <r>
    <n v="2479"/>
    <s v="Student_478"/>
    <s v="Kolkata"/>
    <x v="2"/>
    <d v="2025-09-13T00:00:00"/>
    <n v="50116"/>
    <n v="37958"/>
    <s v="2025-09"/>
  </r>
  <r>
    <n v="2480"/>
    <s v="Student_479"/>
    <s v="Kolkata"/>
    <x v="5"/>
    <d v="2025-12-26T00:00:00"/>
    <n v="35493"/>
    <n v="23588"/>
    <s v="2025-12"/>
  </r>
  <r>
    <n v="2481"/>
    <s v="Student_480"/>
    <s v="Mumbai"/>
    <x v="0"/>
    <d v="2025-11-25T00:00:00"/>
    <n v="48038"/>
    <n v="35720"/>
    <s v="2025-11"/>
  </r>
  <r>
    <n v="2482"/>
    <s v="Student_481"/>
    <s v="Bangalore"/>
    <x v="5"/>
    <d v="2025-02-18T00:00:00"/>
    <n v="40447"/>
    <n v="32905"/>
    <s v="2025-02"/>
  </r>
  <r>
    <n v="2483"/>
    <s v="Student_482"/>
    <s v="Bangalore"/>
    <x v="5"/>
    <d v="2025-10-19T00:00:00"/>
    <n v="50431"/>
    <n v="38133"/>
    <s v="2025-10"/>
  </r>
  <r>
    <n v="2484"/>
    <s v="Student_483"/>
    <s v="Kolkata"/>
    <x v="3"/>
    <d v="2025-11-20T00:00:00"/>
    <n v="37908"/>
    <n v="35897"/>
    <s v="2025-11"/>
  </r>
  <r>
    <n v="2485"/>
    <s v="Student_484"/>
    <s v="Kolkata"/>
    <x v="4"/>
    <d v="2025-03-19T00:00:00"/>
    <n v="49336"/>
    <n v="45963"/>
    <s v="2025-03"/>
  </r>
  <r>
    <n v="2486"/>
    <s v="Student_485"/>
    <s v="Pune"/>
    <x v="1"/>
    <d v="2025-04-15T00:00:00"/>
    <n v="24025"/>
    <n v="13690"/>
    <s v="2025-04"/>
  </r>
  <r>
    <n v="2487"/>
    <s v="Student_486"/>
    <s v="Chennai"/>
    <x v="2"/>
    <d v="2025-06-18T00:00:00"/>
    <n v="40093"/>
    <n v="32736"/>
    <s v="2025-06"/>
  </r>
  <r>
    <n v="2488"/>
    <s v="Student_487"/>
    <s v="Hyderabad"/>
    <x v="5"/>
    <d v="2025-08-05T00:00:00"/>
    <n v="26155"/>
    <n v="15463"/>
    <s v="2025-08"/>
  </r>
  <r>
    <n v="2489"/>
    <s v="Student_488"/>
    <s v="Bangalore"/>
    <x v="2"/>
    <d v="2025-04-29T00:00:00"/>
    <n v="53487"/>
    <n v="38960"/>
    <s v="2025-04"/>
  </r>
  <r>
    <n v="2490"/>
    <s v="Student_489"/>
    <s v="Kolkata"/>
    <x v="4"/>
    <d v="2025-07-09T00:00:00"/>
    <n v="40963"/>
    <n v="28190"/>
    <s v="2025-07"/>
  </r>
  <r>
    <n v="2491"/>
    <s v="Student_490"/>
    <s v="Pune"/>
    <x v="4"/>
    <d v="2025-09-12T00:00:00"/>
    <n v="40936"/>
    <n v="39647"/>
    <s v="2025-09"/>
  </r>
  <r>
    <n v="2492"/>
    <s v="Student_491"/>
    <s v="Delhi"/>
    <x v="5"/>
    <d v="2025-09-23T00:00:00"/>
    <n v="24426"/>
    <n v="22979"/>
    <s v="2025-09"/>
  </r>
  <r>
    <n v="2493"/>
    <s v="Student_492"/>
    <s v="Pune"/>
    <x v="0"/>
    <d v="2025-05-29T00:00:00"/>
    <n v="43303"/>
    <n v="40104"/>
    <s v="2025-05"/>
  </r>
  <r>
    <n v="2494"/>
    <s v="Student_493"/>
    <s v="Bangalore"/>
    <x v="5"/>
    <d v="2025-06-13T00:00:00"/>
    <n v="47606"/>
    <n v="41225"/>
    <s v="2025-06"/>
  </r>
  <r>
    <n v="2495"/>
    <s v="Student_494"/>
    <s v="Bangalore"/>
    <x v="3"/>
    <d v="2025-05-20T00:00:00"/>
    <n v="48151"/>
    <n v="38016"/>
    <s v="2025-05"/>
  </r>
  <r>
    <n v="2496"/>
    <s v="Student_495"/>
    <s v="Pune"/>
    <x v="1"/>
    <d v="2025-12-13T00:00:00"/>
    <n v="33767"/>
    <n v="26245"/>
    <s v="2025-12"/>
  </r>
  <r>
    <n v="2497"/>
    <s v="Student_496"/>
    <s v="Hyderabad"/>
    <x v="0"/>
    <d v="2025-09-15T00:00:00"/>
    <n v="31308"/>
    <n v="25249"/>
    <s v="2025-09"/>
  </r>
  <r>
    <n v="2498"/>
    <s v="Student_497"/>
    <s v="Mumbai"/>
    <x v="5"/>
    <d v="2025-09-26T00:00:00"/>
    <n v="44770"/>
    <n v="41587"/>
    <s v="2025-09"/>
  </r>
  <r>
    <n v="2499"/>
    <s v="Student_498"/>
    <s v="Bangalore"/>
    <x v="2"/>
    <d v="2025-06-30T00:00:00"/>
    <n v="48572"/>
    <n v="34433"/>
    <s v="2025-06"/>
  </r>
  <r>
    <n v="2500"/>
    <s v="Student_499"/>
    <s v="Pune"/>
    <x v="0"/>
    <d v="2025-06-09T00:00:00"/>
    <n v="22204"/>
    <n v="8447"/>
    <s v="2025-06"/>
  </r>
  <r>
    <n v="2501"/>
    <s v="Student_500"/>
    <s v="Kolkata"/>
    <x v="0"/>
    <d v="2025-12-17T00:00:00"/>
    <n v="47233"/>
    <n v="41771"/>
    <s v="2025-12"/>
  </r>
  <r>
    <n v="2502"/>
    <s v="Student_501"/>
    <s v="Pune"/>
    <x v="5"/>
    <d v="2025-10-15T00:00:00"/>
    <n v="41729"/>
    <n v="38513"/>
    <s v="2025-10"/>
  </r>
  <r>
    <n v="2503"/>
    <s v="Student_502"/>
    <s v="Chennai"/>
    <x v="0"/>
    <d v="2025-10-15T00:00:00"/>
    <n v="51131"/>
    <n v="47995"/>
    <s v="2025-10"/>
  </r>
  <r>
    <n v="2504"/>
    <s v="Student_503"/>
    <s v="Mumbai"/>
    <x v="2"/>
    <d v="2025-08-14T00:00:00"/>
    <n v="53870"/>
    <n v="50552"/>
    <s v="2025-08"/>
  </r>
  <r>
    <n v="2505"/>
    <s v="Student_504"/>
    <s v="Delhi"/>
    <x v="4"/>
    <d v="2025-01-11T00:00:00"/>
    <n v="58011"/>
    <n v="55229"/>
    <s v="2025-01"/>
  </r>
  <r>
    <n v="2506"/>
    <s v="Student_505"/>
    <s v="Hyderabad"/>
    <x v="0"/>
    <d v="2025-01-10T00:00:00"/>
    <n v="59382"/>
    <n v="50200"/>
    <s v="2025-01"/>
  </r>
  <r>
    <n v="2507"/>
    <s v="Student_506"/>
    <s v="Delhi"/>
    <x v="4"/>
    <d v="2025-09-28T00:00:00"/>
    <n v="41607"/>
    <n v="33950"/>
    <s v="2025-09"/>
  </r>
  <r>
    <n v="2508"/>
    <s v="Student_507"/>
    <s v="Mumbai"/>
    <x v="2"/>
    <d v="2025-09-30T00:00:00"/>
    <n v="44968"/>
    <n v="40048"/>
    <s v="2025-09"/>
  </r>
  <r>
    <n v="2509"/>
    <s v="Student_508"/>
    <s v="Mumbai"/>
    <x v="5"/>
    <d v="2025-07-02T00:00:00"/>
    <n v="53398"/>
    <n v="39648"/>
    <s v="2025-07"/>
  </r>
  <r>
    <n v="2510"/>
    <s v="Student_509"/>
    <s v="Mumbai"/>
    <x v="1"/>
    <d v="2025-06-02T00:00:00"/>
    <n v="31908"/>
    <n v="21563"/>
    <s v="2025-06"/>
  </r>
  <r>
    <n v="2511"/>
    <s v="Student_510"/>
    <s v="Delhi"/>
    <x v="0"/>
    <d v="2025-11-11T00:00:00"/>
    <n v="46423"/>
    <n v="40099"/>
    <s v="2025-11"/>
  </r>
  <r>
    <n v="2512"/>
    <s v="Student_511"/>
    <s v="Kolkata"/>
    <x v="1"/>
    <d v="2025-11-30T00:00:00"/>
    <n v="29171"/>
    <n v="22844"/>
    <s v="2025-11"/>
  </r>
  <r>
    <n v="2513"/>
    <s v="Student_512"/>
    <s v="Mumbai"/>
    <x v="2"/>
    <d v="2025-05-04T00:00:00"/>
    <n v="32721"/>
    <n v="24304"/>
    <s v="2025-05"/>
  </r>
  <r>
    <n v="2514"/>
    <s v="Student_513"/>
    <s v="Pune"/>
    <x v="0"/>
    <d v="2025-04-24T00:00:00"/>
    <n v="36616"/>
    <n v="35840"/>
    <s v="2025-04"/>
  </r>
  <r>
    <n v="2515"/>
    <s v="Student_514"/>
    <s v="Delhi"/>
    <x v="4"/>
    <d v="2025-10-05T00:00:00"/>
    <n v="58458"/>
    <n v="47429"/>
    <s v="2025-10"/>
  </r>
  <r>
    <n v="2516"/>
    <s v="Student_515"/>
    <s v="Mumbai"/>
    <x v="3"/>
    <d v="2025-08-01T00:00:00"/>
    <n v="27659"/>
    <n v="22451"/>
    <s v="2025-08"/>
  </r>
  <r>
    <n v="2517"/>
    <s v="Student_516"/>
    <s v="Pune"/>
    <x v="1"/>
    <d v="2025-06-21T00:00:00"/>
    <n v="31704"/>
    <n v="31017"/>
    <s v="2025-06"/>
  </r>
  <r>
    <n v="2518"/>
    <s v="Student_517"/>
    <s v="Kolkata"/>
    <x v="0"/>
    <d v="2025-10-15T00:00:00"/>
    <n v="52793"/>
    <n v="52264"/>
    <s v="2025-10"/>
  </r>
  <r>
    <n v="2519"/>
    <s v="Student_518"/>
    <s v="Chennai"/>
    <x v="1"/>
    <d v="2025-06-23T00:00:00"/>
    <n v="51226"/>
    <n v="39592"/>
    <s v="2025-06"/>
  </r>
  <r>
    <n v="2520"/>
    <s v="Student_519"/>
    <s v="Kolkata"/>
    <x v="0"/>
    <d v="2025-04-23T00:00:00"/>
    <n v="43852"/>
    <n v="38785"/>
    <s v="2025-04"/>
  </r>
  <r>
    <n v="2521"/>
    <s v="Student_520"/>
    <s v="Mumbai"/>
    <x v="5"/>
    <d v="2025-05-02T00:00:00"/>
    <n v="52082"/>
    <n v="38859"/>
    <s v="2025-05"/>
  </r>
  <r>
    <n v="2522"/>
    <s v="Student_521"/>
    <s v="Delhi"/>
    <x v="4"/>
    <d v="2025-02-01T00:00:00"/>
    <n v="42794"/>
    <n v="34714"/>
    <s v="2025-02"/>
  </r>
  <r>
    <n v="2523"/>
    <s v="Student_522"/>
    <s v="Bangalore"/>
    <x v="1"/>
    <d v="2025-08-10T00:00:00"/>
    <n v="33379"/>
    <n v="27861"/>
    <s v="2025-08"/>
  </r>
  <r>
    <n v="2524"/>
    <s v="Student_523"/>
    <s v="Mumbai"/>
    <x v="3"/>
    <d v="2025-04-29T00:00:00"/>
    <n v="27006"/>
    <n v="24853"/>
    <s v="2025-04"/>
  </r>
  <r>
    <n v="2525"/>
    <s v="Student_524"/>
    <s v="Bangalore"/>
    <x v="3"/>
    <d v="2025-02-08T00:00:00"/>
    <n v="28682"/>
    <n v="19196"/>
    <s v="2025-02"/>
  </r>
  <r>
    <n v="2526"/>
    <s v="Student_525"/>
    <s v="Pune"/>
    <x v="2"/>
    <d v="2025-09-25T00:00:00"/>
    <n v="53840"/>
    <n v="47746"/>
    <s v="2025-09"/>
  </r>
  <r>
    <n v="2527"/>
    <s v="Student_526"/>
    <s v="Chennai"/>
    <x v="0"/>
    <d v="2025-08-21T00:00:00"/>
    <n v="52430"/>
    <n v="45456"/>
    <s v="2025-08"/>
  </r>
  <r>
    <n v="2528"/>
    <s v="Student_527"/>
    <s v="Hyderabad"/>
    <x v="1"/>
    <d v="2025-01-18T00:00:00"/>
    <n v="43091"/>
    <n v="33373"/>
    <s v="2025-01"/>
  </r>
  <r>
    <n v="2529"/>
    <s v="Student_528"/>
    <s v="Kolkata"/>
    <x v="2"/>
    <d v="2025-05-29T00:00:00"/>
    <n v="52983"/>
    <n v="48209"/>
    <s v="2025-05"/>
  </r>
  <r>
    <n v="2530"/>
    <s v="Student_529"/>
    <s v="Chennai"/>
    <x v="1"/>
    <d v="2025-05-29T00:00:00"/>
    <n v="43989"/>
    <n v="36297"/>
    <s v="2025-05"/>
  </r>
  <r>
    <n v="2531"/>
    <s v="Student_530"/>
    <s v="Mumbai"/>
    <x v="0"/>
    <d v="2025-05-06T00:00:00"/>
    <n v="29915"/>
    <n v="18827"/>
    <s v="2025-05"/>
  </r>
  <r>
    <n v="2532"/>
    <s v="Student_531"/>
    <s v="Bangalore"/>
    <x v="3"/>
    <d v="2025-10-29T00:00:00"/>
    <n v="38990"/>
    <n v="35887"/>
    <s v="2025-10"/>
  </r>
  <r>
    <n v="2533"/>
    <s v="Student_532"/>
    <s v="Kolkata"/>
    <x v="5"/>
    <d v="2025-12-26T00:00:00"/>
    <n v="44734"/>
    <n v="42294"/>
    <s v="2025-12"/>
  </r>
  <r>
    <n v="2534"/>
    <s v="Student_533"/>
    <s v="Bangalore"/>
    <x v="3"/>
    <d v="2025-08-26T00:00:00"/>
    <n v="34824"/>
    <n v="30689"/>
    <s v="2025-08"/>
  </r>
  <r>
    <n v="2535"/>
    <s v="Student_534"/>
    <s v="Delhi"/>
    <x v="2"/>
    <d v="2025-05-15T00:00:00"/>
    <n v="56081"/>
    <n v="41086"/>
    <s v="2025-05"/>
  </r>
  <r>
    <n v="2536"/>
    <s v="Student_535"/>
    <s v="Bangalore"/>
    <x v="4"/>
    <d v="2025-05-31T00:00:00"/>
    <n v="31033"/>
    <n v="19039"/>
    <s v="2025-05"/>
  </r>
  <r>
    <n v="2537"/>
    <s v="Student_536"/>
    <s v="Delhi"/>
    <x v="5"/>
    <d v="2025-08-24T00:00:00"/>
    <n v="36241"/>
    <n v="29117"/>
    <s v="2025-08"/>
  </r>
  <r>
    <n v="2538"/>
    <s v="Student_537"/>
    <s v="Pune"/>
    <x v="2"/>
    <d v="2025-08-12T00:00:00"/>
    <n v="25939"/>
    <n v="20738"/>
    <s v="2025-08"/>
  </r>
  <r>
    <n v="2539"/>
    <s v="Student_538"/>
    <s v="Kolkata"/>
    <x v="0"/>
    <d v="2025-07-22T00:00:00"/>
    <n v="55063"/>
    <n v="54219"/>
    <s v="2025-07"/>
  </r>
  <r>
    <n v="2540"/>
    <s v="Student_539"/>
    <s v="Kolkata"/>
    <x v="5"/>
    <d v="2025-09-13T00:00:00"/>
    <n v="54464"/>
    <n v="40433"/>
    <s v="2025-09"/>
  </r>
  <r>
    <n v="2541"/>
    <s v="Student_540"/>
    <s v="Hyderabad"/>
    <x v="2"/>
    <d v="2025-03-27T00:00:00"/>
    <n v="31185"/>
    <n v="16649"/>
    <s v="2025-03"/>
  </r>
  <r>
    <n v="2542"/>
    <s v="Student_541"/>
    <s v="Mumbai"/>
    <x v="0"/>
    <d v="2025-05-30T00:00:00"/>
    <n v="47045"/>
    <n v="46599"/>
    <s v="2025-05"/>
  </r>
  <r>
    <n v="2543"/>
    <s v="Student_542"/>
    <s v="Delhi"/>
    <x v="3"/>
    <d v="2025-08-23T00:00:00"/>
    <n v="39167"/>
    <n v="35252"/>
    <s v="2025-08"/>
  </r>
  <r>
    <n v="2544"/>
    <s v="Student_543"/>
    <s v="Hyderabad"/>
    <x v="4"/>
    <d v="2025-12-11T00:00:00"/>
    <n v="56412"/>
    <n v="53303"/>
    <s v="2025-12"/>
  </r>
  <r>
    <n v="2545"/>
    <s v="Student_544"/>
    <s v="Bangalore"/>
    <x v="0"/>
    <d v="2025-01-22T00:00:00"/>
    <n v="41625"/>
    <n v="40391"/>
    <s v="2025-01"/>
  </r>
  <r>
    <n v="2546"/>
    <s v="Student_545"/>
    <s v="Bangalore"/>
    <x v="1"/>
    <d v="2025-12-14T00:00:00"/>
    <n v="59188"/>
    <n v="52601"/>
    <s v="2025-12"/>
  </r>
  <r>
    <n v="2547"/>
    <s v="Student_546"/>
    <s v="Hyderabad"/>
    <x v="0"/>
    <d v="2025-10-12T00:00:00"/>
    <n v="47076"/>
    <n v="33438"/>
    <s v="2025-10"/>
  </r>
  <r>
    <n v="2548"/>
    <s v="Student_547"/>
    <s v="Kolkata"/>
    <x v="0"/>
    <d v="2025-09-26T00:00:00"/>
    <n v="39029"/>
    <n v="38803"/>
    <s v="2025-09"/>
  </r>
  <r>
    <n v="2549"/>
    <s v="Student_548"/>
    <s v="Bangalore"/>
    <x v="4"/>
    <d v="2025-09-15T00:00:00"/>
    <n v="42973"/>
    <n v="38830"/>
    <s v="2025-09"/>
  </r>
  <r>
    <n v="2550"/>
    <s v="Student_549"/>
    <s v="Pune"/>
    <x v="1"/>
    <d v="2025-01-29T00:00:00"/>
    <n v="59121"/>
    <n v="51936"/>
    <s v="2025-01"/>
  </r>
  <r>
    <n v="2551"/>
    <s v="Student_550"/>
    <s v="Pune"/>
    <x v="2"/>
    <d v="2025-08-01T00:00:00"/>
    <n v="51433"/>
    <n v="40282"/>
    <s v="2025-08"/>
  </r>
  <r>
    <n v="2552"/>
    <s v="Student_551"/>
    <s v="Hyderabad"/>
    <x v="2"/>
    <d v="2025-10-10T00:00:00"/>
    <n v="21932"/>
    <n v="16374"/>
    <s v="2025-10"/>
  </r>
  <r>
    <n v="2553"/>
    <s v="Student_552"/>
    <s v="Delhi"/>
    <x v="0"/>
    <d v="2025-02-19T00:00:00"/>
    <n v="21757"/>
    <n v="11735"/>
    <s v="2025-02"/>
  </r>
  <r>
    <n v="2554"/>
    <s v="Student_553"/>
    <s v="Delhi"/>
    <x v="1"/>
    <d v="2025-04-05T00:00:00"/>
    <n v="50722"/>
    <n v="38751"/>
    <s v="2025-04"/>
  </r>
  <r>
    <n v="2555"/>
    <s v="Student_554"/>
    <s v="Hyderabad"/>
    <x v="1"/>
    <d v="2025-03-29T00:00:00"/>
    <n v="57853"/>
    <n v="57667"/>
    <s v="2025-03"/>
  </r>
  <r>
    <n v="2556"/>
    <s v="Student_555"/>
    <s v="Delhi"/>
    <x v="4"/>
    <d v="2025-02-13T00:00:00"/>
    <n v="58405"/>
    <n v="43725"/>
    <s v="2025-02"/>
  </r>
  <r>
    <n v="2557"/>
    <s v="Student_556"/>
    <s v="Kolkata"/>
    <x v="3"/>
    <d v="2025-10-05T00:00:00"/>
    <n v="21116"/>
    <n v="6557"/>
    <s v="2025-10"/>
  </r>
  <r>
    <n v="2558"/>
    <s v="Student_557"/>
    <s v="Kolkata"/>
    <x v="2"/>
    <d v="2025-06-20T00:00:00"/>
    <n v="31691"/>
    <n v="20622"/>
    <s v="2025-06"/>
  </r>
  <r>
    <n v="2559"/>
    <s v="Student_558"/>
    <s v="Delhi"/>
    <x v="4"/>
    <d v="2025-07-08T00:00:00"/>
    <n v="20492"/>
    <n v="17957"/>
    <s v="2025-07"/>
  </r>
  <r>
    <n v="2560"/>
    <s v="Student_559"/>
    <s v="Pune"/>
    <x v="5"/>
    <d v="2025-12-19T00:00:00"/>
    <n v="47882"/>
    <n v="45950"/>
    <s v="2025-12"/>
  </r>
  <r>
    <n v="2561"/>
    <s v="Student_560"/>
    <s v="Delhi"/>
    <x v="2"/>
    <d v="2025-07-03T00:00:00"/>
    <n v="28811"/>
    <n v="17695"/>
    <s v="2025-07"/>
  </r>
  <r>
    <n v="2562"/>
    <s v="Student_561"/>
    <s v="Kolkata"/>
    <x v="4"/>
    <d v="2025-01-03T00:00:00"/>
    <n v="47808"/>
    <n v="38768"/>
    <s v="2025-01"/>
  </r>
  <r>
    <n v="2563"/>
    <s v="Student_562"/>
    <s v="Chennai"/>
    <x v="2"/>
    <d v="2025-07-10T00:00:00"/>
    <n v="44272"/>
    <n v="42240"/>
    <s v="2025-07"/>
  </r>
  <r>
    <n v="2564"/>
    <s v="Student_563"/>
    <s v="Mumbai"/>
    <x v="3"/>
    <d v="2025-04-28T00:00:00"/>
    <n v="48399"/>
    <n v="47147"/>
    <s v="2025-04"/>
  </r>
  <r>
    <n v="2565"/>
    <s v="Student_564"/>
    <s v="Bangalore"/>
    <x v="5"/>
    <d v="2025-01-19T00:00:00"/>
    <n v="26474"/>
    <n v="20965"/>
    <s v="2025-01"/>
  </r>
  <r>
    <n v="2566"/>
    <s v="Student_565"/>
    <s v="Chennai"/>
    <x v="3"/>
    <d v="2025-01-23T00:00:00"/>
    <n v="46956"/>
    <n v="41882"/>
    <s v="2025-01"/>
  </r>
  <r>
    <n v="2567"/>
    <s v="Student_566"/>
    <s v="Delhi"/>
    <x v="5"/>
    <d v="2025-01-30T00:00:00"/>
    <n v="33979"/>
    <n v="20079"/>
    <s v="2025-01"/>
  </r>
  <r>
    <n v="2568"/>
    <s v="Student_567"/>
    <s v="Pune"/>
    <x v="0"/>
    <d v="2025-10-22T00:00:00"/>
    <n v="48328"/>
    <n v="35024"/>
    <s v="2025-10"/>
  </r>
  <r>
    <n v="2569"/>
    <s v="Student_568"/>
    <s v="Hyderabad"/>
    <x v="4"/>
    <d v="2025-04-18T00:00:00"/>
    <n v="32867"/>
    <n v="18344"/>
    <s v="2025-04"/>
  </r>
  <r>
    <n v="2570"/>
    <s v="Student_569"/>
    <s v="Delhi"/>
    <x v="5"/>
    <d v="2025-10-08T00:00:00"/>
    <n v="45851"/>
    <n v="43970"/>
    <s v="2025-10"/>
  </r>
  <r>
    <n v="2571"/>
    <s v="Student_570"/>
    <s v="Pune"/>
    <x v="3"/>
    <d v="2025-05-08T00:00:00"/>
    <n v="51279"/>
    <n v="51010"/>
    <s v="2025-05"/>
  </r>
  <r>
    <n v="2572"/>
    <s v="Student_571"/>
    <s v="Mumbai"/>
    <x v="2"/>
    <d v="2025-08-17T00:00:00"/>
    <n v="50527"/>
    <n v="48897"/>
    <s v="2025-08"/>
  </r>
  <r>
    <n v="2573"/>
    <s v="Student_572"/>
    <s v="Delhi"/>
    <x v="5"/>
    <d v="2025-04-21T00:00:00"/>
    <n v="27866"/>
    <n v="23461"/>
    <s v="2025-04"/>
  </r>
  <r>
    <n v="2574"/>
    <s v="Student_573"/>
    <s v="Kolkata"/>
    <x v="4"/>
    <d v="2025-05-16T00:00:00"/>
    <n v="35449"/>
    <n v="24054"/>
    <s v="2025-05"/>
  </r>
  <r>
    <n v="2575"/>
    <s v="Student_574"/>
    <s v="Hyderabad"/>
    <x v="5"/>
    <d v="2025-12-28T00:00:00"/>
    <n v="30685"/>
    <n v="24546"/>
    <s v="2025-12"/>
  </r>
  <r>
    <n v="2576"/>
    <s v="Student_575"/>
    <s v="Pune"/>
    <x v="1"/>
    <d v="2025-07-05T00:00:00"/>
    <n v="43544"/>
    <n v="41970"/>
    <s v="2025-07"/>
  </r>
  <r>
    <n v="2577"/>
    <s v="Student_576"/>
    <s v="Pune"/>
    <x v="2"/>
    <d v="2025-05-24T00:00:00"/>
    <n v="25451"/>
    <n v="12068"/>
    <s v="2025-05"/>
  </r>
  <r>
    <n v="2578"/>
    <s v="Student_577"/>
    <s v="Pune"/>
    <x v="4"/>
    <d v="2025-03-13T00:00:00"/>
    <n v="41642"/>
    <n v="30558"/>
    <s v="2025-03"/>
  </r>
  <r>
    <n v="2579"/>
    <s v="Student_578"/>
    <s v="Mumbai"/>
    <x v="4"/>
    <d v="2025-05-09T00:00:00"/>
    <n v="59954"/>
    <n v="58259"/>
    <s v="2025-05"/>
  </r>
  <r>
    <n v="2580"/>
    <s v="Student_579"/>
    <s v="Delhi"/>
    <x v="0"/>
    <d v="2025-12-30T00:00:00"/>
    <n v="58870"/>
    <n v="55612"/>
    <s v="2025-12"/>
  </r>
  <r>
    <n v="2581"/>
    <s v="Student_580"/>
    <s v="Mumbai"/>
    <x v="3"/>
    <d v="2025-09-18T00:00:00"/>
    <n v="51030"/>
    <n v="36209"/>
    <s v="2025-09"/>
  </r>
  <r>
    <n v="2582"/>
    <s v="Student_581"/>
    <s v="Bangalore"/>
    <x v="0"/>
    <d v="2025-01-03T00:00:00"/>
    <n v="50873"/>
    <n v="47611"/>
    <s v="2025-01"/>
  </r>
  <r>
    <n v="2583"/>
    <s v="Student_582"/>
    <s v="Bangalore"/>
    <x v="4"/>
    <d v="2025-04-14T00:00:00"/>
    <n v="20619"/>
    <n v="19174"/>
    <s v="2025-04"/>
  </r>
  <r>
    <n v="2584"/>
    <s v="Student_583"/>
    <s v="Delhi"/>
    <x v="2"/>
    <d v="2025-08-12T00:00:00"/>
    <n v="53650"/>
    <n v="47387"/>
    <s v="2025-08"/>
  </r>
  <r>
    <n v="2585"/>
    <s v="Student_584"/>
    <s v="Kolkata"/>
    <x v="5"/>
    <d v="2025-11-16T00:00:00"/>
    <n v="45372"/>
    <n v="36961"/>
    <s v="2025-11"/>
  </r>
  <r>
    <n v="2586"/>
    <s v="Student_585"/>
    <s v="Mumbai"/>
    <x v="5"/>
    <d v="2025-12-28T00:00:00"/>
    <n v="23642"/>
    <n v="23590"/>
    <s v="2025-12"/>
  </r>
  <r>
    <n v="2587"/>
    <s v="Student_586"/>
    <s v="Hyderabad"/>
    <x v="2"/>
    <d v="2025-12-20T00:00:00"/>
    <n v="48001"/>
    <n v="38052"/>
    <s v="2025-12"/>
  </r>
  <r>
    <n v="2588"/>
    <s v="Student_587"/>
    <s v="Pune"/>
    <x v="4"/>
    <d v="2025-01-10T00:00:00"/>
    <n v="54064"/>
    <n v="48494"/>
    <s v="2025-01"/>
  </r>
  <r>
    <n v="2589"/>
    <s v="Student_588"/>
    <s v="Pune"/>
    <x v="5"/>
    <d v="2025-10-29T00:00:00"/>
    <n v="49290"/>
    <n v="41711"/>
    <s v="2025-10"/>
  </r>
  <r>
    <n v="2590"/>
    <s v="Student_589"/>
    <s v="Delhi"/>
    <x v="5"/>
    <d v="2025-08-19T00:00:00"/>
    <n v="34122"/>
    <n v="32456"/>
    <s v="2025-08"/>
  </r>
  <r>
    <n v="2591"/>
    <s v="Student_590"/>
    <s v="Kolkata"/>
    <x v="5"/>
    <d v="2025-08-07T00:00:00"/>
    <n v="44820"/>
    <n v="31272"/>
    <s v="2025-08"/>
  </r>
  <r>
    <n v="2592"/>
    <s v="Student_591"/>
    <s v="Bangalore"/>
    <x v="3"/>
    <d v="2025-03-07T00:00:00"/>
    <n v="22895"/>
    <n v="15994"/>
    <s v="2025-03"/>
  </r>
  <r>
    <n v="2593"/>
    <s v="Student_592"/>
    <s v="Bangalore"/>
    <x v="3"/>
    <d v="2025-04-22T00:00:00"/>
    <n v="25366"/>
    <n v="22581"/>
    <s v="2025-04"/>
  </r>
  <r>
    <n v="2594"/>
    <s v="Student_593"/>
    <s v="Pune"/>
    <x v="1"/>
    <d v="2025-01-13T00:00:00"/>
    <n v="28711"/>
    <n v="27992"/>
    <s v="2025-01"/>
  </r>
  <r>
    <n v="2595"/>
    <s v="Student_594"/>
    <s v="Delhi"/>
    <x v="0"/>
    <d v="2025-03-27T00:00:00"/>
    <n v="39596"/>
    <n v="30999"/>
    <s v="2025-03"/>
  </r>
  <r>
    <n v="2596"/>
    <s v="Student_595"/>
    <s v="Mumbai"/>
    <x v="2"/>
    <d v="2025-08-22T00:00:00"/>
    <n v="38793"/>
    <n v="23850"/>
    <s v="2025-08"/>
  </r>
  <r>
    <n v="2597"/>
    <s v="Student_596"/>
    <s v="Bangalore"/>
    <x v="2"/>
    <d v="2025-03-31T00:00:00"/>
    <n v="28199"/>
    <n v="13442"/>
    <s v="2025-03"/>
  </r>
  <r>
    <n v="2598"/>
    <s v="Student_597"/>
    <s v="Mumbai"/>
    <x v="2"/>
    <d v="2025-11-10T00:00:00"/>
    <n v="30717"/>
    <n v="23862"/>
    <s v="2025-11"/>
  </r>
  <r>
    <n v="2599"/>
    <s v="Student_598"/>
    <s v="Kolkata"/>
    <x v="1"/>
    <d v="2025-02-23T00:00:00"/>
    <n v="56191"/>
    <n v="53897"/>
    <s v="2025-02"/>
  </r>
  <r>
    <n v="2600"/>
    <s v="Student_599"/>
    <s v="Bangalore"/>
    <x v="3"/>
    <d v="2025-01-12T00:00:00"/>
    <n v="30211"/>
    <n v="21948"/>
    <s v="2025-01"/>
  </r>
  <r>
    <n v="2601"/>
    <s v="Student_600"/>
    <s v="Bangalore"/>
    <x v="4"/>
    <d v="2025-07-28T00:00:00"/>
    <n v="43360"/>
    <n v="29219"/>
    <s v="2025-07"/>
  </r>
  <r>
    <n v="2602"/>
    <s v="Student_601"/>
    <s v="Chennai"/>
    <x v="4"/>
    <d v="2025-01-14T00:00:00"/>
    <n v="41542"/>
    <n v="27022"/>
    <s v="2025-01"/>
  </r>
  <r>
    <n v="2603"/>
    <s v="Student_602"/>
    <s v="Bangalore"/>
    <x v="1"/>
    <d v="2025-05-01T00:00:00"/>
    <n v="51312"/>
    <n v="41067"/>
    <s v="2025-05"/>
  </r>
  <r>
    <n v="2604"/>
    <s v="Student_603"/>
    <s v="Hyderabad"/>
    <x v="4"/>
    <d v="2025-01-20T00:00:00"/>
    <n v="56435"/>
    <n v="47014"/>
    <s v="2025-01"/>
  </r>
  <r>
    <n v="2605"/>
    <s v="Student_604"/>
    <s v="Delhi"/>
    <x v="2"/>
    <d v="2025-03-16T00:00:00"/>
    <n v="48247"/>
    <n v="38488"/>
    <s v="2025-03"/>
  </r>
  <r>
    <n v="2606"/>
    <s v="Student_605"/>
    <s v="Delhi"/>
    <x v="0"/>
    <d v="2025-08-31T00:00:00"/>
    <n v="42357"/>
    <n v="30483"/>
    <s v="2025-08"/>
  </r>
  <r>
    <n v="2607"/>
    <s v="Student_606"/>
    <s v="Mumbai"/>
    <x v="5"/>
    <d v="2025-08-11T00:00:00"/>
    <n v="47691"/>
    <n v="36546"/>
    <s v="2025-08"/>
  </r>
  <r>
    <n v="2608"/>
    <s v="Student_607"/>
    <s v="Kolkata"/>
    <x v="3"/>
    <d v="2025-03-11T00:00:00"/>
    <n v="32424"/>
    <n v="27942"/>
    <s v="2025-03"/>
  </r>
  <r>
    <n v="2609"/>
    <s v="Student_608"/>
    <s v="Bangalore"/>
    <x v="3"/>
    <d v="2025-11-08T00:00:00"/>
    <n v="38852"/>
    <n v="24773"/>
    <s v="2025-11"/>
  </r>
  <r>
    <n v="2610"/>
    <s v="Student_609"/>
    <s v="Hyderabad"/>
    <x v="1"/>
    <d v="2025-07-30T00:00:00"/>
    <n v="42601"/>
    <n v="41903"/>
    <s v="2025-07"/>
  </r>
  <r>
    <n v="2611"/>
    <s v="Student_610"/>
    <s v="Mumbai"/>
    <x v="3"/>
    <d v="2025-04-11T00:00:00"/>
    <n v="38020"/>
    <n v="30777"/>
    <s v="2025-04"/>
  </r>
  <r>
    <n v="2612"/>
    <s v="Student_611"/>
    <s v="Chennai"/>
    <x v="2"/>
    <d v="2025-07-05T00:00:00"/>
    <n v="28155"/>
    <n v="14667"/>
    <s v="2025-07"/>
  </r>
  <r>
    <n v="2613"/>
    <s v="Student_612"/>
    <s v="Mumbai"/>
    <x v="4"/>
    <d v="2025-05-12T00:00:00"/>
    <n v="23583"/>
    <n v="14565"/>
    <s v="2025-05"/>
  </r>
  <r>
    <n v="2614"/>
    <s v="Student_613"/>
    <s v="Mumbai"/>
    <x v="2"/>
    <d v="2025-04-21T00:00:00"/>
    <n v="35515"/>
    <n v="29597"/>
    <s v="2025-04"/>
  </r>
  <r>
    <n v="2615"/>
    <s v="Student_614"/>
    <s v="Bangalore"/>
    <x v="1"/>
    <d v="2025-05-12T00:00:00"/>
    <n v="56777"/>
    <n v="56429"/>
    <s v="2025-05"/>
  </r>
  <r>
    <n v="2616"/>
    <s v="Student_615"/>
    <s v="Chennai"/>
    <x v="2"/>
    <d v="2025-01-20T00:00:00"/>
    <n v="39710"/>
    <n v="34336"/>
    <s v="2025-01"/>
  </r>
  <r>
    <n v="2617"/>
    <s v="Student_616"/>
    <s v="Mumbai"/>
    <x v="4"/>
    <d v="2025-01-24T00:00:00"/>
    <n v="44532"/>
    <n v="32432"/>
    <s v="2025-01"/>
  </r>
  <r>
    <n v="2618"/>
    <s v="Student_617"/>
    <s v="Hyderabad"/>
    <x v="0"/>
    <d v="2025-08-15T00:00:00"/>
    <n v="38601"/>
    <n v="30732"/>
    <s v="2025-08"/>
  </r>
  <r>
    <n v="2619"/>
    <s v="Student_618"/>
    <s v="Hyderabad"/>
    <x v="1"/>
    <d v="2025-06-03T00:00:00"/>
    <n v="24967"/>
    <n v="24660"/>
    <s v="2025-06"/>
  </r>
  <r>
    <n v="2620"/>
    <s v="Student_619"/>
    <s v="Delhi"/>
    <x v="0"/>
    <d v="2025-10-20T00:00:00"/>
    <n v="38753"/>
    <n v="35337"/>
    <s v="2025-10"/>
  </r>
  <r>
    <n v="2621"/>
    <s v="Student_620"/>
    <s v="Chennai"/>
    <x v="5"/>
    <d v="2025-08-18T00:00:00"/>
    <n v="40022"/>
    <n v="26584"/>
    <s v="2025-08"/>
  </r>
  <r>
    <n v="2622"/>
    <s v="Student_621"/>
    <s v="Chennai"/>
    <x v="0"/>
    <d v="2025-11-06T00:00:00"/>
    <n v="29135"/>
    <n v="14887"/>
    <s v="2025-11"/>
  </r>
  <r>
    <n v="2623"/>
    <s v="Student_622"/>
    <s v="Delhi"/>
    <x v="5"/>
    <d v="2025-12-25T00:00:00"/>
    <n v="25722"/>
    <n v="15196"/>
    <s v="2025-12"/>
  </r>
  <r>
    <n v="2624"/>
    <s v="Student_623"/>
    <s v="Mumbai"/>
    <x v="5"/>
    <d v="2025-07-21T00:00:00"/>
    <n v="47413"/>
    <n v="34360"/>
    <s v="2025-07"/>
  </r>
  <r>
    <n v="2625"/>
    <s v="Student_624"/>
    <s v="Chennai"/>
    <x v="0"/>
    <d v="2025-02-07T00:00:00"/>
    <n v="47236"/>
    <n v="42416"/>
    <s v="2025-02"/>
  </r>
  <r>
    <n v="2626"/>
    <s v="Student_625"/>
    <s v="Hyderabad"/>
    <x v="1"/>
    <d v="2025-09-17T00:00:00"/>
    <n v="35514"/>
    <n v="24513"/>
    <s v="2025-09"/>
  </r>
  <r>
    <n v="2627"/>
    <s v="Student_626"/>
    <s v="Hyderabad"/>
    <x v="4"/>
    <d v="2025-07-07T00:00:00"/>
    <n v="57212"/>
    <n v="43305"/>
    <s v="2025-07"/>
  </r>
  <r>
    <n v="2628"/>
    <s v="Student_627"/>
    <s v="Bangalore"/>
    <x v="2"/>
    <d v="2025-02-26T00:00:00"/>
    <n v="40331"/>
    <n v="36773"/>
    <s v="2025-02"/>
  </r>
  <r>
    <n v="2629"/>
    <s v="Student_628"/>
    <s v="Chennai"/>
    <x v="2"/>
    <d v="2025-01-20T00:00:00"/>
    <n v="38060"/>
    <n v="33582"/>
    <s v="2025-01"/>
  </r>
  <r>
    <n v="2630"/>
    <s v="Student_629"/>
    <s v="Mumbai"/>
    <x v="4"/>
    <d v="2025-09-30T00:00:00"/>
    <n v="21196"/>
    <n v="9527"/>
    <s v="2025-09"/>
  </r>
  <r>
    <n v="2631"/>
    <s v="Student_630"/>
    <s v="Delhi"/>
    <x v="5"/>
    <d v="2025-04-29T00:00:00"/>
    <n v="32297"/>
    <n v="25766"/>
    <s v="2025-04"/>
  </r>
  <r>
    <n v="2632"/>
    <s v="Student_631"/>
    <s v="Delhi"/>
    <x v="5"/>
    <d v="2025-03-12T00:00:00"/>
    <n v="22787"/>
    <n v="18167"/>
    <s v="2025-03"/>
  </r>
  <r>
    <n v="2633"/>
    <s v="Student_632"/>
    <s v="Mumbai"/>
    <x v="1"/>
    <d v="2025-01-04T00:00:00"/>
    <n v="43816"/>
    <n v="32938"/>
    <s v="2025-01"/>
  </r>
  <r>
    <n v="2634"/>
    <s v="Student_633"/>
    <s v="Kolkata"/>
    <x v="3"/>
    <d v="2025-08-09T00:00:00"/>
    <n v="39702"/>
    <n v="36717"/>
    <s v="2025-08"/>
  </r>
  <r>
    <n v="2635"/>
    <s v="Student_634"/>
    <s v="Pune"/>
    <x v="0"/>
    <d v="2025-01-14T00:00:00"/>
    <n v="45242"/>
    <n v="37130"/>
    <s v="2025-01"/>
  </r>
  <r>
    <n v="2636"/>
    <s v="Student_635"/>
    <s v="Bangalore"/>
    <x v="5"/>
    <d v="2025-01-03T00:00:00"/>
    <n v="22176"/>
    <n v="13709"/>
    <s v="2025-01"/>
  </r>
  <r>
    <n v="2637"/>
    <s v="Student_636"/>
    <s v="Delhi"/>
    <x v="2"/>
    <d v="2025-08-04T00:00:00"/>
    <n v="40127"/>
    <n v="37580"/>
    <s v="2025-08"/>
  </r>
  <r>
    <n v="2638"/>
    <s v="Student_637"/>
    <s v="Chennai"/>
    <x v="1"/>
    <d v="2025-08-17T00:00:00"/>
    <n v="47228"/>
    <n v="36272"/>
    <s v="2025-08"/>
  </r>
  <r>
    <n v="2639"/>
    <s v="Student_638"/>
    <s v="Bangalore"/>
    <x v="0"/>
    <d v="2025-12-02T00:00:00"/>
    <n v="40208"/>
    <n v="39872"/>
    <s v="2025-12"/>
  </r>
  <r>
    <n v="2640"/>
    <s v="Student_639"/>
    <s v="Chennai"/>
    <x v="1"/>
    <d v="2025-07-05T00:00:00"/>
    <n v="48482"/>
    <n v="38317"/>
    <s v="2025-07"/>
  </r>
  <r>
    <n v="2641"/>
    <s v="Student_640"/>
    <s v="Kolkata"/>
    <x v="0"/>
    <d v="2025-02-24T00:00:00"/>
    <n v="29171"/>
    <n v="26192"/>
    <s v="2025-02"/>
  </r>
  <r>
    <n v="2642"/>
    <s v="Student_641"/>
    <s v="Hyderabad"/>
    <x v="0"/>
    <d v="2025-09-11T00:00:00"/>
    <n v="55219"/>
    <n v="42451"/>
    <s v="2025-09"/>
  </r>
  <r>
    <n v="2643"/>
    <s v="Student_642"/>
    <s v="Bangalore"/>
    <x v="4"/>
    <d v="2025-01-24T00:00:00"/>
    <n v="53396"/>
    <n v="49428"/>
    <s v="2025-01"/>
  </r>
  <r>
    <n v="2644"/>
    <s v="Student_643"/>
    <s v="Delhi"/>
    <x v="5"/>
    <d v="2025-06-11T00:00:00"/>
    <n v="23696"/>
    <n v="22786"/>
    <s v="2025-06"/>
  </r>
  <r>
    <n v="2645"/>
    <s v="Student_644"/>
    <s v="Bangalore"/>
    <x v="1"/>
    <d v="2025-06-07T00:00:00"/>
    <n v="40058"/>
    <n v="38062"/>
    <s v="2025-06"/>
  </r>
  <r>
    <n v="2646"/>
    <s v="Student_645"/>
    <s v="Bangalore"/>
    <x v="1"/>
    <d v="2025-03-23T00:00:00"/>
    <n v="40313"/>
    <n v="37184"/>
    <s v="2025-03"/>
  </r>
  <r>
    <n v="2647"/>
    <s v="Student_646"/>
    <s v="Bangalore"/>
    <x v="4"/>
    <d v="2025-06-08T00:00:00"/>
    <n v="39149"/>
    <n v="33702"/>
    <s v="2025-06"/>
  </r>
  <r>
    <n v="2648"/>
    <s v="Student_647"/>
    <s v="Pune"/>
    <x v="2"/>
    <d v="2025-07-07T00:00:00"/>
    <n v="24956"/>
    <n v="18827"/>
    <s v="2025-07"/>
  </r>
  <r>
    <n v="2649"/>
    <s v="Student_648"/>
    <s v="Bangalore"/>
    <x v="2"/>
    <d v="2025-03-01T00:00:00"/>
    <n v="30195"/>
    <n v="24345"/>
    <s v="2025-03"/>
  </r>
  <r>
    <n v="2650"/>
    <s v="Student_649"/>
    <s v="Chennai"/>
    <x v="5"/>
    <d v="2025-11-01T00:00:00"/>
    <n v="37076"/>
    <n v="32872"/>
    <s v="2025-11"/>
  </r>
  <r>
    <n v="2651"/>
    <s v="Student_650"/>
    <s v="Hyderabad"/>
    <x v="5"/>
    <d v="2025-11-15T00:00:00"/>
    <n v="21105"/>
    <n v="13659"/>
    <s v="2025-11"/>
  </r>
  <r>
    <n v="2652"/>
    <s v="Student_651"/>
    <s v="Kolkata"/>
    <x v="3"/>
    <d v="2025-07-30T00:00:00"/>
    <n v="35417"/>
    <n v="23468"/>
    <s v="2025-07"/>
  </r>
  <r>
    <n v="2653"/>
    <s v="Student_652"/>
    <s v="Mumbai"/>
    <x v="4"/>
    <d v="2025-06-01T00:00:00"/>
    <n v="44729"/>
    <n v="36210"/>
    <s v="2025-06"/>
  </r>
  <r>
    <n v="2654"/>
    <s v="Student_653"/>
    <s v="Bangalore"/>
    <x v="2"/>
    <d v="2025-04-19T00:00:00"/>
    <n v="50099"/>
    <n v="40108"/>
    <s v="2025-04"/>
  </r>
  <r>
    <n v="2655"/>
    <s v="Student_654"/>
    <s v="Delhi"/>
    <x v="0"/>
    <d v="2025-03-17T00:00:00"/>
    <n v="52598"/>
    <n v="52284"/>
    <s v="2025-03"/>
  </r>
  <r>
    <n v="2656"/>
    <s v="Student_655"/>
    <s v="Bangalore"/>
    <x v="1"/>
    <d v="2025-01-30T00:00:00"/>
    <n v="49961"/>
    <n v="38224"/>
    <s v="2025-01"/>
  </r>
  <r>
    <n v="2657"/>
    <s v="Student_656"/>
    <s v="Delhi"/>
    <x v="5"/>
    <d v="2025-11-10T00:00:00"/>
    <n v="32602"/>
    <n v="31468"/>
    <s v="2025-11"/>
  </r>
  <r>
    <n v="2658"/>
    <s v="Student_657"/>
    <s v="Chennai"/>
    <x v="1"/>
    <d v="2025-04-27T00:00:00"/>
    <n v="29256"/>
    <n v="18318"/>
    <s v="2025-04"/>
  </r>
  <r>
    <n v="2659"/>
    <s v="Student_658"/>
    <s v="Delhi"/>
    <x v="1"/>
    <d v="2025-12-22T00:00:00"/>
    <n v="40584"/>
    <n v="35708"/>
    <s v="2025-12"/>
  </r>
  <r>
    <n v="2660"/>
    <s v="Student_659"/>
    <s v="Mumbai"/>
    <x v="3"/>
    <d v="2025-07-11T00:00:00"/>
    <n v="54681"/>
    <n v="46579"/>
    <s v="2025-07"/>
  </r>
  <r>
    <n v="2661"/>
    <s v="Student_660"/>
    <s v="Hyderabad"/>
    <x v="2"/>
    <d v="2025-01-19T00:00:00"/>
    <n v="45792"/>
    <n v="36080"/>
    <s v="2025-01"/>
  </r>
  <r>
    <n v="2662"/>
    <s v="Student_661"/>
    <s v="Delhi"/>
    <x v="5"/>
    <d v="2025-06-22T00:00:00"/>
    <n v="41904"/>
    <n v="33557"/>
    <s v="2025-06"/>
  </r>
  <r>
    <n v="2663"/>
    <s v="Student_662"/>
    <s v="Delhi"/>
    <x v="1"/>
    <d v="2025-08-16T00:00:00"/>
    <n v="54540"/>
    <n v="48948"/>
    <s v="2025-08"/>
  </r>
  <r>
    <n v="2664"/>
    <s v="Student_663"/>
    <s v="Hyderabad"/>
    <x v="5"/>
    <d v="2025-12-16T00:00:00"/>
    <n v="46536"/>
    <n v="44812"/>
    <s v="2025-12"/>
  </r>
  <r>
    <n v="2665"/>
    <s v="Student_664"/>
    <s v="Mumbai"/>
    <x v="0"/>
    <d v="2025-07-02T00:00:00"/>
    <n v="39164"/>
    <n v="35821"/>
    <s v="2025-07"/>
  </r>
  <r>
    <n v="2666"/>
    <s v="Student_665"/>
    <s v="Bangalore"/>
    <x v="3"/>
    <d v="2025-04-23T00:00:00"/>
    <n v="32996"/>
    <n v="32110"/>
    <s v="2025-04"/>
  </r>
  <r>
    <n v="2667"/>
    <s v="Student_666"/>
    <s v="Delhi"/>
    <x v="0"/>
    <d v="2025-07-02T00:00:00"/>
    <n v="22871"/>
    <n v="11606"/>
    <s v="2025-07"/>
  </r>
  <r>
    <n v="2668"/>
    <s v="Student_667"/>
    <s v="Hyderabad"/>
    <x v="5"/>
    <d v="2025-05-26T00:00:00"/>
    <n v="42626"/>
    <n v="31629"/>
    <s v="2025-05"/>
  </r>
  <r>
    <n v="2669"/>
    <s v="Student_668"/>
    <s v="Chennai"/>
    <x v="5"/>
    <d v="2025-11-15T00:00:00"/>
    <n v="30521"/>
    <n v="29800"/>
    <s v="2025-11"/>
  </r>
  <r>
    <n v="2670"/>
    <s v="Student_669"/>
    <s v="Hyderabad"/>
    <x v="2"/>
    <d v="2025-04-26T00:00:00"/>
    <n v="21132"/>
    <n v="13454"/>
    <s v="2025-04"/>
  </r>
  <r>
    <n v="2671"/>
    <s v="Student_670"/>
    <s v="Chennai"/>
    <x v="1"/>
    <d v="2025-04-23T00:00:00"/>
    <n v="53467"/>
    <n v="44363"/>
    <s v="2025-04"/>
  </r>
  <r>
    <n v="2672"/>
    <s v="Student_671"/>
    <s v="Mumbai"/>
    <x v="1"/>
    <d v="2025-09-08T00:00:00"/>
    <n v="34534"/>
    <n v="31177"/>
    <s v="2025-09"/>
  </r>
  <r>
    <n v="2673"/>
    <s v="Student_672"/>
    <s v="Bangalore"/>
    <x v="0"/>
    <d v="2025-09-08T00:00:00"/>
    <n v="43854"/>
    <n v="42984"/>
    <s v="2025-09"/>
  </r>
  <r>
    <n v="2674"/>
    <s v="Student_673"/>
    <s v="Hyderabad"/>
    <x v="3"/>
    <d v="2025-10-30T00:00:00"/>
    <n v="59065"/>
    <n v="46765"/>
    <s v="2025-10"/>
  </r>
  <r>
    <n v="2675"/>
    <s v="Student_674"/>
    <s v="Kolkata"/>
    <x v="4"/>
    <d v="2025-11-09T00:00:00"/>
    <n v="27812"/>
    <n v="21061"/>
    <s v="2025-11"/>
  </r>
  <r>
    <n v="2676"/>
    <s v="Student_675"/>
    <s v="Kolkata"/>
    <x v="1"/>
    <d v="2025-04-28T00:00:00"/>
    <n v="24557"/>
    <n v="24060"/>
    <s v="2025-04"/>
  </r>
  <r>
    <n v="2677"/>
    <s v="Student_676"/>
    <s v="Pune"/>
    <x v="2"/>
    <d v="2025-10-28T00:00:00"/>
    <n v="22179"/>
    <n v="20423"/>
    <s v="2025-10"/>
  </r>
  <r>
    <n v="2678"/>
    <s v="Student_677"/>
    <s v="Delhi"/>
    <x v="0"/>
    <d v="2025-06-10T00:00:00"/>
    <n v="29065"/>
    <n v="14492"/>
    <s v="2025-06"/>
  </r>
  <r>
    <n v="2679"/>
    <s v="Student_678"/>
    <s v="Mumbai"/>
    <x v="0"/>
    <d v="2025-07-17T00:00:00"/>
    <n v="28275"/>
    <n v="27158"/>
    <s v="2025-07"/>
  </r>
  <r>
    <n v="2680"/>
    <s v="Student_679"/>
    <s v="Hyderabad"/>
    <x v="4"/>
    <d v="2025-09-17T00:00:00"/>
    <n v="55948"/>
    <n v="44347"/>
    <s v="2025-09"/>
  </r>
  <r>
    <n v="2681"/>
    <s v="Student_680"/>
    <s v="Kolkata"/>
    <x v="2"/>
    <d v="2025-05-28T00:00:00"/>
    <n v="40700"/>
    <n v="37872"/>
    <s v="2025-05"/>
  </r>
  <r>
    <n v="2682"/>
    <s v="Student_681"/>
    <s v="Delhi"/>
    <x v="3"/>
    <d v="2025-08-28T00:00:00"/>
    <n v="59464"/>
    <n v="45982"/>
    <s v="2025-08"/>
  </r>
  <r>
    <n v="2683"/>
    <s v="Student_682"/>
    <s v="Kolkata"/>
    <x v="2"/>
    <d v="2025-02-16T00:00:00"/>
    <n v="47794"/>
    <n v="33502"/>
    <s v="2025-02"/>
  </r>
  <r>
    <n v="2684"/>
    <s v="Student_683"/>
    <s v="Hyderabad"/>
    <x v="3"/>
    <d v="2025-07-17T00:00:00"/>
    <n v="48783"/>
    <n v="33842"/>
    <s v="2025-07"/>
  </r>
  <r>
    <n v="2685"/>
    <s v="Student_684"/>
    <s v="Chennai"/>
    <x v="2"/>
    <d v="2025-02-16T00:00:00"/>
    <n v="36998"/>
    <n v="22002"/>
    <s v="2025-02"/>
  </r>
  <r>
    <n v="2686"/>
    <s v="Student_685"/>
    <s v="Hyderabad"/>
    <x v="2"/>
    <d v="2025-03-19T00:00:00"/>
    <n v="33869"/>
    <n v="32222"/>
    <s v="2025-03"/>
  </r>
  <r>
    <n v="2687"/>
    <s v="Student_686"/>
    <s v="Pune"/>
    <x v="5"/>
    <d v="2025-05-04T00:00:00"/>
    <n v="48152"/>
    <n v="34274"/>
    <s v="2025-05"/>
  </r>
  <r>
    <n v="2688"/>
    <s v="Student_687"/>
    <s v="Hyderabad"/>
    <x v="0"/>
    <d v="2025-03-16T00:00:00"/>
    <n v="40954"/>
    <n v="33962"/>
    <s v="2025-03"/>
  </r>
  <r>
    <n v="2689"/>
    <s v="Student_688"/>
    <s v="Hyderabad"/>
    <x v="2"/>
    <d v="2025-12-25T00:00:00"/>
    <n v="51555"/>
    <n v="40380"/>
    <s v="2025-12"/>
  </r>
  <r>
    <n v="2690"/>
    <s v="Student_689"/>
    <s v="Pune"/>
    <x v="4"/>
    <d v="2025-05-17T00:00:00"/>
    <n v="36654"/>
    <n v="22876"/>
    <s v="2025-05"/>
  </r>
  <r>
    <n v="2691"/>
    <s v="Student_690"/>
    <s v="Mumbai"/>
    <x v="2"/>
    <d v="2025-03-31T00:00:00"/>
    <n v="55236"/>
    <n v="48465"/>
    <s v="2025-03"/>
  </r>
  <r>
    <n v="2692"/>
    <s v="Student_691"/>
    <s v="Hyderabad"/>
    <x v="1"/>
    <d v="2025-11-21T00:00:00"/>
    <n v="35042"/>
    <n v="34900"/>
    <s v="2025-11"/>
  </r>
  <r>
    <n v="2693"/>
    <s v="Student_692"/>
    <s v="Pune"/>
    <x v="0"/>
    <d v="2025-03-02T00:00:00"/>
    <n v="45966"/>
    <n v="32454"/>
    <s v="2025-03"/>
  </r>
  <r>
    <n v="2694"/>
    <s v="Student_693"/>
    <s v="Delhi"/>
    <x v="1"/>
    <d v="2025-05-18T00:00:00"/>
    <n v="34270"/>
    <n v="31509"/>
    <s v="2025-05"/>
  </r>
  <r>
    <n v="2695"/>
    <s v="Student_694"/>
    <s v="Chennai"/>
    <x v="0"/>
    <d v="2025-02-19T00:00:00"/>
    <n v="50908"/>
    <n v="47473"/>
    <s v="2025-02"/>
  </r>
  <r>
    <n v="2696"/>
    <s v="Student_695"/>
    <s v="Chennai"/>
    <x v="1"/>
    <d v="2025-09-16T00:00:00"/>
    <n v="35523"/>
    <n v="28901"/>
    <s v="2025-09"/>
  </r>
  <r>
    <n v="2697"/>
    <s v="Student_696"/>
    <s v="Hyderabad"/>
    <x v="2"/>
    <d v="2025-04-17T00:00:00"/>
    <n v="39991"/>
    <n v="27139"/>
    <s v="2025-04"/>
  </r>
  <r>
    <n v="2698"/>
    <s v="Student_697"/>
    <s v="Mumbai"/>
    <x v="2"/>
    <d v="2025-04-23T00:00:00"/>
    <n v="30775"/>
    <n v="15969"/>
    <s v="2025-04"/>
  </r>
  <r>
    <n v="2699"/>
    <s v="Student_698"/>
    <s v="Mumbai"/>
    <x v="5"/>
    <d v="2025-12-16T00:00:00"/>
    <n v="32265"/>
    <n v="21642"/>
    <s v="2025-12"/>
  </r>
  <r>
    <n v="2700"/>
    <s v="Student_699"/>
    <s v="Delhi"/>
    <x v="4"/>
    <d v="2025-09-11T00:00:00"/>
    <n v="39459"/>
    <n v="25456"/>
    <s v="2025-09"/>
  </r>
  <r>
    <n v="2701"/>
    <s v="Student_700"/>
    <s v="Hyderabad"/>
    <x v="1"/>
    <d v="2025-04-28T00:00:00"/>
    <n v="36673"/>
    <n v="29604"/>
    <s v="2025-04"/>
  </r>
  <r>
    <n v="2702"/>
    <s v="Student_701"/>
    <s v="Chennai"/>
    <x v="3"/>
    <d v="2025-07-17T00:00:00"/>
    <n v="47056"/>
    <n v="42544"/>
    <s v="2025-07"/>
  </r>
  <r>
    <n v="2703"/>
    <s v="Student_702"/>
    <s v="Mumbai"/>
    <x v="5"/>
    <d v="2025-12-03T00:00:00"/>
    <n v="26614"/>
    <n v="24766"/>
    <s v="2025-12"/>
  </r>
  <r>
    <n v="2704"/>
    <s v="Student_703"/>
    <s v="Hyderabad"/>
    <x v="1"/>
    <d v="2025-12-31T00:00:00"/>
    <n v="56020"/>
    <n v="41377"/>
    <s v="2025-12"/>
  </r>
  <r>
    <n v="2705"/>
    <s v="Student_704"/>
    <s v="Kolkata"/>
    <x v="1"/>
    <d v="2025-02-20T00:00:00"/>
    <n v="27415"/>
    <n v="24719"/>
    <s v="2025-02"/>
  </r>
  <r>
    <n v="2706"/>
    <s v="Student_705"/>
    <s v="Mumbai"/>
    <x v="5"/>
    <d v="2025-09-02T00:00:00"/>
    <n v="43155"/>
    <n v="41438"/>
    <s v="2025-09"/>
  </r>
  <r>
    <n v="2707"/>
    <s v="Student_706"/>
    <s v="Pune"/>
    <x v="2"/>
    <d v="2025-02-04T00:00:00"/>
    <n v="36964"/>
    <n v="23286"/>
    <s v="2025-02"/>
  </r>
  <r>
    <n v="2708"/>
    <s v="Student_707"/>
    <s v="Kolkata"/>
    <x v="1"/>
    <d v="2025-10-29T00:00:00"/>
    <n v="57726"/>
    <n v="54654"/>
    <s v="2025-10"/>
  </r>
  <r>
    <n v="2709"/>
    <s v="Student_708"/>
    <s v="Mumbai"/>
    <x v="2"/>
    <d v="2025-03-10T00:00:00"/>
    <n v="57044"/>
    <n v="47785"/>
    <s v="2025-03"/>
  </r>
  <r>
    <n v="2710"/>
    <s v="Student_709"/>
    <s v="Chennai"/>
    <x v="5"/>
    <d v="2025-12-15T00:00:00"/>
    <n v="57544"/>
    <n v="54758"/>
    <s v="2025-12"/>
  </r>
  <r>
    <n v="2711"/>
    <s v="Student_710"/>
    <s v="Bangalore"/>
    <x v="2"/>
    <d v="2025-11-16T00:00:00"/>
    <n v="52252"/>
    <n v="38098"/>
    <s v="2025-11"/>
  </r>
  <r>
    <n v="2712"/>
    <s v="Student_711"/>
    <s v="Kolkata"/>
    <x v="0"/>
    <d v="2025-02-18T00:00:00"/>
    <n v="23832"/>
    <n v="10423"/>
    <s v="2025-02"/>
  </r>
  <r>
    <n v="2713"/>
    <s v="Student_712"/>
    <s v="Delhi"/>
    <x v="3"/>
    <d v="2025-03-15T00:00:00"/>
    <n v="45275"/>
    <n v="41484"/>
    <s v="2025-03"/>
  </r>
  <r>
    <n v="2714"/>
    <s v="Student_713"/>
    <s v="Delhi"/>
    <x v="1"/>
    <d v="2025-07-11T00:00:00"/>
    <n v="34901"/>
    <n v="25421"/>
    <s v="2025-07"/>
  </r>
  <r>
    <n v="2715"/>
    <s v="Student_714"/>
    <s v="Chennai"/>
    <x v="4"/>
    <d v="2025-09-18T00:00:00"/>
    <n v="58213"/>
    <n v="54342"/>
    <s v="2025-09"/>
  </r>
  <r>
    <n v="2716"/>
    <s v="Student_715"/>
    <s v="Mumbai"/>
    <x v="3"/>
    <d v="2025-12-22T00:00:00"/>
    <n v="54148"/>
    <n v="52342"/>
    <s v="2025-12"/>
  </r>
  <r>
    <n v="2717"/>
    <s v="Student_716"/>
    <s v="Hyderabad"/>
    <x v="2"/>
    <d v="2025-03-11T00:00:00"/>
    <n v="42918"/>
    <n v="28443"/>
    <s v="2025-03"/>
  </r>
  <r>
    <n v="2718"/>
    <s v="Student_717"/>
    <s v="Mumbai"/>
    <x v="1"/>
    <d v="2025-03-31T00:00:00"/>
    <n v="39540"/>
    <n v="38036"/>
    <s v="2025-03"/>
  </r>
  <r>
    <n v="2719"/>
    <s v="Student_718"/>
    <s v="Chennai"/>
    <x v="2"/>
    <d v="2025-09-17T00:00:00"/>
    <n v="31580"/>
    <n v="28272"/>
    <s v="2025-09"/>
  </r>
  <r>
    <n v="2720"/>
    <s v="Student_719"/>
    <s v="Delhi"/>
    <x v="0"/>
    <d v="2025-05-06T00:00:00"/>
    <n v="58402"/>
    <n v="51285"/>
    <s v="2025-05"/>
  </r>
  <r>
    <n v="2721"/>
    <s v="Student_720"/>
    <s v="Mumbai"/>
    <x v="5"/>
    <d v="2025-08-19T00:00:00"/>
    <n v="58578"/>
    <n v="45274"/>
    <s v="2025-08"/>
  </r>
  <r>
    <n v="2722"/>
    <s v="Student_721"/>
    <s v="Delhi"/>
    <x v="1"/>
    <d v="2025-10-22T00:00:00"/>
    <n v="44917"/>
    <n v="39869"/>
    <s v="2025-10"/>
  </r>
  <r>
    <n v="2723"/>
    <s v="Student_722"/>
    <s v="Kolkata"/>
    <x v="0"/>
    <d v="2025-05-09T00:00:00"/>
    <n v="42318"/>
    <n v="31175"/>
    <s v="2025-05"/>
  </r>
  <r>
    <n v="2724"/>
    <s v="Student_723"/>
    <s v="Hyderabad"/>
    <x v="0"/>
    <d v="2025-10-07T00:00:00"/>
    <n v="30179"/>
    <n v="21916"/>
    <s v="2025-10"/>
  </r>
  <r>
    <n v="2725"/>
    <s v="Student_724"/>
    <s v="Kolkata"/>
    <x v="1"/>
    <d v="2025-11-09T00:00:00"/>
    <n v="32251"/>
    <n v="30561"/>
    <s v="2025-11"/>
  </r>
  <r>
    <n v="2726"/>
    <s v="Student_725"/>
    <s v="Delhi"/>
    <x v="2"/>
    <d v="2025-04-10T00:00:00"/>
    <n v="39493"/>
    <n v="25914"/>
    <s v="2025-04"/>
  </r>
  <r>
    <n v="2727"/>
    <s v="Student_726"/>
    <s v="Delhi"/>
    <x v="4"/>
    <d v="2025-11-22T00:00:00"/>
    <n v="40466"/>
    <n v="30930"/>
    <s v="2025-11"/>
  </r>
  <r>
    <n v="2728"/>
    <s v="Student_727"/>
    <s v="Bangalore"/>
    <x v="0"/>
    <d v="2025-10-24T00:00:00"/>
    <n v="50206"/>
    <n v="35764"/>
    <s v="2025-10"/>
  </r>
  <r>
    <n v="2729"/>
    <s v="Student_728"/>
    <s v="Bangalore"/>
    <x v="3"/>
    <d v="2025-07-01T00:00:00"/>
    <n v="39624"/>
    <n v="36321"/>
    <s v="2025-07"/>
  </r>
  <r>
    <n v="2730"/>
    <s v="Student_729"/>
    <s v="Kolkata"/>
    <x v="0"/>
    <d v="2025-06-23T00:00:00"/>
    <n v="46564"/>
    <n v="43451"/>
    <s v="2025-06"/>
  </r>
  <r>
    <n v="2731"/>
    <s v="Student_730"/>
    <s v="Pune"/>
    <x v="4"/>
    <d v="2025-11-12T00:00:00"/>
    <n v="42412"/>
    <n v="33338"/>
    <s v="2025-11"/>
  </r>
  <r>
    <n v="2732"/>
    <s v="Student_731"/>
    <s v="Kolkata"/>
    <x v="2"/>
    <d v="2025-12-30T00:00:00"/>
    <n v="47990"/>
    <n v="35564"/>
    <s v="2025-12"/>
  </r>
  <r>
    <n v="2733"/>
    <s v="Student_732"/>
    <s v="Bangalore"/>
    <x v="2"/>
    <d v="2025-07-07T00:00:00"/>
    <n v="55517"/>
    <n v="44663"/>
    <s v="2025-07"/>
  </r>
  <r>
    <n v="2734"/>
    <s v="Student_733"/>
    <s v="Delhi"/>
    <x v="3"/>
    <d v="2025-02-26T00:00:00"/>
    <n v="33156"/>
    <n v="25306"/>
    <s v="2025-02"/>
  </r>
  <r>
    <n v="2735"/>
    <s v="Student_734"/>
    <s v="Chennai"/>
    <x v="0"/>
    <d v="2025-01-31T00:00:00"/>
    <n v="43064"/>
    <n v="36648"/>
    <s v="2025-01"/>
  </r>
  <r>
    <n v="2736"/>
    <s v="Student_735"/>
    <s v="Kolkata"/>
    <x v="2"/>
    <d v="2025-03-25T00:00:00"/>
    <n v="45711"/>
    <n v="44207"/>
    <s v="2025-03"/>
  </r>
  <r>
    <n v="2737"/>
    <s v="Student_736"/>
    <s v="Delhi"/>
    <x v="4"/>
    <d v="2025-06-01T00:00:00"/>
    <n v="50106"/>
    <n v="39451"/>
    <s v="2025-06"/>
  </r>
  <r>
    <n v="2738"/>
    <s v="Student_737"/>
    <s v="Chennai"/>
    <x v="1"/>
    <d v="2025-02-05T00:00:00"/>
    <n v="36589"/>
    <n v="25844"/>
    <s v="2025-02"/>
  </r>
  <r>
    <n v="2739"/>
    <s v="Student_738"/>
    <s v="Chennai"/>
    <x v="5"/>
    <d v="2025-08-01T00:00:00"/>
    <n v="43736"/>
    <n v="34812"/>
    <s v="2025-08"/>
  </r>
  <r>
    <n v="2740"/>
    <s v="Student_739"/>
    <s v="Bangalore"/>
    <x v="5"/>
    <d v="2025-12-30T00:00:00"/>
    <n v="40975"/>
    <n v="31035"/>
    <s v="2025-12"/>
  </r>
  <r>
    <n v="2741"/>
    <s v="Student_740"/>
    <s v="Kolkata"/>
    <x v="5"/>
    <d v="2025-04-16T00:00:00"/>
    <n v="56218"/>
    <n v="52294"/>
    <s v="2025-04"/>
  </r>
  <r>
    <n v="2742"/>
    <s v="Student_741"/>
    <s v="Mumbai"/>
    <x v="0"/>
    <d v="2025-12-08T00:00:00"/>
    <n v="27214"/>
    <n v="18599"/>
    <s v="2025-12"/>
  </r>
  <r>
    <n v="2743"/>
    <s v="Student_742"/>
    <s v="Hyderabad"/>
    <x v="3"/>
    <d v="2025-08-08T00:00:00"/>
    <n v="50581"/>
    <n v="38911"/>
    <s v="2025-08"/>
  </r>
  <r>
    <n v="2744"/>
    <s v="Student_743"/>
    <s v="Bangalore"/>
    <x v="2"/>
    <d v="2025-06-12T00:00:00"/>
    <n v="40195"/>
    <n v="30412"/>
    <s v="2025-06"/>
  </r>
  <r>
    <n v="2745"/>
    <s v="Student_744"/>
    <s v="Bangalore"/>
    <x v="1"/>
    <d v="2025-08-08T00:00:00"/>
    <n v="47127"/>
    <n v="42642"/>
    <s v="2025-08"/>
  </r>
  <r>
    <n v="2746"/>
    <s v="Student_745"/>
    <s v="Mumbai"/>
    <x v="4"/>
    <d v="2025-09-27T00:00:00"/>
    <n v="25141"/>
    <n v="12512"/>
    <s v="2025-09"/>
  </r>
  <r>
    <n v="2747"/>
    <s v="Student_746"/>
    <s v="Hyderabad"/>
    <x v="1"/>
    <d v="2025-04-30T00:00:00"/>
    <n v="48884"/>
    <n v="35651"/>
    <s v="2025-04"/>
  </r>
  <r>
    <n v="2748"/>
    <s v="Student_747"/>
    <s v="Delhi"/>
    <x v="4"/>
    <d v="2025-12-02T00:00:00"/>
    <n v="44885"/>
    <n v="31984"/>
    <s v="2025-12"/>
  </r>
  <r>
    <n v="2749"/>
    <s v="Student_748"/>
    <s v="Pune"/>
    <x v="0"/>
    <d v="2025-07-01T00:00:00"/>
    <n v="22708"/>
    <n v="14608"/>
    <s v="2025-07"/>
  </r>
  <r>
    <n v="2750"/>
    <s v="Student_749"/>
    <s v="Kolkata"/>
    <x v="5"/>
    <d v="2025-04-16T00:00:00"/>
    <n v="38375"/>
    <n v="29691"/>
    <s v="2025-04"/>
  </r>
  <r>
    <n v="2751"/>
    <s v="Student_750"/>
    <s v="Pune"/>
    <x v="0"/>
    <d v="2025-08-05T00:00:00"/>
    <n v="35088"/>
    <n v="34897"/>
    <s v="2025-08"/>
  </r>
  <r>
    <n v="2752"/>
    <s v="Student_751"/>
    <s v="Delhi"/>
    <x v="3"/>
    <d v="2025-07-24T00:00:00"/>
    <n v="30014"/>
    <n v="21324"/>
    <s v="2025-07"/>
  </r>
  <r>
    <n v="2753"/>
    <s v="Student_752"/>
    <s v="Bangalore"/>
    <x v="3"/>
    <d v="2025-03-11T00:00:00"/>
    <n v="23273"/>
    <n v="18356"/>
    <s v="2025-03"/>
  </r>
  <r>
    <n v="2754"/>
    <s v="Student_753"/>
    <s v="Hyderabad"/>
    <x v="4"/>
    <d v="2025-02-13T00:00:00"/>
    <n v="57306"/>
    <n v="51475"/>
    <s v="2025-02"/>
  </r>
  <r>
    <n v="2755"/>
    <s v="Student_754"/>
    <s v="Bangalore"/>
    <x v="2"/>
    <d v="2025-11-25T00:00:00"/>
    <n v="50881"/>
    <n v="41433"/>
    <s v="2025-11"/>
  </r>
  <r>
    <n v="2756"/>
    <s v="Student_755"/>
    <s v="Chennai"/>
    <x v="2"/>
    <d v="2025-10-28T00:00:00"/>
    <n v="51486"/>
    <n v="41326"/>
    <s v="2025-10"/>
  </r>
  <r>
    <n v="2757"/>
    <s v="Student_756"/>
    <s v="Bangalore"/>
    <x v="4"/>
    <d v="2025-08-16T00:00:00"/>
    <n v="32541"/>
    <n v="28219"/>
    <s v="2025-08"/>
  </r>
  <r>
    <n v="2758"/>
    <s v="Student_757"/>
    <s v="Bangalore"/>
    <x v="3"/>
    <d v="2025-07-03T00:00:00"/>
    <n v="28712"/>
    <n v="15030"/>
    <s v="2025-07"/>
  </r>
  <r>
    <n v="2759"/>
    <s v="Student_758"/>
    <s v="Delhi"/>
    <x v="3"/>
    <d v="2025-04-17T00:00:00"/>
    <n v="29168"/>
    <n v="18790"/>
    <s v="2025-04"/>
  </r>
  <r>
    <n v="2760"/>
    <s v="Student_759"/>
    <s v="Delhi"/>
    <x v="3"/>
    <d v="2025-03-25T00:00:00"/>
    <n v="23551"/>
    <n v="16552"/>
    <s v="2025-03"/>
  </r>
  <r>
    <n v="2761"/>
    <s v="Student_760"/>
    <s v="Delhi"/>
    <x v="0"/>
    <d v="2025-12-04T00:00:00"/>
    <n v="32297"/>
    <n v="23289"/>
    <s v="2025-12"/>
  </r>
  <r>
    <n v="2762"/>
    <s v="Student_761"/>
    <s v="Pune"/>
    <x v="3"/>
    <d v="2025-09-07T00:00:00"/>
    <n v="47128"/>
    <n v="35716"/>
    <s v="2025-09"/>
  </r>
  <r>
    <n v="2763"/>
    <s v="Student_762"/>
    <s v="Chennai"/>
    <x v="1"/>
    <d v="2025-12-29T00:00:00"/>
    <n v="22832"/>
    <n v="15550"/>
    <s v="2025-12"/>
  </r>
  <r>
    <n v="2764"/>
    <s v="Student_763"/>
    <s v="Delhi"/>
    <x v="5"/>
    <d v="2025-01-21T00:00:00"/>
    <n v="48483"/>
    <n v="38818"/>
    <s v="2025-01"/>
  </r>
  <r>
    <n v="2765"/>
    <s v="Student_764"/>
    <s v="Hyderabad"/>
    <x v="3"/>
    <d v="2025-07-15T00:00:00"/>
    <n v="42063"/>
    <n v="32785"/>
    <s v="2025-07"/>
  </r>
  <r>
    <n v="2766"/>
    <s v="Student_765"/>
    <s v="Pune"/>
    <x v="4"/>
    <d v="2025-06-27T00:00:00"/>
    <n v="42963"/>
    <n v="30572"/>
    <s v="2025-06"/>
  </r>
  <r>
    <n v="2767"/>
    <s v="Student_766"/>
    <s v="Mumbai"/>
    <x v="5"/>
    <d v="2025-01-07T00:00:00"/>
    <n v="33422"/>
    <n v="31548"/>
    <s v="2025-01"/>
  </r>
  <r>
    <n v="2768"/>
    <s v="Student_767"/>
    <s v="Hyderabad"/>
    <x v="0"/>
    <d v="2025-03-11T00:00:00"/>
    <n v="52920"/>
    <n v="43858"/>
    <s v="2025-03"/>
  </r>
  <r>
    <n v="2769"/>
    <s v="Student_768"/>
    <s v="Kolkata"/>
    <x v="4"/>
    <d v="2025-05-07T00:00:00"/>
    <n v="31156"/>
    <n v="26393"/>
    <s v="2025-05"/>
  </r>
  <r>
    <n v="2770"/>
    <s v="Student_769"/>
    <s v="Kolkata"/>
    <x v="5"/>
    <d v="2025-06-09T00:00:00"/>
    <n v="31108"/>
    <n v="20874"/>
    <s v="2025-06"/>
  </r>
  <r>
    <n v="2771"/>
    <s v="Student_770"/>
    <s v="Hyderabad"/>
    <x v="4"/>
    <d v="2025-09-05T00:00:00"/>
    <n v="51845"/>
    <n v="43381"/>
    <s v="2025-09"/>
  </r>
  <r>
    <n v="2772"/>
    <s v="Student_771"/>
    <s v="Delhi"/>
    <x v="0"/>
    <d v="2025-07-22T00:00:00"/>
    <n v="22800"/>
    <n v="13579"/>
    <s v="2025-07"/>
  </r>
  <r>
    <n v="2773"/>
    <s v="Student_772"/>
    <s v="Mumbai"/>
    <x v="1"/>
    <d v="2025-05-28T00:00:00"/>
    <n v="58078"/>
    <n v="46668"/>
    <s v="2025-05"/>
  </r>
  <r>
    <n v="2774"/>
    <s v="Student_773"/>
    <s v="Mumbai"/>
    <x v="0"/>
    <d v="2025-05-23T00:00:00"/>
    <n v="22610"/>
    <n v="8091"/>
    <s v="2025-05"/>
  </r>
  <r>
    <n v="2775"/>
    <s v="Student_774"/>
    <s v="Pune"/>
    <x v="0"/>
    <d v="2025-07-18T00:00:00"/>
    <n v="32067"/>
    <n v="19806"/>
    <s v="2025-07"/>
  </r>
  <r>
    <n v="2776"/>
    <s v="Student_775"/>
    <s v="Mumbai"/>
    <x v="4"/>
    <d v="2025-06-03T00:00:00"/>
    <n v="53872"/>
    <n v="52821"/>
    <s v="2025-06"/>
  </r>
  <r>
    <n v="2777"/>
    <s v="Student_776"/>
    <s v="Kolkata"/>
    <x v="2"/>
    <d v="2025-05-22T00:00:00"/>
    <n v="30728"/>
    <n v="18503"/>
    <s v="2025-05"/>
  </r>
  <r>
    <n v="2778"/>
    <s v="Student_777"/>
    <s v="Chennai"/>
    <x v="3"/>
    <d v="2025-11-09T00:00:00"/>
    <n v="49566"/>
    <n v="39801"/>
    <s v="2025-11"/>
  </r>
  <r>
    <n v="2779"/>
    <s v="Student_778"/>
    <s v="Delhi"/>
    <x v="3"/>
    <d v="2025-06-14T00:00:00"/>
    <n v="49783"/>
    <n v="38401"/>
    <s v="2025-06"/>
  </r>
  <r>
    <n v="2780"/>
    <s v="Student_779"/>
    <s v="Mumbai"/>
    <x v="1"/>
    <d v="2025-11-10T00:00:00"/>
    <n v="40583"/>
    <n v="28003"/>
    <s v="2025-11"/>
  </r>
  <r>
    <n v="2781"/>
    <s v="Student_780"/>
    <s v="Pune"/>
    <x v="1"/>
    <d v="2025-01-21T00:00:00"/>
    <n v="40238"/>
    <n v="32700"/>
    <s v="2025-01"/>
  </r>
  <r>
    <n v="2782"/>
    <s v="Student_781"/>
    <s v="Kolkata"/>
    <x v="3"/>
    <d v="2025-03-23T00:00:00"/>
    <n v="27263"/>
    <n v="19852"/>
    <s v="2025-03"/>
  </r>
  <r>
    <n v="2783"/>
    <s v="Student_782"/>
    <s v="Chennai"/>
    <x v="2"/>
    <d v="2025-03-10T00:00:00"/>
    <n v="21914"/>
    <n v="9925"/>
    <s v="2025-03"/>
  </r>
  <r>
    <n v="2784"/>
    <s v="Student_783"/>
    <s v="Bangalore"/>
    <x v="3"/>
    <d v="2025-05-11T00:00:00"/>
    <n v="43749"/>
    <n v="32268"/>
    <s v="2025-05"/>
  </r>
  <r>
    <n v="2785"/>
    <s v="Student_784"/>
    <s v="Bangalore"/>
    <x v="2"/>
    <d v="2025-03-28T00:00:00"/>
    <n v="39456"/>
    <n v="33136"/>
    <s v="2025-03"/>
  </r>
  <r>
    <n v="2786"/>
    <s v="Student_785"/>
    <s v="Chennai"/>
    <x v="1"/>
    <d v="2025-08-06T00:00:00"/>
    <n v="45582"/>
    <n v="33643"/>
    <s v="2025-08"/>
  </r>
  <r>
    <n v="2787"/>
    <s v="Student_786"/>
    <s v="Kolkata"/>
    <x v="5"/>
    <d v="2025-11-01T00:00:00"/>
    <n v="20406"/>
    <n v="18301"/>
    <s v="2025-11"/>
  </r>
  <r>
    <n v="2788"/>
    <s v="Student_787"/>
    <s v="Pune"/>
    <x v="4"/>
    <d v="2025-12-11T00:00:00"/>
    <n v="33689"/>
    <n v="20109"/>
    <s v="2025-12"/>
  </r>
  <r>
    <n v="2789"/>
    <s v="Student_788"/>
    <s v="Chennai"/>
    <x v="1"/>
    <d v="2025-12-07T00:00:00"/>
    <n v="52934"/>
    <n v="52627"/>
    <s v="2025-12"/>
  </r>
  <r>
    <n v="2790"/>
    <s v="Student_789"/>
    <s v="Delhi"/>
    <x v="1"/>
    <d v="2025-06-10T00:00:00"/>
    <n v="53276"/>
    <n v="45539"/>
    <s v="2025-06"/>
  </r>
  <r>
    <n v="2791"/>
    <s v="Student_790"/>
    <s v="Delhi"/>
    <x v="0"/>
    <d v="2025-06-27T00:00:00"/>
    <n v="56432"/>
    <n v="53073"/>
    <s v="2025-06"/>
  </r>
  <r>
    <n v="2792"/>
    <s v="Student_791"/>
    <s v="Bangalore"/>
    <x v="0"/>
    <d v="2025-04-27T00:00:00"/>
    <n v="39873"/>
    <n v="26609"/>
    <s v="2025-04"/>
  </r>
  <r>
    <n v="2793"/>
    <s v="Student_792"/>
    <s v="Mumbai"/>
    <x v="0"/>
    <d v="2025-07-15T00:00:00"/>
    <n v="33050"/>
    <n v="29874"/>
    <s v="2025-07"/>
  </r>
  <r>
    <n v="2794"/>
    <s v="Student_793"/>
    <s v="Pune"/>
    <x v="4"/>
    <d v="2025-11-23T00:00:00"/>
    <n v="20680"/>
    <n v="19429"/>
    <s v="2025-11"/>
  </r>
  <r>
    <n v="2795"/>
    <s v="Student_794"/>
    <s v="Bangalore"/>
    <x v="0"/>
    <d v="2025-03-27T00:00:00"/>
    <n v="38908"/>
    <n v="33542"/>
    <s v="2025-03"/>
  </r>
  <r>
    <n v="2796"/>
    <s v="Student_795"/>
    <s v="Mumbai"/>
    <x v="2"/>
    <d v="2025-10-16T00:00:00"/>
    <n v="38504"/>
    <n v="27565"/>
    <s v="2025-10"/>
  </r>
  <r>
    <n v="2797"/>
    <s v="Student_796"/>
    <s v="Mumbai"/>
    <x v="3"/>
    <d v="2025-03-22T00:00:00"/>
    <n v="41644"/>
    <n v="40127"/>
    <s v="2025-03"/>
  </r>
  <r>
    <n v="2798"/>
    <s v="Student_797"/>
    <s v="Delhi"/>
    <x v="5"/>
    <d v="2025-06-01T00:00:00"/>
    <n v="57125"/>
    <n v="50899"/>
    <s v="2025-06"/>
  </r>
  <r>
    <n v="2799"/>
    <s v="Student_798"/>
    <s v="Kolkata"/>
    <x v="1"/>
    <d v="2025-03-02T00:00:00"/>
    <n v="21363"/>
    <n v="16058"/>
    <s v="2025-03"/>
  </r>
  <r>
    <n v="2800"/>
    <s v="Student_799"/>
    <s v="Hyderabad"/>
    <x v="2"/>
    <d v="2025-03-02T00:00:00"/>
    <n v="55060"/>
    <n v="40473"/>
    <s v="2025-03"/>
  </r>
  <r>
    <n v="2801"/>
    <s v="Student_800"/>
    <s v="Kolkata"/>
    <x v="5"/>
    <d v="2025-12-20T00:00:00"/>
    <n v="21538"/>
    <n v="11968"/>
    <s v="2025-12"/>
  </r>
  <r>
    <n v="2802"/>
    <s v="Student_801"/>
    <s v="Hyderabad"/>
    <x v="2"/>
    <d v="2025-01-28T00:00:00"/>
    <n v="56176"/>
    <n v="50307"/>
    <s v="2025-01"/>
  </r>
  <r>
    <n v="2803"/>
    <s v="Student_802"/>
    <s v="Chennai"/>
    <x v="2"/>
    <d v="2025-02-12T00:00:00"/>
    <n v="45675"/>
    <n v="37636"/>
    <s v="2025-02"/>
  </r>
  <r>
    <n v="2804"/>
    <s v="Student_803"/>
    <s v="Delhi"/>
    <x v="1"/>
    <d v="2025-06-18T00:00:00"/>
    <n v="38287"/>
    <n v="24280"/>
    <s v="2025-06"/>
  </r>
  <r>
    <n v="2805"/>
    <s v="Student_804"/>
    <s v="Mumbai"/>
    <x v="3"/>
    <d v="2025-03-27T00:00:00"/>
    <n v="20174"/>
    <n v="5844"/>
    <s v="2025-03"/>
  </r>
  <r>
    <n v="2806"/>
    <s v="Student_805"/>
    <s v="Pune"/>
    <x v="0"/>
    <d v="2025-06-26T00:00:00"/>
    <n v="46732"/>
    <n v="41841"/>
    <s v="2025-06"/>
  </r>
  <r>
    <n v="2807"/>
    <s v="Student_806"/>
    <s v="Hyderabad"/>
    <x v="4"/>
    <d v="2025-01-17T00:00:00"/>
    <n v="54998"/>
    <n v="50006"/>
    <s v="2025-01"/>
  </r>
  <r>
    <n v="2808"/>
    <s v="Student_807"/>
    <s v="Kolkata"/>
    <x v="3"/>
    <d v="2025-04-08T00:00:00"/>
    <n v="57055"/>
    <n v="55094"/>
    <s v="2025-04"/>
  </r>
  <r>
    <n v="2809"/>
    <s v="Student_808"/>
    <s v="Mumbai"/>
    <x v="4"/>
    <d v="2025-07-17T00:00:00"/>
    <n v="32112"/>
    <n v="19615"/>
    <s v="2025-07"/>
  </r>
  <r>
    <n v="2810"/>
    <s v="Student_809"/>
    <s v="Hyderabad"/>
    <x v="1"/>
    <d v="2025-04-08T00:00:00"/>
    <n v="59874"/>
    <n v="57011"/>
    <s v="2025-04"/>
  </r>
  <r>
    <n v="2811"/>
    <s v="Student_810"/>
    <s v="Hyderabad"/>
    <x v="1"/>
    <d v="2025-03-06T00:00:00"/>
    <n v="29689"/>
    <n v="18841"/>
    <s v="2025-03"/>
  </r>
  <r>
    <n v="2812"/>
    <s v="Student_811"/>
    <s v="Hyderabad"/>
    <x v="1"/>
    <d v="2025-11-26T00:00:00"/>
    <n v="39555"/>
    <n v="28869"/>
    <s v="2025-11"/>
  </r>
  <r>
    <n v="2813"/>
    <s v="Student_812"/>
    <s v="Pune"/>
    <x v="5"/>
    <d v="2025-12-07T00:00:00"/>
    <n v="53919"/>
    <n v="47316"/>
    <s v="2025-12"/>
  </r>
  <r>
    <n v="2814"/>
    <s v="Student_813"/>
    <s v="Delhi"/>
    <x v="4"/>
    <d v="2025-01-05T00:00:00"/>
    <n v="27619"/>
    <n v="14364"/>
    <s v="2025-01"/>
  </r>
  <r>
    <n v="2815"/>
    <s v="Student_814"/>
    <s v="Pune"/>
    <x v="3"/>
    <d v="2025-01-02T00:00:00"/>
    <n v="26033"/>
    <n v="21466"/>
    <s v="2025-01"/>
  </r>
  <r>
    <n v="2816"/>
    <s v="Student_815"/>
    <s v="Bangalore"/>
    <x v="3"/>
    <d v="2025-01-22T00:00:00"/>
    <n v="24946"/>
    <n v="18433"/>
    <s v="2025-01"/>
  </r>
  <r>
    <n v="2817"/>
    <s v="Student_816"/>
    <s v="Mumbai"/>
    <x v="2"/>
    <d v="2025-04-22T00:00:00"/>
    <n v="44618"/>
    <n v="40613"/>
    <s v="2025-04"/>
  </r>
  <r>
    <n v="2818"/>
    <s v="Student_817"/>
    <s v="Delhi"/>
    <x v="2"/>
    <d v="2025-02-26T00:00:00"/>
    <n v="54675"/>
    <n v="42920"/>
    <s v="2025-02"/>
  </r>
  <r>
    <n v="2819"/>
    <s v="Student_818"/>
    <s v="Delhi"/>
    <x v="2"/>
    <d v="2025-03-07T00:00:00"/>
    <n v="56258"/>
    <n v="47144"/>
    <s v="2025-03"/>
  </r>
  <r>
    <n v="2820"/>
    <s v="Student_819"/>
    <s v="Delhi"/>
    <x v="1"/>
    <d v="2025-11-26T00:00:00"/>
    <n v="38919"/>
    <n v="26495"/>
    <s v="2025-11"/>
  </r>
  <r>
    <n v="2821"/>
    <s v="Student_820"/>
    <s v="Kolkata"/>
    <x v="3"/>
    <d v="2025-04-08T00:00:00"/>
    <n v="24173"/>
    <n v="11519"/>
    <s v="2025-04"/>
  </r>
  <r>
    <n v="2822"/>
    <s v="Student_821"/>
    <s v="Delhi"/>
    <x v="4"/>
    <d v="2025-05-24T00:00:00"/>
    <n v="46400"/>
    <n v="35249"/>
    <s v="2025-05"/>
  </r>
  <r>
    <n v="2823"/>
    <s v="Student_822"/>
    <s v="Pune"/>
    <x v="1"/>
    <d v="2025-05-05T00:00:00"/>
    <n v="24769"/>
    <n v="24586"/>
    <s v="2025-05"/>
  </r>
  <r>
    <n v="2824"/>
    <s v="Student_823"/>
    <s v="Delhi"/>
    <x v="5"/>
    <d v="2025-06-16T00:00:00"/>
    <n v="57564"/>
    <n v="49809"/>
    <s v="2025-06"/>
  </r>
  <r>
    <n v="2825"/>
    <s v="Student_824"/>
    <s v="Chennai"/>
    <x v="2"/>
    <d v="2025-03-27T00:00:00"/>
    <n v="34211"/>
    <n v="30853"/>
    <s v="2025-03"/>
  </r>
  <r>
    <n v="2826"/>
    <s v="Student_825"/>
    <s v="Mumbai"/>
    <x v="1"/>
    <d v="2025-03-17T00:00:00"/>
    <n v="43255"/>
    <n v="36640"/>
    <s v="2025-03"/>
  </r>
  <r>
    <n v="2827"/>
    <s v="Student_826"/>
    <s v="Delhi"/>
    <x v="1"/>
    <d v="2025-12-10T00:00:00"/>
    <n v="47962"/>
    <n v="38372"/>
    <s v="2025-12"/>
  </r>
  <r>
    <n v="2828"/>
    <s v="Student_827"/>
    <s v="Mumbai"/>
    <x v="5"/>
    <d v="2025-10-21T00:00:00"/>
    <n v="39356"/>
    <n v="32559"/>
    <s v="2025-10"/>
  </r>
  <r>
    <n v="2829"/>
    <s v="Student_828"/>
    <s v="Chennai"/>
    <x v="0"/>
    <d v="2025-02-28T00:00:00"/>
    <n v="40306"/>
    <n v="29318"/>
    <s v="2025-02"/>
  </r>
  <r>
    <n v="2830"/>
    <s v="Student_829"/>
    <s v="Chennai"/>
    <x v="3"/>
    <d v="2025-05-18T00:00:00"/>
    <n v="24997"/>
    <n v="16269"/>
    <s v="2025-05"/>
  </r>
  <r>
    <n v="2831"/>
    <s v="Student_830"/>
    <s v="Mumbai"/>
    <x v="4"/>
    <d v="2025-04-09T00:00:00"/>
    <n v="37376"/>
    <n v="29698"/>
    <s v="2025-04"/>
  </r>
  <r>
    <n v="2832"/>
    <s v="Student_831"/>
    <s v="Hyderabad"/>
    <x v="0"/>
    <d v="2025-07-11T00:00:00"/>
    <n v="58055"/>
    <n v="52357"/>
    <s v="2025-07"/>
  </r>
  <r>
    <n v="2833"/>
    <s v="Student_832"/>
    <s v="Bangalore"/>
    <x v="2"/>
    <d v="2025-08-31T00:00:00"/>
    <n v="30578"/>
    <n v="29305"/>
    <s v="2025-08"/>
  </r>
  <r>
    <n v="2834"/>
    <s v="Student_833"/>
    <s v="Kolkata"/>
    <x v="1"/>
    <d v="2025-11-15T00:00:00"/>
    <n v="38624"/>
    <n v="27465"/>
    <s v="2025-11"/>
  </r>
  <r>
    <n v="2835"/>
    <s v="Student_834"/>
    <s v="Hyderabad"/>
    <x v="5"/>
    <d v="2025-02-18T00:00:00"/>
    <n v="59194"/>
    <n v="52541"/>
    <s v="2025-02"/>
  </r>
  <r>
    <n v="2836"/>
    <s v="Student_835"/>
    <s v="Hyderabad"/>
    <x v="5"/>
    <d v="2025-02-01T00:00:00"/>
    <n v="20389"/>
    <n v="5424"/>
    <s v="2025-02"/>
  </r>
  <r>
    <n v="2837"/>
    <s v="Student_836"/>
    <s v="Pune"/>
    <x v="3"/>
    <d v="2025-10-04T00:00:00"/>
    <n v="53767"/>
    <n v="42526"/>
    <s v="2025-10"/>
  </r>
  <r>
    <n v="2838"/>
    <s v="Student_837"/>
    <s v="Kolkata"/>
    <x v="0"/>
    <d v="2025-01-20T00:00:00"/>
    <n v="21855"/>
    <n v="20759"/>
    <s v="2025-01"/>
  </r>
  <r>
    <n v="2839"/>
    <s v="Student_838"/>
    <s v="Kolkata"/>
    <x v="3"/>
    <d v="2025-06-03T00:00:00"/>
    <n v="33794"/>
    <n v="24297"/>
    <s v="2025-06"/>
  </r>
  <r>
    <n v="2840"/>
    <s v="Student_839"/>
    <s v="Hyderabad"/>
    <x v="1"/>
    <d v="2025-03-09T00:00:00"/>
    <n v="55531"/>
    <n v="46424"/>
    <s v="2025-03"/>
  </r>
  <r>
    <n v="2841"/>
    <s v="Student_840"/>
    <s v="Delhi"/>
    <x v="3"/>
    <d v="2025-08-02T00:00:00"/>
    <n v="24986"/>
    <n v="13713"/>
    <s v="2025-08"/>
  </r>
  <r>
    <n v="2842"/>
    <s v="Student_841"/>
    <s v="Pune"/>
    <x v="4"/>
    <d v="2025-05-23T00:00:00"/>
    <n v="52298"/>
    <n v="44296"/>
    <s v="2025-05"/>
  </r>
  <r>
    <n v="2843"/>
    <s v="Student_842"/>
    <s v="Pune"/>
    <x v="5"/>
    <d v="2025-08-20T00:00:00"/>
    <n v="21481"/>
    <n v="17234"/>
    <s v="2025-08"/>
  </r>
  <r>
    <n v="2844"/>
    <s v="Student_843"/>
    <s v="Chennai"/>
    <x v="5"/>
    <d v="2025-08-01T00:00:00"/>
    <n v="23731"/>
    <n v="14511"/>
    <s v="2025-08"/>
  </r>
  <r>
    <n v="2845"/>
    <s v="Student_844"/>
    <s v="Kolkata"/>
    <x v="2"/>
    <d v="2025-03-20T00:00:00"/>
    <n v="36835"/>
    <n v="31521"/>
    <s v="2025-03"/>
  </r>
  <r>
    <n v="2846"/>
    <s v="Student_845"/>
    <s v="Hyderabad"/>
    <x v="2"/>
    <d v="2025-08-02T00:00:00"/>
    <n v="47798"/>
    <n v="37629"/>
    <s v="2025-08"/>
  </r>
  <r>
    <n v="2847"/>
    <s v="Student_846"/>
    <s v="Chennai"/>
    <x v="1"/>
    <d v="2025-04-26T00:00:00"/>
    <n v="46113"/>
    <n v="42759"/>
    <s v="2025-04"/>
  </r>
  <r>
    <n v="2848"/>
    <s v="Student_847"/>
    <s v="Mumbai"/>
    <x v="4"/>
    <d v="2025-04-02T00:00:00"/>
    <n v="39477"/>
    <n v="28774"/>
    <s v="2025-04"/>
  </r>
  <r>
    <n v="2849"/>
    <s v="Student_848"/>
    <s v="Bangalore"/>
    <x v="0"/>
    <d v="2025-09-27T00:00:00"/>
    <n v="37266"/>
    <n v="36996"/>
    <s v="2025-09"/>
  </r>
  <r>
    <n v="2850"/>
    <s v="Student_849"/>
    <s v="Pune"/>
    <x v="3"/>
    <d v="2025-06-17T00:00:00"/>
    <n v="40792"/>
    <n v="39606"/>
    <s v="2025-06"/>
  </r>
  <r>
    <n v="2851"/>
    <s v="Student_850"/>
    <s v="Mumbai"/>
    <x v="1"/>
    <d v="2025-02-27T00:00:00"/>
    <n v="40452"/>
    <n v="27705"/>
    <s v="2025-02"/>
  </r>
  <r>
    <n v="2852"/>
    <s v="Student_851"/>
    <s v="Mumbai"/>
    <x v="2"/>
    <d v="2025-10-11T00:00:00"/>
    <n v="31889"/>
    <n v="19497"/>
    <s v="2025-10"/>
  </r>
  <r>
    <n v="2853"/>
    <s v="Student_852"/>
    <s v="Delhi"/>
    <x v="3"/>
    <d v="2025-01-26T00:00:00"/>
    <n v="44335"/>
    <n v="32379"/>
    <s v="2025-01"/>
  </r>
  <r>
    <n v="2854"/>
    <s v="Student_853"/>
    <s v="Bangalore"/>
    <x v="2"/>
    <d v="2025-03-07T00:00:00"/>
    <n v="31254"/>
    <n v="17256"/>
    <s v="2025-03"/>
  </r>
  <r>
    <n v="2855"/>
    <s v="Student_854"/>
    <s v="Mumbai"/>
    <x v="3"/>
    <d v="2025-09-05T00:00:00"/>
    <n v="41074"/>
    <n v="34769"/>
    <s v="2025-09"/>
  </r>
  <r>
    <n v="2856"/>
    <s v="Student_855"/>
    <s v="Mumbai"/>
    <x v="0"/>
    <d v="2025-09-11T00:00:00"/>
    <n v="31442"/>
    <n v="29044"/>
    <s v="2025-09"/>
  </r>
  <r>
    <n v="2857"/>
    <s v="Student_856"/>
    <s v="Bangalore"/>
    <x v="1"/>
    <d v="2025-02-13T00:00:00"/>
    <n v="57327"/>
    <n v="44606"/>
    <s v="2025-02"/>
  </r>
  <r>
    <n v="2858"/>
    <s v="Student_857"/>
    <s v="Bangalore"/>
    <x v="3"/>
    <d v="2025-04-07T00:00:00"/>
    <n v="36199"/>
    <n v="29204"/>
    <s v="2025-04"/>
  </r>
  <r>
    <n v="2859"/>
    <s v="Student_858"/>
    <s v="Mumbai"/>
    <x v="4"/>
    <d v="2025-02-11T00:00:00"/>
    <n v="27291"/>
    <n v="14864"/>
    <s v="2025-02"/>
  </r>
  <r>
    <n v="2860"/>
    <s v="Student_859"/>
    <s v="Bangalore"/>
    <x v="5"/>
    <d v="2025-08-15T00:00:00"/>
    <n v="20112"/>
    <n v="6330"/>
    <s v="2025-08"/>
  </r>
  <r>
    <n v="2861"/>
    <s v="Student_860"/>
    <s v="Mumbai"/>
    <x v="4"/>
    <d v="2025-09-19T00:00:00"/>
    <n v="41515"/>
    <n v="34216"/>
    <s v="2025-09"/>
  </r>
  <r>
    <n v="2862"/>
    <s v="Student_861"/>
    <s v="Mumbai"/>
    <x v="4"/>
    <d v="2025-06-16T00:00:00"/>
    <n v="39581"/>
    <n v="35399"/>
    <s v="2025-06"/>
  </r>
  <r>
    <n v="2863"/>
    <s v="Student_862"/>
    <s v="Delhi"/>
    <x v="5"/>
    <d v="2025-10-06T00:00:00"/>
    <n v="46500"/>
    <n v="36597"/>
    <s v="2025-10"/>
  </r>
  <r>
    <n v="2864"/>
    <s v="Student_863"/>
    <s v="Hyderabad"/>
    <x v="4"/>
    <d v="2025-03-30T00:00:00"/>
    <n v="52026"/>
    <n v="49796"/>
    <s v="2025-03"/>
  </r>
  <r>
    <n v="2865"/>
    <s v="Student_864"/>
    <s v="Mumbai"/>
    <x v="3"/>
    <d v="2025-06-27T00:00:00"/>
    <n v="36523"/>
    <n v="30012"/>
    <s v="2025-06"/>
  </r>
  <r>
    <n v="2866"/>
    <s v="Student_865"/>
    <s v="Chennai"/>
    <x v="3"/>
    <d v="2025-07-16T00:00:00"/>
    <n v="21424"/>
    <n v="21296"/>
    <s v="2025-07"/>
  </r>
  <r>
    <n v="2867"/>
    <s v="Student_866"/>
    <s v="Pune"/>
    <x v="3"/>
    <d v="2025-11-03T00:00:00"/>
    <n v="39552"/>
    <n v="30091"/>
    <s v="2025-11"/>
  </r>
  <r>
    <n v="2868"/>
    <s v="Student_867"/>
    <s v="Kolkata"/>
    <x v="5"/>
    <d v="2025-09-24T00:00:00"/>
    <n v="30808"/>
    <n v="27136"/>
    <s v="2025-09"/>
  </r>
  <r>
    <n v="2869"/>
    <s v="Student_868"/>
    <s v="Hyderabad"/>
    <x v="4"/>
    <d v="2025-09-25T00:00:00"/>
    <n v="58811"/>
    <n v="49018"/>
    <s v="2025-09"/>
  </r>
  <r>
    <n v="2870"/>
    <s v="Student_869"/>
    <s v="Hyderabad"/>
    <x v="5"/>
    <d v="2025-03-15T00:00:00"/>
    <n v="26989"/>
    <n v="22224"/>
    <s v="2025-03"/>
  </r>
  <r>
    <n v="2871"/>
    <s v="Student_870"/>
    <s v="Hyderabad"/>
    <x v="3"/>
    <d v="2025-01-08T00:00:00"/>
    <n v="43620"/>
    <n v="39650"/>
    <s v="2025-01"/>
  </r>
  <r>
    <n v="2872"/>
    <s v="Student_871"/>
    <s v="Delhi"/>
    <x v="4"/>
    <d v="2025-10-24T00:00:00"/>
    <n v="59029"/>
    <n v="51484"/>
    <s v="2025-10"/>
  </r>
  <r>
    <n v="2873"/>
    <s v="Student_872"/>
    <s v="Mumbai"/>
    <x v="4"/>
    <d v="2025-06-13T00:00:00"/>
    <n v="20887"/>
    <n v="8451"/>
    <s v="2025-06"/>
  </r>
  <r>
    <n v="2874"/>
    <s v="Student_873"/>
    <s v="Delhi"/>
    <x v="2"/>
    <d v="2025-03-26T00:00:00"/>
    <n v="51802"/>
    <n v="38530"/>
    <s v="2025-03"/>
  </r>
  <r>
    <n v="2875"/>
    <s v="Student_874"/>
    <s v="Mumbai"/>
    <x v="2"/>
    <d v="2025-03-13T00:00:00"/>
    <n v="39488"/>
    <n v="26349"/>
    <s v="2025-03"/>
  </r>
  <r>
    <n v="2876"/>
    <s v="Student_875"/>
    <s v="Delhi"/>
    <x v="0"/>
    <d v="2025-02-24T00:00:00"/>
    <n v="50013"/>
    <n v="44461"/>
    <s v="2025-02"/>
  </r>
  <r>
    <n v="2877"/>
    <s v="Student_876"/>
    <s v="Delhi"/>
    <x v="1"/>
    <d v="2025-02-16T00:00:00"/>
    <n v="36402"/>
    <n v="35775"/>
    <s v="2025-02"/>
  </r>
  <r>
    <n v="2878"/>
    <s v="Student_877"/>
    <s v="Pune"/>
    <x v="2"/>
    <d v="2025-08-26T00:00:00"/>
    <n v="41205"/>
    <n v="29216"/>
    <s v="2025-08"/>
  </r>
  <r>
    <n v="2879"/>
    <s v="Student_878"/>
    <s v="Chennai"/>
    <x v="5"/>
    <d v="2025-04-14T00:00:00"/>
    <n v="46049"/>
    <n v="32269"/>
    <s v="2025-04"/>
  </r>
  <r>
    <n v="2880"/>
    <s v="Student_879"/>
    <s v="Delhi"/>
    <x v="2"/>
    <d v="2025-07-29T00:00:00"/>
    <n v="32253"/>
    <n v="25664"/>
    <s v="2025-07"/>
  </r>
  <r>
    <n v="2881"/>
    <s v="Student_880"/>
    <s v="Pune"/>
    <x v="0"/>
    <d v="2025-02-11T00:00:00"/>
    <n v="38990"/>
    <n v="36946"/>
    <s v="2025-02"/>
  </r>
  <r>
    <n v="2882"/>
    <s v="Student_881"/>
    <s v="Bangalore"/>
    <x v="4"/>
    <d v="2025-11-12T00:00:00"/>
    <n v="27846"/>
    <n v="16102"/>
    <s v="2025-11"/>
  </r>
  <r>
    <n v="2883"/>
    <s v="Student_882"/>
    <s v="Chennai"/>
    <x v="0"/>
    <d v="2025-09-25T00:00:00"/>
    <n v="45027"/>
    <n v="31856"/>
    <s v="2025-09"/>
  </r>
  <r>
    <n v="2884"/>
    <s v="Student_883"/>
    <s v="Delhi"/>
    <x v="4"/>
    <d v="2025-09-20T00:00:00"/>
    <n v="59200"/>
    <n v="56859"/>
    <s v="2025-09"/>
  </r>
  <r>
    <n v="2885"/>
    <s v="Student_884"/>
    <s v="Kolkata"/>
    <x v="4"/>
    <d v="2025-12-02T00:00:00"/>
    <n v="23765"/>
    <n v="17881"/>
    <s v="2025-12"/>
  </r>
  <r>
    <n v="2886"/>
    <s v="Student_885"/>
    <s v="Hyderabad"/>
    <x v="1"/>
    <d v="2025-12-31T00:00:00"/>
    <n v="35950"/>
    <n v="24544"/>
    <s v="2025-12"/>
  </r>
  <r>
    <n v="2887"/>
    <s v="Student_886"/>
    <s v="Bangalore"/>
    <x v="2"/>
    <d v="2025-09-16T00:00:00"/>
    <n v="29741"/>
    <n v="21556"/>
    <s v="2025-09"/>
  </r>
  <r>
    <n v="2888"/>
    <s v="Student_887"/>
    <s v="Bangalore"/>
    <x v="5"/>
    <d v="2025-10-10T00:00:00"/>
    <n v="42742"/>
    <n v="42493"/>
    <s v="2025-10"/>
  </r>
  <r>
    <n v="2889"/>
    <s v="Student_888"/>
    <s v="Pune"/>
    <x v="5"/>
    <d v="2025-04-24T00:00:00"/>
    <n v="44703"/>
    <n v="41778"/>
    <s v="2025-04"/>
  </r>
  <r>
    <n v="2890"/>
    <s v="Student_889"/>
    <s v="Bangalore"/>
    <x v="3"/>
    <d v="2025-12-29T00:00:00"/>
    <n v="58709"/>
    <n v="53666"/>
    <s v="2025-12"/>
  </r>
  <r>
    <n v="2891"/>
    <s v="Student_890"/>
    <s v="Chennai"/>
    <x v="4"/>
    <d v="2025-02-09T00:00:00"/>
    <n v="57623"/>
    <n v="56649"/>
    <s v="2025-02"/>
  </r>
  <r>
    <n v="2892"/>
    <s v="Student_891"/>
    <s v="Delhi"/>
    <x v="5"/>
    <d v="2025-08-08T00:00:00"/>
    <n v="42931"/>
    <n v="33414"/>
    <s v="2025-08"/>
  </r>
  <r>
    <n v="2893"/>
    <s v="Student_892"/>
    <s v="Delhi"/>
    <x v="1"/>
    <d v="2025-05-09T00:00:00"/>
    <n v="43580"/>
    <n v="36388"/>
    <s v="2025-05"/>
  </r>
  <r>
    <n v="2894"/>
    <s v="Student_893"/>
    <s v="Kolkata"/>
    <x v="4"/>
    <d v="2025-01-08T00:00:00"/>
    <n v="35166"/>
    <n v="25991"/>
    <s v="2025-01"/>
  </r>
  <r>
    <n v="2895"/>
    <s v="Student_894"/>
    <s v="Hyderabad"/>
    <x v="1"/>
    <d v="2025-04-11T00:00:00"/>
    <n v="49240"/>
    <n v="40160"/>
    <s v="2025-04"/>
  </r>
  <r>
    <n v="2896"/>
    <s v="Student_895"/>
    <s v="Pune"/>
    <x v="5"/>
    <d v="2025-06-25T00:00:00"/>
    <n v="45991"/>
    <n v="34862"/>
    <s v="2025-06"/>
  </r>
  <r>
    <n v="2897"/>
    <s v="Student_896"/>
    <s v="Hyderabad"/>
    <x v="5"/>
    <d v="2025-04-17T00:00:00"/>
    <n v="58556"/>
    <n v="48247"/>
    <s v="2025-04"/>
  </r>
  <r>
    <n v="2898"/>
    <s v="Student_897"/>
    <s v="Bangalore"/>
    <x v="3"/>
    <d v="2025-04-11T00:00:00"/>
    <n v="52969"/>
    <n v="50297"/>
    <s v="2025-04"/>
  </r>
  <r>
    <n v="2899"/>
    <s v="Student_898"/>
    <s v="Kolkata"/>
    <x v="5"/>
    <d v="2025-09-17T00:00:00"/>
    <n v="30561"/>
    <n v="17399"/>
    <s v="2025-09"/>
  </r>
  <r>
    <n v="2900"/>
    <s v="Student_899"/>
    <s v="Hyderabad"/>
    <x v="4"/>
    <d v="2025-09-03T00:00:00"/>
    <n v="36901"/>
    <n v="29622"/>
    <s v="2025-09"/>
  </r>
  <r>
    <n v="2901"/>
    <s v="Student_900"/>
    <s v="Chennai"/>
    <x v="4"/>
    <d v="2025-10-02T00:00:00"/>
    <n v="50020"/>
    <n v="42489"/>
    <s v="2025-10"/>
  </r>
  <r>
    <n v="2902"/>
    <s v="Student_901"/>
    <s v="Delhi"/>
    <x v="4"/>
    <d v="2025-02-01T00:00:00"/>
    <n v="45917"/>
    <n v="36399"/>
    <s v="2025-02"/>
  </r>
  <r>
    <n v="2903"/>
    <s v="Student_902"/>
    <s v="Bangalore"/>
    <x v="3"/>
    <d v="2025-05-17T00:00:00"/>
    <n v="21988"/>
    <n v="13326"/>
    <s v="2025-05"/>
  </r>
  <r>
    <n v="2904"/>
    <s v="Student_903"/>
    <s v="Kolkata"/>
    <x v="3"/>
    <d v="2025-01-12T00:00:00"/>
    <n v="34256"/>
    <n v="32269"/>
    <s v="2025-01"/>
  </r>
  <r>
    <n v="2905"/>
    <s v="Student_904"/>
    <s v="Hyderabad"/>
    <x v="5"/>
    <d v="2025-10-29T00:00:00"/>
    <n v="42192"/>
    <n v="42102"/>
    <s v="2025-10"/>
  </r>
  <r>
    <n v="2906"/>
    <s v="Student_905"/>
    <s v="Pune"/>
    <x v="0"/>
    <d v="2025-01-16T00:00:00"/>
    <n v="48230"/>
    <n v="39509"/>
    <s v="2025-01"/>
  </r>
  <r>
    <n v="2907"/>
    <s v="Student_906"/>
    <s v="Chennai"/>
    <x v="0"/>
    <d v="2025-05-09T00:00:00"/>
    <n v="59930"/>
    <n v="46982"/>
    <s v="2025-05"/>
  </r>
  <r>
    <n v="2908"/>
    <s v="Student_907"/>
    <s v="Chennai"/>
    <x v="3"/>
    <d v="2025-03-04T00:00:00"/>
    <n v="42625"/>
    <n v="38566"/>
    <s v="2025-03"/>
  </r>
  <r>
    <n v="2909"/>
    <s v="Student_908"/>
    <s v="Hyderabad"/>
    <x v="5"/>
    <d v="2025-04-19T00:00:00"/>
    <n v="52088"/>
    <n v="39062"/>
    <s v="2025-04"/>
  </r>
  <r>
    <n v="2910"/>
    <s v="Student_909"/>
    <s v="Delhi"/>
    <x v="0"/>
    <d v="2025-01-21T00:00:00"/>
    <n v="34114"/>
    <n v="31341"/>
    <s v="2025-01"/>
  </r>
  <r>
    <n v="2911"/>
    <s v="Student_910"/>
    <s v="Hyderabad"/>
    <x v="5"/>
    <d v="2025-06-07T00:00:00"/>
    <n v="58401"/>
    <n v="45242"/>
    <s v="2025-06"/>
  </r>
  <r>
    <n v="2912"/>
    <s v="Student_911"/>
    <s v="Bangalore"/>
    <x v="5"/>
    <d v="2025-09-26T00:00:00"/>
    <n v="25755"/>
    <n v="15877"/>
    <s v="2025-09"/>
  </r>
  <r>
    <n v="2913"/>
    <s v="Student_912"/>
    <s v="Hyderabad"/>
    <x v="5"/>
    <d v="2025-06-11T00:00:00"/>
    <n v="30825"/>
    <n v="22442"/>
    <s v="2025-06"/>
  </r>
  <r>
    <n v="2914"/>
    <s v="Student_913"/>
    <s v="Chennai"/>
    <x v="2"/>
    <d v="2025-09-17T00:00:00"/>
    <n v="42693"/>
    <n v="32515"/>
    <s v="2025-09"/>
  </r>
  <r>
    <n v="2915"/>
    <s v="Student_914"/>
    <s v="Kolkata"/>
    <x v="4"/>
    <d v="2025-04-12T00:00:00"/>
    <n v="24117"/>
    <n v="12302"/>
    <s v="2025-04"/>
  </r>
  <r>
    <n v="2916"/>
    <s v="Student_915"/>
    <s v="Hyderabad"/>
    <x v="5"/>
    <d v="2025-08-11T00:00:00"/>
    <n v="44729"/>
    <n v="37320"/>
    <s v="2025-08"/>
  </r>
  <r>
    <n v="2917"/>
    <s v="Student_916"/>
    <s v="Delhi"/>
    <x v="2"/>
    <d v="2025-02-28T00:00:00"/>
    <n v="52182"/>
    <n v="41805"/>
    <s v="2025-02"/>
  </r>
  <r>
    <n v="2918"/>
    <s v="Student_917"/>
    <s v="Kolkata"/>
    <x v="3"/>
    <d v="2025-09-04T00:00:00"/>
    <n v="48890"/>
    <n v="44450"/>
    <s v="2025-09"/>
  </r>
  <r>
    <n v="2919"/>
    <s v="Student_918"/>
    <s v="Pune"/>
    <x v="0"/>
    <d v="2025-05-08T00:00:00"/>
    <n v="49340"/>
    <n v="41993"/>
    <s v="2025-05"/>
  </r>
  <r>
    <n v="2920"/>
    <s v="Student_919"/>
    <s v="Mumbai"/>
    <x v="4"/>
    <d v="2025-10-10T00:00:00"/>
    <n v="21518"/>
    <n v="20510"/>
    <s v="2025-10"/>
  </r>
  <r>
    <n v="2921"/>
    <s v="Student_920"/>
    <s v="Hyderabad"/>
    <x v="0"/>
    <d v="2025-11-21T00:00:00"/>
    <n v="50949"/>
    <n v="47166"/>
    <s v="2025-11"/>
  </r>
  <r>
    <n v="2922"/>
    <s v="Student_921"/>
    <s v="Delhi"/>
    <x v="4"/>
    <d v="2025-01-25T00:00:00"/>
    <n v="42547"/>
    <n v="35901"/>
    <s v="2025-01"/>
  </r>
  <r>
    <n v="2923"/>
    <s v="Student_922"/>
    <s v="Kolkata"/>
    <x v="0"/>
    <d v="2025-05-11T00:00:00"/>
    <n v="36346"/>
    <n v="32048"/>
    <s v="2025-05"/>
  </r>
  <r>
    <n v="2924"/>
    <s v="Student_923"/>
    <s v="Delhi"/>
    <x v="4"/>
    <d v="2025-12-19T00:00:00"/>
    <n v="22600"/>
    <n v="17932"/>
    <s v="2025-12"/>
  </r>
  <r>
    <n v="2925"/>
    <s v="Student_924"/>
    <s v="Pune"/>
    <x v="0"/>
    <d v="2025-07-15T00:00:00"/>
    <n v="49267"/>
    <n v="44980"/>
    <s v="2025-07"/>
  </r>
  <r>
    <n v="2926"/>
    <s v="Student_925"/>
    <s v="Chennai"/>
    <x v="0"/>
    <d v="2025-10-08T00:00:00"/>
    <n v="56322"/>
    <n v="54270"/>
    <s v="2025-10"/>
  </r>
  <r>
    <n v="2927"/>
    <s v="Student_926"/>
    <s v="Delhi"/>
    <x v="0"/>
    <d v="2025-06-03T00:00:00"/>
    <n v="46990"/>
    <n v="40981"/>
    <s v="2025-06"/>
  </r>
  <r>
    <n v="2928"/>
    <s v="Student_927"/>
    <s v="Kolkata"/>
    <x v="0"/>
    <d v="2025-05-13T00:00:00"/>
    <n v="36193"/>
    <n v="24693"/>
    <s v="2025-05"/>
  </r>
  <r>
    <n v="2929"/>
    <s v="Student_928"/>
    <s v="Delhi"/>
    <x v="3"/>
    <d v="2025-08-15T00:00:00"/>
    <n v="50109"/>
    <n v="48393"/>
    <s v="2025-08"/>
  </r>
  <r>
    <n v="2930"/>
    <s v="Student_929"/>
    <s v="Delhi"/>
    <x v="5"/>
    <d v="2025-07-08T00:00:00"/>
    <n v="39233"/>
    <n v="38923"/>
    <s v="2025-07"/>
  </r>
  <r>
    <n v="2931"/>
    <s v="Student_930"/>
    <s v="Delhi"/>
    <x v="1"/>
    <d v="2025-09-22T00:00:00"/>
    <n v="36194"/>
    <n v="21310"/>
    <s v="2025-09"/>
  </r>
  <r>
    <n v="2932"/>
    <s v="Student_931"/>
    <s v="Bangalore"/>
    <x v="2"/>
    <d v="2025-05-14T00:00:00"/>
    <n v="54510"/>
    <n v="40119"/>
    <s v="2025-05"/>
  </r>
  <r>
    <n v="2933"/>
    <s v="Student_932"/>
    <s v="Bangalore"/>
    <x v="1"/>
    <d v="2025-07-30T00:00:00"/>
    <n v="21306"/>
    <n v="16768"/>
    <s v="2025-07"/>
  </r>
  <r>
    <n v="2934"/>
    <s v="Student_933"/>
    <s v="Chennai"/>
    <x v="1"/>
    <d v="2025-03-01T00:00:00"/>
    <n v="23849"/>
    <n v="22589"/>
    <s v="2025-03"/>
  </r>
  <r>
    <n v="2935"/>
    <s v="Student_934"/>
    <s v="Hyderabad"/>
    <x v="4"/>
    <d v="2025-12-30T00:00:00"/>
    <n v="32360"/>
    <n v="19203"/>
    <s v="2025-12"/>
  </r>
  <r>
    <n v="2936"/>
    <s v="Student_935"/>
    <s v="Delhi"/>
    <x v="5"/>
    <d v="2025-12-30T00:00:00"/>
    <n v="49231"/>
    <n v="45299"/>
    <s v="2025-12"/>
  </r>
  <r>
    <n v="2937"/>
    <s v="Student_936"/>
    <s v="Pune"/>
    <x v="4"/>
    <d v="2025-08-01T00:00:00"/>
    <n v="56963"/>
    <n v="45503"/>
    <s v="2025-08"/>
  </r>
  <r>
    <n v="2938"/>
    <s v="Student_937"/>
    <s v="Hyderabad"/>
    <x v="5"/>
    <d v="2025-08-04T00:00:00"/>
    <n v="38689"/>
    <n v="38105"/>
    <s v="2025-08"/>
  </r>
  <r>
    <n v="2939"/>
    <s v="Student_938"/>
    <s v="Pune"/>
    <x v="5"/>
    <d v="2025-08-14T00:00:00"/>
    <n v="49084"/>
    <n v="35202"/>
    <s v="2025-08"/>
  </r>
  <r>
    <n v="2940"/>
    <s v="Student_939"/>
    <s v="Hyderabad"/>
    <x v="0"/>
    <d v="2025-05-11T00:00:00"/>
    <n v="29280"/>
    <n v="18289"/>
    <s v="2025-05"/>
  </r>
  <r>
    <n v="2941"/>
    <s v="Student_940"/>
    <s v="Chennai"/>
    <x v="3"/>
    <d v="2025-03-17T00:00:00"/>
    <n v="22642"/>
    <n v="8817"/>
    <s v="2025-03"/>
  </r>
  <r>
    <n v="2942"/>
    <s v="Student_941"/>
    <s v="Delhi"/>
    <x v="0"/>
    <d v="2025-10-13T00:00:00"/>
    <n v="34296"/>
    <n v="26680"/>
    <s v="2025-10"/>
  </r>
  <r>
    <n v="2943"/>
    <s v="Student_942"/>
    <s v="Delhi"/>
    <x v="3"/>
    <d v="2025-10-04T00:00:00"/>
    <n v="35438"/>
    <n v="26887"/>
    <s v="2025-10"/>
  </r>
  <r>
    <n v="2944"/>
    <s v="Student_943"/>
    <s v="Mumbai"/>
    <x v="4"/>
    <d v="2025-06-05T00:00:00"/>
    <n v="57525"/>
    <n v="43514"/>
    <s v="2025-06"/>
  </r>
  <r>
    <n v="2945"/>
    <s v="Student_944"/>
    <s v="Pune"/>
    <x v="3"/>
    <d v="2025-09-05T00:00:00"/>
    <n v="22994"/>
    <n v="20128"/>
    <s v="2025-09"/>
  </r>
  <r>
    <n v="2946"/>
    <s v="Student_945"/>
    <s v="Hyderabad"/>
    <x v="4"/>
    <d v="2025-08-06T00:00:00"/>
    <n v="54039"/>
    <n v="39674"/>
    <s v="2025-08"/>
  </r>
  <r>
    <n v="2947"/>
    <s v="Student_946"/>
    <s v="Hyderabad"/>
    <x v="1"/>
    <d v="2025-07-09T00:00:00"/>
    <n v="21813"/>
    <n v="15915"/>
    <s v="2025-07"/>
  </r>
  <r>
    <n v="2948"/>
    <s v="Student_947"/>
    <s v="Bangalore"/>
    <x v="1"/>
    <d v="2025-06-12T00:00:00"/>
    <n v="47491"/>
    <n v="45480"/>
    <s v="2025-06"/>
  </r>
  <r>
    <n v="2949"/>
    <s v="Student_948"/>
    <s v="Mumbai"/>
    <x v="3"/>
    <d v="2025-06-29T00:00:00"/>
    <n v="38845"/>
    <n v="32594"/>
    <s v="2025-06"/>
  </r>
  <r>
    <n v="2950"/>
    <s v="Student_949"/>
    <s v="Kolkata"/>
    <x v="3"/>
    <d v="2025-02-03T00:00:00"/>
    <n v="57164"/>
    <n v="52225"/>
    <s v="2025-02"/>
  </r>
  <r>
    <n v="2951"/>
    <s v="Student_950"/>
    <s v="Kolkata"/>
    <x v="4"/>
    <d v="2025-02-10T00:00:00"/>
    <n v="33318"/>
    <n v="29312"/>
    <s v="2025-02"/>
  </r>
  <r>
    <n v="2952"/>
    <s v="Student_951"/>
    <s v="Bangalore"/>
    <x v="0"/>
    <d v="2025-11-03T00:00:00"/>
    <n v="37200"/>
    <n v="35575"/>
    <s v="2025-11"/>
  </r>
  <r>
    <n v="2953"/>
    <s v="Student_952"/>
    <s v="Bangalore"/>
    <x v="4"/>
    <d v="2025-12-04T00:00:00"/>
    <n v="20082"/>
    <n v="9126"/>
    <s v="2025-12"/>
  </r>
  <r>
    <n v="2954"/>
    <s v="Student_953"/>
    <s v="Bangalore"/>
    <x v="0"/>
    <d v="2025-11-10T00:00:00"/>
    <n v="21920"/>
    <n v="21030"/>
    <s v="2025-11"/>
  </r>
  <r>
    <n v="2955"/>
    <s v="Student_954"/>
    <s v="Pune"/>
    <x v="1"/>
    <d v="2025-03-16T00:00:00"/>
    <n v="31683"/>
    <n v="17404"/>
    <s v="2025-03"/>
  </r>
  <r>
    <n v="2956"/>
    <s v="Student_955"/>
    <s v="Pune"/>
    <x v="5"/>
    <d v="2025-10-06T00:00:00"/>
    <n v="31336"/>
    <n v="25258"/>
    <s v="2025-10"/>
  </r>
  <r>
    <n v="2957"/>
    <s v="Student_956"/>
    <s v="Chennai"/>
    <x v="3"/>
    <d v="2025-06-25T00:00:00"/>
    <n v="35596"/>
    <n v="22349"/>
    <s v="2025-06"/>
  </r>
  <r>
    <n v="2958"/>
    <s v="Student_957"/>
    <s v="Chennai"/>
    <x v="0"/>
    <d v="2025-05-30T00:00:00"/>
    <n v="22093"/>
    <n v="8337"/>
    <s v="2025-05"/>
  </r>
  <r>
    <n v="2959"/>
    <s v="Student_958"/>
    <s v="Bangalore"/>
    <x v="4"/>
    <d v="2025-09-30T00:00:00"/>
    <n v="32905"/>
    <n v="25869"/>
    <s v="2025-09"/>
  </r>
  <r>
    <n v="2960"/>
    <s v="Student_959"/>
    <s v="Mumbai"/>
    <x v="1"/>
    <d v="2025-11-21T00:00:00"/>
    <n v="44351"/>
    <n v="30602"/>
    <s v="2025-11"/>
  </r>
  <r>
    <n v="2961"/>
    <s v="Student_960"/>
    <s v="Hyderabad"/>
    <x v="0"/>
    <d v="2025-04-18T00:00:00"/>
    <n v="50981"/>
    <n v="42058"/>
    <s v="2025-04"/>
  </r>
  <r>
    <n v="2962"/>
    <s v="Student_961"/>
    <s v="Pune"/>
    <x v="4"/>
    <d v="2025-05-19T00:00:00"/>
    <n v="28367"/>
    <n v="24406"/>
    <s v="2025-05"/>
  </r>
  <r>
    <n v="2963"/>
    <s v="Student_962"/>
    <s v="Mumbai"/>
    <x v="3"/>
    <d v="2025-12-16T00:00:00"/>
    <n v="25285"/>
    <n v="12392"/>
    <s v="2025-12"/>
  </r>
  <r>
    <n v="2964"/>
    <s v="Student_963"/>
    <s v="Delhi"/>
    <x v="3"/>
    <d v="2025-09-28T00:00:00"/>
    <n v="57705"/>
    <n v="55201"/>
    <s v="2025-09"/>
  </r>
  <r>
    <n v="2965"/>
    <s v="Student_964"/>
    <s v="Pune"/>
    <x v="2"/>
    <d v="2025-12-13T00:00:00"/>
    <n v="36753"/>
    <n v="27947"/>
    <s v="2025-12"/>
  </r>
  <r>
    <n v="2966"/>
    <s v="Student_965"/>
    <s v="Pune"/>
    <x v="5"/>
    <d v="2025-10-16T00:00:00"/>
    <n v="38485"/>
    <n v="34679"/>
    <s v="2025-10"/>
  </r>
  <r>
    <n v="2967"/>
    <s v="Student_966"/>
    <s v="Chennai"/>
    <x v="2"/>
    <d v="2025-07-31T00:00:00"/>
    <n v="32977"/>
    <n v="26877"/>
    <s v="2025-07"/>
  </r>
  <r>
    <n v="2968"/>
    <s v="Student_967"/>
    <s v="Hyderabad"/>
    <x v="1"/>
    <d v="2025-09-29T00:00:00"/>
    <n v="39874"/>
    <n v="38155"/>
    <s v="2025-09"/>
  </r>
  <r>
    <n v="2969"/>
    <s v="Student_968"/>
    <s v="Hyderabad"/>
    <x v="0"/>
    <d v="2025-03-07T00:00:00"/>
    <n v="27674"/>
    <n v="14713"/>
    <s v="2025-03"/>
  </r>
  <r>
    <n v="2970"/>
    <s v="Student_969"/>
    <s v="Kolkata"/>
    <x v="1"/>
    <d v="2025-09-05T00:00:00"/>
    <n v="49038"/>
    <n v="35480"/>
    <s v="2025-09"/>
  </r>
  <r>
    <n v="2971"/>
    <s v="Student_970"/>
    <s v="Kolkata"/>
    <x v="4"/>
    <d v="2025-06-05T00:00:00"/>
    <n v="49315"/>
    <n v="42629"/>
    <s v="2025-06"/>
  </r>
  <r>
    <n v="2972"/>
    <s v="Student_971"/>
    <s v="Kolkata"/>
    <x v="3"/>
    <d v="2025-02-16T00:00:00"/>
    <n v="23676"/>
    <n v="22089"/>
    <s v="2025-02"/>
  </r>
  <r>
    <n v="2973"/>
    <s v="Student_972"/>
    <s v="Kolkata"/>
    <x v="2"/>
    <d v="2025-07-20T00:00:00"/>
    <n v="22426"/>
    <n v="15426"/>
    <s v="2025-07"/>
  </r>
  <r>
    <n v="2974"/>
    <s v="Student_973"/>
    <s v="Delhi"/>
    <x v="2"/>
    <d v="2025-05-28T00:00:00"/>
    <n v="44473"/>
    <n v="34670"/>
    <s v="2025-05"/>
  </r>
  <r>
    <n v="2975"/>
    <s v="Student_974"/>
    <s v="Delhi"/>
    <x v="2"/>
    <d v="2025-05-04T00:00:00"/>
    <n v="22962"/>
    <n v="22066"/>
    <s v="2025-05"/>
  </r>
  <r>
    <n v="2976"/>
    <s v="Student_975"/>
    <s v="Pune"/>
    <x v="1"/>
    <d v="2025-01-01T00:00:00"/>
    <n v="49943"/>
    <n v="44385"/>
    <s v="2025-01"/>
  </r>
  <r>
    <n v="2977"/>
    <s v="Student_976"/>
    <s v="Bangalore"/>
    <x v="3"/>
    <d v="2025-09-04T00:00:00"/>
    <n v="20859"/>
    <n v="12390"/>
    <s v="2025-09"/>
  </r>
  <r>
    <n v="2978"/>
    <s v="Student_977"/>
    <s v="Chennai"/>
    <x v="0"/>
    <d v="2025-12-09T00:00:00"/>
    <n v="24138"/>
    <n v="19491"/>
    <s v="2025-12"/>
  </r>
  <r>
    <n v="2979"/>
    <s v="Student_978"/>
    <s v="Chennai"/>
    <x v="4"/>
    <d v="2025-05-08T00:00:00"/>
    <n v="55192"/>
    <n v="45364"/>
    <s v="2025-05"/>
  </r>
  <r>
    <n v="2980"/>
    <s v="Student_979"/>
    <s v="Kolkata"/>
    <x v="0"/>
    <d v="2025-07-10T00:00:00"/>
    <n v="45640"/>
    <n v="35290"/>
    <s v="2025-07"/>
  </r>
  <r>
    <n v="2981"/>
    <s v="Student_980"/>
    <s v="Pune"/>
    <x v="1"/>
    <d v="2025-03-08T00:00:00"/>
    <n v="30409"/>
    <n v="27977"/>
    <s v="2025-03"/>
  </r>
  <r>
    <n v="2982"/>
    <s v="Student_981"/>
    <s v="Mumbai"/>
    <x v="4"/>
    <d v="2025-01-04T00:00:00"/>
    <n v="24017"/>
    <n v="20113"/>
    <s v="2025-01"/>
  </r>
  <r>
    <n v="2983"/>
    <s v="Student_982"/>
    <s v="Bangalore"/>
    <x v="2"/>
    <d v="2025-10-30T00:00:00"/>
    <n v="30451"/>
    <n v="17403"/>
    <s v="2025-10"/>
  </r>
  <r>
    <n v="2984"/>
    <s v="Student_983"/>
    <s v="Pune"/>
    <x v="5"/>
    <d v="2025-10-21T00:00:00"/>
    <n v="48327"/>
    <n v="36873"/>
    <s v="2025-10"/>
  </r>
  <r>
    <n v="2985"/>
    <s v="Student_984"/>
    <s v="Bangalore"/>
    <x v="1"/>
    <d v="2025-05-23T00:00:00"/>
    <n v="30278"/>
    <n v="23441"/>
    <s v="2025-05"/>
  </r>
  <r>
    <n v="2986"/>
    <s v="Student_985"/>
    <s v="Bangalore"/>
    <x v="1"/>
    <d v="2025-07-10T00:00:00"/>
    <n v="44944"/>
    <n v="43495"/>
    <s v="2025-07"/>
  </r>
  <r>
    <n v="2987"/>
    <s v="Student_986"/>
    <s v="Bangalore"/>
    <x v="3"/>
    <d v="2025-01-21T00:00:00"/>
    <n v="21134"/>
    <n v="16634"/>
    <s v="2025-01"/>
  </r>
  <r>
    <n v="2988"/>
    <s v="Student_987"/>
    <s v="Pune"/>
    <x v="0"/>
    <d v="2025-08-15T00:00:00"/>
    <n v="50131"/>
    <n v="44677"/>
    <s v="2025-08"/>
  </r>
  <r>
    <n v="2989"/>
    <s v="Student_988"/>
    <s v="Kolkata"/>
    <x v="1"/>
    <d v="2025-11-09T00:00:00"/>
    <n v="57887"/>
    <n v="48463"/>
    <s v="2025-11"/>
  </r>
  <r>
    <n v="2990"/>
    <s v="Student_989"/>
    <s v="Chennai"/>
    <x v="1"/>
    <d v="2025-04-27T00:00:00"/>
    <n v="58462"/>
    <n v="54345"/>
    <s v="2025-04"/>
  </r>
  <r>
    <n v="2991"/>
    <s v="Student_990"/>
    <s v="Chennai"/>
    <x v="2"/>
    <d v="2025-10-29T00:00:00"/>
    <n v="42520"/>
    <n v="33651"/>
    <s v="2025-10"/>
  </r>
  <r>
    <n v="2992"/>
    <s v="Student_991"/>
    <s v="Kolkata"/>
    <x v="2"/>
    <d v="2025-05-22T00:00:00"/>
    <n v="41869"/>
    <n v="31019"/>
    <s v="2025-05"/>
  </r>
  <r>
    <n v="2993"/>
    <s v="Student_992"/>
    <s v="Bangalore"/>
    <x v="4"/>
    <d v="2025-02-08T00:00:00"/>
    <n v="56932"/>
    <n v="54904"/>
    <s v="2025-02"/>
  </r>
  <r>
    <n v="2994"/>
    <s v="Student_993"/>
    <s v="Mumbai"/>
    <x v="5"/>
    <d v="2025-12-21T00:00:00"/>
    <n v="25039"/>
    <n v="11520"/>
    <s v="2025-12"/>
  </r>
  <r>
    <n v="2995"/>
    <s v="Student_994"/>
    <s v="Hyderabad"/>
    <x v="3"/>
    <d v="2025-09-09T00:00:00"/>
    <n v="41281"/>
    <n v="26938"/>
    <s v="2025-09"/>
  </r>
  <r>
    <n v="2996"/>
    <s v="Student_995"/>
    <s v="Pune"/>
    <x v="5"/>
    <d v="2025-11-29T00:00:00"/>
    <n v="30442"/>
    <n v="23597"/>
    <s v="2025-11"/>
  </r>
  <r>
    <n v="2997"/>
    <s v="Student_996"/>
    <s v="Hyderabad"/>
    <x v="4"/>
    <d v="2025-07-26T00:00:00"/>
    <n v="28252"/>
    <n v="24494"/>
    <s v="2025-07"/>
  </r>
  <r>
    <n v="2998"/>
    <s v="Student_997"/>
    <s v="Kolkata"/>
    <x v="2"/>
    <d v="2025-07-29T00:00:00"/>
    <n v="47586"/>
    <n v="41682"/>
    <s v="2025-07"/>
  </r>
  <r>
    <n v="2999"/>
    <s v="Student_998"/>
    <s v="Mumbai"/>
    <x v="0"/>
    <d v="2025-04-25T00:00:00"/>
    <n v="37568"/>
    <n v="32944"/>
    <s v="2025-04"/>
  </r>
  <r>
    <n v="3000"/>
    <s v="Student_999"/>
    <s v="Pune"/>
    <x v="2"/>
    <d v="2025-08-13T00:00:00"/>
    <n v="40810"/>
    <n v="30581"/>
    <s v="2025-08"/>
  </r>
  <r>
    <n v="3001"/>
    <s v="Student_1000"/>
    <s v="Kolkata"/>
    <x v="3"/>
    <d v="2025-05-14T00:00:00"/>
    <n v="21551"/>
    <n v="10710"/>
    <s v="2025-05"/>
  </r>
  <r>
    <n v="3002"/>
    <s v="Student_1001"/>
    <s v="Bangalore"/>
    <x v="2"/>
    <d v="2025-09-08T00:00:00"/>
    <n v="32625"/>
    <n v="18661"/>
    <s v="2025-09"/>
  </r>
  <r>
    <n v="3003"/>
    <s v="Student_1002"/>
    <s v="Chennai"/>
    <x v="3"/>
    <d v="2025-08-07T00:00:00"/>
    <n v="54397"/>
    <n v="45549"/>
    <s v="2025-08"/>
  </r>
  <r>
    <n v="3004"/>
    <s v="Student_1003"/>
    <s v="Hyderabad"/>
    <x v="3"/>
    <d v="2025-04-01T00:00:00"/>
    <n v="46249"/>
    <n v="46084"/>
    <s v="2025-04"/>
  </r>
  <r>
    <n v="3005"/>
    <s v="Student_1004"/>
    <s v="Delhi"/>
    <x v="3"/>
    <d v="2025-12-20T00:00:00"/>
    <n v="21361"/>
    <n v="8225"/>
    <s v="2025-12"/>
  </r>
  <r>
    <n v="3006"/>
    <s v="Student_1005"/>
    <s v="Delhi"/>
    <x v="4"/>
    <d v="2025-02-15T00:00:00"/>
    <n v="46149"/>
    <n v="41558"/>
    <s v="2025-02"/>
  </r>
  <r>
    <n v="3007"/>
    <s v="Student_1006"/>
    <s v="Mumbai"/>
    <x v="3"/>
    <d v="2025-02-07T00:00:00"/>
    <n v="24370"/>
    <n v="23781"/>
    <s v="2025-02"/>
  </r>
  <r>
    <n v="3008"/>
    <s v="Student_1007"/>
    <s v="Bangalore"/>
    <x v="3"/>
    <d v="2025-05-22T00:00:00"/>
    <n v="25283"/>
    <n v="20759"/>
    <s v="2025-05"/>
  </r>
  <r>
    <n v="3009"/>
    <s v="Student_1008"/>
    <s v="Hyderabad"/>
    <x v="0"/>
    <d v="2025-04-10T00:00:00"/>
    <n v="27610"/>
    <n v="24789"/>
    <s v="2025-04"/>
  </r>
  <r>
    <n v="3010"/>
    <s v="Student_1009"/>
    <s v="Bangalore"/>
    <x v="5"/>
    <d v="2025-11-24T00:00:00"/>
    <n v="34924"/>
    <n v="22474"/>
    <s v="2025-11"/>
  </r>
  <r>
    <n v="3011"/>
    <s v="Student_1010"/>
    <s v="Hyderabad"/>
    <x v="1"/>
    <d v="2025-07-09T00:00:00"/>
    <n v="30626"/>
    <n v="24117"/>
    <s v="2025-07"/>
  </r>
  <r>
    <n v="3012"/>
    <s v="Student_1011"/>
    <s v="Mumbai"/>
    <x v="5"/>
    <d v="2025-02-04T00:00:00"/>
    <n v="54761"/>
    <n v="47068"/>
    <s v="2025-02"/>
  </r>
  <r>
    <n v="3013"/>
    <s v="Student_1012"/>
    <s v="Mumbai"/>
    <x v="3"/>
    <d v="2025-05-27T00:00:00"/>
    <n v="20869"/>
    <n v="11415"/>
    <s v="2025-05"/>
  </r>
  <r>
    <n v="3014"/>
    <s v="Student_1013"/>
    <s v="Delhi"/>
    <x v="0"/>
    <d v="2025-01-30T00:00:00"/>
    <n v="51552"/>
    <n v="51481"/>
    <s v="2025-01"/>
  </r>
  <r>
    <n v="3015"/>
    <s v="Student_1014"/>
    <s v="Bangalore"/>
    <x v="2"/>
    <d v="2025-11-30T00:00:00"/>
    <n v="21014"/>
    <n v="9306"/>
    <s v="2025-11"/>
  </r>
  <r>
    <n v="3016"/>
    <s v="Student_1015"/>
    <s v="Pune"/>
    <x v="0"/>
    <d v="2025-03-25T00:00:00"/>
    <n v="30103"/>
    <n v="17161"/>
    <s v="2025-03"/>
  </r>
  <r>
    <n v="3017"/>
    <s v="Student_1016"/>
    <s v="Delhi"/>
    <x v="3"/>
    <d v="2025-10-08T00:00:00"/>
    <n v="36986"/>
    <n v="33406"/>
    <s v="2025-10"/>
  </r>
  <r>
    <n v="3018"/>
    <s v="Student_1017"/>
    <s v="Bangalore"/>
    <x v="0"/>
    <d v="2025-12-10T00:00:00"/>
    <n v="50471"/>
    <n v="42509"/>
    <s v="2025-12"/>
  </r>
  <r>
    <n v="3019"/>
    <s v="Student_1018"/>
    <s v="Delhi"/>
    <x v="0"/>
    <d v="2025-09-27T00:00:00"/>
    <n v="53458"/>
    <n v="53190"/>
    <s v="2025-09"/>
  </r>
  <r>
    <n v="3020"/>
    <s v="Student_1019"/>
    <s v="Pune"/>
    <x v="3"/>
    <d v="2025-06-03T00:00:00"/>
    <n v="45069"/>
    <n v="35101"/>
    <s v="2025-06"/>
  </r>
  <r>
    <n v="3021"/>
    <s v="Student_1020"/>
    <s v="Chennai"/>
    <x v="4"/>
    <d v="2025-04-12T00:00:00"/>
    <n v="36873"/>
    <n v="34411"/>
    <s v="2025-04"/>
  </r>
  <r>
    <n v="3022"/>
    <s v="Student_1021"/>
    <s v="Chennai"/>
    <x v="0"/>
    <d v="2025-08-03T00:00:00"/>
    <n v="43248"/>
    <n v="33788"/>
    <s v="2025-08"/>
  </r>
  <r>
    <n v="3023"/>
    <s v="Student_1022"/>
    <s v="Chennai"/>
    <x v="1"/>
    <d v="2025-05-30T00:00:00"/>
    <n v="43624"/>
    <n v="42609"/>
    <s v="2025-05"/>
  </r>
  <r>
    <n v="3024"/>
    <s v="Student_1023"/>
    <s v="Chennai"/>
    <x v="1"/>
    <d v="2025-03-24T00:00:00"/>
    <n v="49061"/>
    <n v="38147"/>
    <s v="2025-03"/>
  </r>
  <r>
    <n v="3025"/>
    <s v="Student_1024"/>
    <s v="Kolkata"/>
    <x v="0"/>
    <d v="2025-04-20T00:00:00"/>
    <n v="44170"/>
    <n v="34895"/>
    <s v="2025-04"/>
  </r>
  <r>
    <n v="3026"/>
    <s v="Student_1025"/>
    <s v="Hyderabad"/>
    <x v="4"/>
    <d v="2025-10-02T00:00:00"/>
    <n v="28024"/>
    <n v="15731"/>
    <s v="2025-10"/>
  </r>
  <r>
    <n v="3027"/>
    <s v="Student_1026"/>
    <s v="Kolkata"/>
    <x v="2"/>
    <d v="2025-07-20T00:00:00"/>
    <n v="36678"/>
    <n v="23409"/>
    <s v="2025-07"/>
  </r>
  <r>
    <n v="3028"/>
    <s v="Student_1027"/>
    <s v="Kolkata"/>
    <x v="3"/>
    <d v="2025-10-11T00:00:00"/>
    <n v="58256"/>
    <n v="43351"/>
    <s v="2025-10"/>
  </r>
  <r>
    <n v="3029"/>
    <s v="Student_1028"/>
    <s v="Kolkata"/>
    <x v="1"/>
    <d v="2025-06-22T00:00:00"/>
    <n v="40411"/>
    <n v="32427"/>
    <s v="2025-06"/>
  </r>
  <r>
    <n v="3030"/>
    <s v="Student_1029"/>
    <s v="Chennai"/>
    <x v="2"/>
    <d v="2025-11-23T00:00:00"/>
    <n v="39296"/>
    <n v="38890"/>
    <s v="2025-11"/>
  </r>
  <r>
    <n v="3031"/>
    <s v="Student_1030"/>
    <s v="Pune"/>
    <x v="0"/>
    <d v="2025-07-25T00:00:00"/>
    <n v="46293"/>
    <n v="38909"/>
    <s v="2025-07"/>
  </r>
  <r>
    <n v="3032"/>
    <s v="Student_1031"/>
    <s v="Mumbai"/>
    <x v="2"/>
    <d v="2025-03-04T00:00:00"/>
    <n v="47172"/>
    <n v="41123"/>
    <s v="2025-03"/>
  </r>
  <r>
    <n v="3033"/>
    <s v="Student_1032"/>
    <s v="Mumbai"/>
    <x v="5"/>
    <d v="2025-03-14T00:00:00"/>
    <n v="41128"/>
    <n v="34959"/>
    <s v="2025-03"/>
  </r>
  <r>
    <n v="3034"/>
    <s v="Student_1033"/>
    <s v="Hyderabad"/>
    <x v="1"/>
    <d v="2025-09-08T00:00:00"/>
    <n v="38257"/>
    <n v="30275"/>
    <s v="2025-09"/>
  </r>
  <r>
    <n v="3035"/>
    <s v="Student_1034"/>
    <s v="Chennai"/>
    <x v="0"/>
    <d v="2025-05-04T00:00:00"/>
    <n v="32855"/>
    <n v="21587"/>
    <s v="2025-05"/>
  </r>
  <r>
    <n v="3036"/>
    <s v="Student_1035"/>
    <s v="Chennai"/>
    <x v="3"/>
    <d v="2025-05-01T00:00:00"/>
    <n v="39642"/>
    <n v="38657"/>
    <s v="2025-05"/>
  </r>
  <r>
    <n v="3037"/>
    <s v="Student_1036"/>
    <s v="Chennai"/>
    <x v="4"/>
    <d v="2025-10-02T00:00:00"/>
    <n v="55585"/>
    <n v="43790"/>
    <s v="2025-10"/>
  </r>
  <r>
    <n v="3038"/>
    <s v="Student_1037"/>
    <s v="Delhi"/>
    <x v="0"/>
    <d v="2025-04-30T00:00:00"/>
    <n v="40025"/>
    <n v="35540"/>
    <s v="2025-04"/>
  </r>
  <r>
    <n v="3039"/>
    <s v="Student_1038"/>
    <s v="Bangalore"/>
    <x v="3"/>
    <d v="2025-11-13T00:00:00"/>
    <n v="24458"/>
    <n v="15557"/>
    <s v="2025-11"/>
  </r>
  <r>
    <n v="3040"/>
    <s v="Student_1039"/>
    <s v="Delhi"/>
    <x v="4"/>
    <d v="2025-06-13T00:00:00"/>
    <n v="25307"/>
    <n v="22689"/>
    <s v="2025-06"/>
  </r>
  <r>
    <n v="3041"/>
    <s v="Student_1040"/>
    <s v="Bangalore"/>
    <x v="4"/>
    <d v="2025-10-13T00:00:00"/>
    <n v="38425"/>
    <n v="24666"/>
    <s v="2025-10"/>
  </r>
  <r>
    <n v="3042"/>
    <s v="Student_1041"/>
    <s v="Chennai"/>
    <x v="0"/>
    <d v="2025-09-22T00:00:00"/>
    <n v="48273"/>
    <n v="35232"/>
    <s v="2025-09"/>
  </r>
  <r>
    <n v="3043"/>
    <s v="Student_1042"/>
    <s v="Chennai"/>
    <x v="2"/>
    <d v="2025-11-16T00:00:00"/>
    <n v="58506"/>
    <n v="52217"/>
    <s v="2025-11"/>
  </r>
  <r>
    <n v="3044"/>
    <s v="Student_1043"/>
    <s v="Delhi"/>
    <x v="2"/>
    <d v="2025-06-10T00:00:00"/>
    <n v="25668"/>
    <n v="16065"/>
    <s v="2025-06"/>
  </r>
  <r>
    <n v="3045"/>
    <s v="Student_1044"/>
    <s v="Delhi"/>
    <x v="4"/>
    <d v="2025-11-04T00:00:00"/>
    <n v="45934"/>
    <n v="39006"/>
    <s v="2025-11"/>
  </r>
  <r>
    <n v="3046"/>
    <s v="Student_1045"/>
    <s v="Bangalore"/>
    <x v="2"/>
    <d v="2025-03-30T00:00:00"/>
    <n v="27697"/>
    <n v="22329"/>
    <s v="2025-03"/>
  </r>
  <r>
    <n v="3047"/>
    <s v="Student_1046"/>
    <s v="Mumbai"/>
    <x v="5"/>
    <d v="2025-05-22T00:00:00"/>
    <n v="44417"/>
    <n v="39796"/>
    <s v="2025-05"/>
  </r>
  <r>
    <n v="3048"/>
    <s v="Student_1047"/>
    <s v="Bangalore"/>
    <x v="4"/>
    <d v="2025-07-22T00:00:00"/>
    <n v="36446"/>
    <n v="26769"/>
    <s v="2025-07"/>
  </r>
  <r>
    <n v="3049"/>
    <s v="Student_1048"/>
    <s v="Delhi"/>
    <x v="4"/>
    <d v="2025-11-05T00:00:00"/>
    <n v="30751"/>
    <n v="16403"/>
    <s v="2025-11"/>
  </r>
  <r>
    <n v="3050"/>
    <s v="Student_1049"/>
    <s v="Pune"/>
    <x v="3"/>
    <d v="2025-08-15T00:00:00"/>
    <n v="27352"/>
    <n v="16210"/>
    <s v="2025-08"/>
  </r>
  <r>
    <n v="3051"/>
    <s v="Student_1050"/>
    <s v="Delhi"/>
    <x v="2"/>
    <d v="2025-11-30T00:00:00"/>
    <n v="33516"/>
    <n v="18797"/>
    <s v="2025-11"/>
  </r>
  <r>
    <n v="3052"/>
    <s v="Student_1051"/>
    <s v="Pune"/>
    <x v="4"/>
    <d v="2025-08-10T00:00:00"/>
    <n v="43299"/>
    <n v="30456"/>
    <s v="2025-08"/>
  </r>
  <r>
    <n v="3053"/>
    <s v="Student_1052"/>
    <s v="Hyderabad"/>
    <x v="5"/>
    <d v="2025-02-10T00:00:00"/>
    <n v="51957"/>
    <n v="40831"/>
    <s v="2025-02"/>
  </r>
  <r>
    <n v="3054"/>
    <s v="Student_1053"/>
    <s v="Delhi"/>
    <x v="3"/>
    <d v="2025-07-15T00:00:00"/>
    <n v="48927"/>
    <n v="41361"/>
    <s v="2025-07"/>
  </r>
  <r>
    <n v="3055"/>
    <s v="Student_1054"/>
    <s v="Hyderabad"/>
    <x v="0"/>
    <d v="2025-03-09T00:00:00"/>
    <n v="56412"/>
    <n v="44106"/>
    <s v="2025-03"/>
  </r>
  <r>
    <n v="3056"/>
    <s v="Student_1055"/>
    <s v="Mumbai"/>
    <x v="4"/>
    <d v="2025-09-21T00:00:00"/>
    <n v="49493"/>
    <n v="44823"/>
    <s v="2025-09"/>
  </r>
  <r>
    <n v="3057"/>
    <s v="Student_1056"/>
    <s v="Bangalore"/>
    <x v="5"/>
    <d v="2025-01-02T00:00:00"/>
    <n v="46711"/>
    <n v="39053"/>
    <s v="2025-01"/>
  </r>
  <r>
    <n v="3058"/>
    <s v="Student_1057"/>
    <s v="Pune"/>
    <x v="1"/>
    <d v="2025-12-27T00:00:00"/>
    <n v="28003"/>
    <n v="27000"/>
    <s v="2025-12"/>
  </r>
  <r>
    <n v="3059"/>
    <s v="Student_1058"/>
    <s v="Bangalore"/>
    <x v="5"/>
    <d v="2025-05-05T00:00:00"/>
    <n v="51707"/>
    <n v="41049"/>
    <s v="2025-05"/>
  </r>
  <r>
    <n v="3060"/>
    <s v="Student_1059"/>
    <s v="Hyderabad"/>
    <x v="5"/>
    <d v="2025-04-20T00:00:00"/>
    <n v="23278"/>
    <n v="15774"/>
    <s v="2025-04"/>
  </r>
  <r>
    <n v="3061"/>
    <s v="Student_1060"/>
    <s v="Pune"/>
    <x v="3"/>
    <d v="2025-03-27T00:00:00"/>
    <n v="27296"/>
    <n v="24830"/>
    <s v="2025-03"/>
  </r>
  <r>
    <n v="3062"/>
    <s v="Student_1061"/>
    <s v="Bangalore"/>
    <x v="0"/>
    <d v="2025-04-30T00:00:00"/>
    <n v="45398"/>
    <n v="35268"/>
    <s v="2025-04"/>
  </r>
  <r>
    <n v="3063"/>
    <s v="Student_1062"/>
    <s v="Delhi"/>
    <x v="1"/>
    <d v="2025-05-07T00:00:00"/>
    <n v="55842"/>
    <n v="53903"/>
    <s v="2025-05"/>
  </r>
  <r>
    <n v="3064"/>
    <s v="Student_1063"/>
    <s v="Chennai"/>
    <x v="2"/>
    <d v="2025-09-12T00:00:00"/>
    <n v="33261"/>
    <n v="31626"/>
    <s v="2025-09"/>
  </r>
  <r>
    <n v="3065"/>
    <s v="Student_1064"/>
    <s v="Hyderabad"/>
    <x v="2"/>
    <d v="2025-07-02T00:00:00"/>
    <n v="31173"/>
    <n v="21283"/>
    <s v="2025-07"/>
  </r>
  <r>
    <n v="3066"/>
    <s v="Student_1065"/>
    <s v="Bangalore"/>
    <x v="5"/>
    <d v="2025-01-16T00:00:00"/>
    <n v="50449"/>
    <n v="42354"/>
    <s v="2025-01"/>
  </r>
  <r>
    <n v="3067"/>
    <s v="Student_1066"/>
    <s v="Hyderabad"/>
    <x v="3"/>
    <d v="2025-03-03T00:00:00"/>
    <n v="21637"/>
    <n v="15372"/>
    <s v="2025-03"/>
  </r>
  <r>
    <n v="3068"/>
    <s v="Student_1067"/>
    <s v="Kolkata"/>
    <x v="3"/>
    <d v="2025-06-07T00:00:00"/>
    <n v="51781"/>
    <n v="39062"/>
    <s v="2025-06"/>
  </r>
  <r>
    <n v="3069"/>
    <s v="Student_1068"/>
    <s v="Hyderabad"/>
    <x v="2"/>
    <d v="2025-09-25T00:00:00"/>
    <n v="33652"/>
    <n v="23369"/>
    <s v="2025-09"/>
  </r>
  <r>
    <n v="3070"/>
    <s v="Student_1069"/>
    <s v="Pune"/>
    <x v="1"/>
    <d v="2025-02-04T00:00:00"/>
    <n v="25103"/>
    <n v="23208"/>
    <s v="2025-02"/>
  </r>
  <r>
    <n v="3071"/>
    <s v="Student_1070"/>
    <s v="Kolkata"/>
    <x v="0"/>
    <d v="2025-09-24T00:00:00"/>
    <n v="45500"/>
    <n v="31269"/>
    <s v="2025-09"/>
  </r>
  <r>
    <n v="3072"/>
    <s v="Student_1071"/>
    <s v="Pune"/>
    <x v="1"/>
    <d v="2025-03-05T00:00:00"/>
    <n v="54800"/>
    <n v="41172"/>
    <s v="2025-03"/>
  </r>
  <r>
    <n v="3073"/>
    <s v="Student_1072"/>
    <s v="Chennai"/>
    <x v="4"/>
    <d v="2025-02-19T00:00:00"/>
    <n v="55529"/>
    <n v="49005"/>
    <s v="2025-02"/>
  </r>
  <r>
    <n v="3074"/>
    <s v="Student_1073"/>
    <s v="Kolkata"/>
    <x v="4"/>
    <d v="2025-09-12T00:00:00"/>
    <n v="38452"/>
    <n v="26020"/>
    <s v="2025-09"/>
  </r>
  <r>
    <n v="3075"/>
    <s v="Student_1074"/>
    <s v="Delhi"/>
    <x v="0"/>
    <d v="2025-05-29T00:00:00"/>
    <n v="51174"/>
    <n v="39584"/>
    <s v="2025-05"/>
  </r>
  <r>
    <n v="3076"/>
    <s v="Student_1075"/>
    <s v="Hyderabad"/>
    <x v="2"/>
    <d v="2025-11-21T00:00:00"/>
    <n v="55436"/>
    <n v="40738"/>
    <s v="2025-11"/>
  </r>
  <r>
    <n v="3077"/>
    <s v="Student_1076"/>
    <s v="Bangalore"/>
    <x v="0"/>
    <d v="2025-10-31T00:00:00"/>
    <n v="35954"/>
    <n v="34881"/>
    <s v="2025-10"/>
  </r>
  <r>
    <n v="3078"/>
    <s v="Student_1077"/>
    <s v="Mumbai"/>
    <x v="3"/>
    <d v="2025-10-03T00:00:00"/>
    <n v="37186"/>
    <n v="32002"/>
    <s v="2025-10"/>
  </r>
  <r>
    <n v="3079"/>
    <s v="Student_1078"/>
    <s v="Hyderabad"/>
    <x v="4"/>
    <d v="2025-12-23T00:00:00"/>
    <n v="32356"/>
    <n v="29954"/>
    <s v="2025-12"/>
  </r>
  <r>
    <n v="3080"/>
    <s v="Student_1079"/>
    <s v="Hyderabad"/>
    <x v="5"/>
    <d v="2025-06-21T00:00:00"/>
    <n v="52963"/>
    <n v="48068"/>
    <s v="2025-06"/>
  </r>
  <r>
    <n v="3081"/>
    <s v="Student_1080"/>
    <s v="Chennai"/>
    <x v="5"/>
    <d v="2025-07-20T00:00:00"/>
    <n v="22187"/>
    <n v="14856"/>
    <s v="2025-07"/>
  </r>
  <r>
    <n v="3082"/>
    <s v="Student_1081"/>
    <s v="Delhi"/>
    <x v="2"/>
    <d v="2025-11-20T00:00:00"/>
    <n v="31707"/>
    <n v="20303"/>
    <s v="2025-11"/>
  </r>
  <r>
    <n v="3083"/>
    <s v="Student_1082"/>
    <s v="Mumbai"/>
    <x v="3"/>
    <d v="2025-02-04T00:00:00"/>
    <n v="55098"/>
    <n v="42869"/>
    <s v="2025-02"/>
  </r>
  <r>
    <n v="3084"/>
    <s v="Student_1083"/>
    <s v="Kolkata"/>
    <x v="1"/>
    <d v="2025-08-04T00:00:00"/>
    <n v="46935"/>
    <n v="37592"/>
    <s v="2025-08"/>
  </r>
  <r>
    <n v="3085"/>
    <s v="Student_1084"/>
    <s v="Kolkata"/>
    <x v="3"/>
    <d v="2025-03-06T00:00:00"/>
    <n v="41225"/>
    <n v="30588"/>
    <s v="2025-03"/>
  </r>
  <r>
    <n v="3086"/>
    <s v="Student_1085"/>
    <s v="Kolkata"/>
    <x v="5"/>
    <d v="2025-01-08T00:00:00"/>
    <n v="23606"/>
    <n v="21650"/>
    <s v="2025-01"/>
  </r>
  <r>
    <n v="3087"/>
    <s v="Student_1086"/>
    <s v="Pune"/>
    <x v="5"/>
    <d v="2025-10-28T00:00:00"/>
    <n v="52828"/>
    <n v="45805"/>
    <s v="2025-10"/>
  </r>
  <r>
    <n v="3088"/>
    <s v="Student_1087"/>
    <s v="Pune"/>
    <x v="4"/>
    <d v="2025-12-09T00:00:00"/>
    <n v="46489"/>
    <n v="33739"/>
    <s v="2025-12"/>
  </r>
  <r>
    <n v="3089"/>
    <s v="Student_1088"/>
    <s v="Bangalore"/>
    <x v="3"/>
    <d v="2025-11-28T00:00:00"/>
    <n v="34387"/>
    <n v="20325"/>
    <s v="2025-11"/>
  </r>
  <r>
    <n v="3090"/>
    <s v="Student_1089"/>
    <s v="Mumbai"/>
    <x v="3"/>
    <d v="2025-03-17T00:00:00"/>
    <n v="23927"/>
    <n v="9594"/>
    <s v="2025-03"/>
  </r>
  <r>
    <n v="3091"/>
    <s v="Student_1090"/>
    <s v="Kolkata"/>
    <x v="5"/>
    <d v="2025-06-23T00:00:00"/>
    <n v="26296"/>
    <n v="22389"/>
    <s v="2025-06"/>
  </r>
  <r>
    <n v="3092"/>
    <s v="Student_1091"/>
    <s v="Pune"/>
    <x v="1"/>
    <d v="2025-02-16T00:00:00"/>
    <n v="50444"/>
    <n v="49637"/>
    <s v="2025-02"/>
  </r>
  <r>
    <n v="3093"/>
    <s v="Student_1092"/>
    <s v="Bangalore"/>
    <x v="2"/>
    <d v="2025-01-15T00:00:00"/>
    <n v="22591"/>
    <n v="14213"/>
    <s v="2025-01"/>
  </r>
  <r>
    <n v="3094"/>
    <s v="Student_1093"/>
    <s v="Delhi"/>
    <x v="2"/>
    <d v="2025-12-27T00:00:00"/>
    <n v="46147"/>
    <n v="32116"/>
    <s v="2025-12"/>
  </r>
  <r>
    <n v="3095"/>
    <s v="Student_1094"/>
    <s v="Bangalore"/>
    <x v="3"/>
    <d v="2025-05-27T00:00:00"/>
    <n v="58889"/>
    <n v="54062"/>
    <s v="2025-05"/>
  </r>
  <r>
    <n v="3096"/>
    <s v="Student_1095"/>
    <s v="Pune"/>
    <x v="2"/>
    <d v="2025-01-26T00:00:00"/>
    <n v="21200"/>
    <n v="6977"/>
    <s v="2025-01"/>
  </r>
  <r>
    <n v="3097"/>
    <s v="Student_1096"/>
    <s v="Chennai"/>
    <x v="5"/>
    <d v="2025-11-04T00:00:00"/>
    <n v="35721"/>
    <n v="22220"/>
    <s v="2025-11"/>
  </r>
  <r>
    <n v="3098"/>
    <s v="Student_1097"/>
    <s v="Chennai"/>
    <x v="5"/>
    <d v="2025-04-03T00:00:00"/>
    <n v="39238"/>
    <n v="25539"/>
    <s v="2025-04"/>
  </r>
  <r>
    <n v="3099"/>
    <s v="Student_1098"/>
    <s v="Kolkata"/>
    <x v="3"/>
    <d v="2025-08-20T00:00:00"/>
    <n v="31087"/>
    <n v="26563"/>
    <s v="2025-08"/>
  </r>
  <r>
    <n v="3100"/>
    <s v="Student_1099"/>
    <s v="Chennai"/>
    <x v="3"/>
    <d v="2025-01-21T00:00:00"/>
    <n v="50816"/>
    <n v="41317"/>
    <s v="2025-01"/>
  </r>
  <r>
    <n v="3101"/>
    <s v="Student_1100"/>
    <s v="Kolkata"/>
    <x v="4"/>
    <d v="2025-11-03T00:00:00"/>
    <n v="43408"/>
    <n v="41124"/>
    <s v="2025-11"/>
  </r>
  <r>
    <n v="3102"/>
    <s v="Student_1101"/>
    <s v="Kolkata"/>
    <x v="3"/>
    <d v="2025-02-07T00:00:00"/>
    <n v="59740"/>
    <n v="54427"/>
    <s v="2025-02"/>
  </r>
  <r>
    <n v="3103"/>
    <s v="Student_1102"/>
    <s v="Pune"/>
    <x v="1"/>
    <d v="2025-10-03T00:00:00"/>
    <n v="20136"/>
    <n v="6538"/>
    <s v="2025-10"/>
  </r>
  <r>
    <n v="3104"/>
    <s v="Student_1103"/>
    <s v="Chennai"/>
    <x v="2"/>
    <d v="2025-06-06T00:00:00"/>
    <n v="37413"/>
    <n v="24355"/>
    <s v="2025-06"/>
  </r>
  <r>
    <n v="3105"/>
    <s v="Student_1104"/>
    <s v="Kolkata"/>
    <x v="3"/>
    <d v="2025-06-28T00:00:00"/>
    <n v="38978"/>
    <n v="38221"/>
    <s v="2025-06"/>
  </r>
  <r>
    <n v="3106"/>
    <s v="Student_1105"/>
    <s v="Mumbai"/>
    <x v="0"/>
    <d v="2025-05-12T00:00:00"/>
    <n v="20661"/>
    <n v="8238"/>
    <s v="2025-05"/>
  </r>
  <r>
    <n v="3107"/>
    <s v="Student_1106"/>
    <s v="Delhi"/>
    <x v="4"/>
    <d v="2025-11-07T00:00:00"/>
    <n v="55240"/>
    <n v="50353"/>
    <s v="2025-11"/>
  </r>
  <r>
    <n v="3108"/>
    <s v="Student_1107"/>
    <s v="Bangalore"/>
    <x v="0"/>
    <d v="2025-12-14T00:00:00"/>
    <n v="47253"/>
    <n v="43399"/>
    <s v="2025-12"/>
  </r>
  <r>
    <n v="3109"/>
    <s v="Student_1108"/>
    <s v="Bangalore"/>
    <x v="5"/>
    <d v="2025-01-28T00:00:00"/>
    <n v="46884"/>
    <n v="34426"/>
    <s v="2025-01"/>
  </r>
  <r>
    <n v="3110"/>
    <s v="Student_1109"/>
    <s v="Pune"/>
    <x v="2"/>
    <d v="2025-09-17T00:00:00"/>
    <n v="52854"/>
    <n v="42456"/>
    <s v="2025-09"/>
  </r>
  <r>
    <n v="3111"/>
    <s v="Student_1110"/>
    <s v="Chennai"/>
    <x v="3"/>
    <d v="2025-03-17T00:00:00"/>
    <n v="30704"/>
    <n v="16168"/>
    <s v="2025-03"/>
  </r>
  <r>
    <n v="3112"/>
    <s v="Student_1111"/>
    <s v="Chennai"/>
    <x v="0"/>
    <d v="2025-03-08T00:00:00"/>
    <n v="58987"/>
    <n v="55429"/>
    <s v="2025-03"/>
  </r>
  <r>
    <n v="3113"/>
    <s v="Student_1112"/>
    <s v="Kolkata"/>
    <x v="2"/>
    <d v="2025-12-08T00:00:00"/>
    <n v="44527"/>
    <n v="34755"/>
    <s v="2025-12"/>
  </r>
  <r>
    <n v="3114"/>
    <s v="Student_1113"/>
    <s v="Hyderabad"/>
    <x v="5"/>
    <d v="2025-07-13T00:00:00"/>
    <n v="36322"/>
    <n v="35361"/>
    <s v="2025-07"/>
  </r>
  <r>
    <n v="3115"/>
    <s v="Student_1114"/>
    <s v="Kolkata"/>
    <x v="1"/>
    <d v="2025-06-11T00:00:00"/>
    <n v="26968"/>
    <n v="23121"/>
    <s v="2025-06"/>
  </r>
  <r>
    <n v="3116"/>
    <s v="Student_1115"/>
    <s v="Delhi"/>
    <x v="4"/>
    <d v="2025-12-13T00:00:00"/>
    <n v="47518"/>
    <n v="40792"/>
    <s v="2025-12"/>
  </r>
  <r>
    <n v="3117"/>
    <s v="Student_1116"/>
    <s v="Mumbai"/>
    <x v="2"/>
    <d v="2025-12-27T00:00:00"/>
    <n v="47886"/>
    <n v="44311"/>
    <s v="2025-12"/>
  </r>
  <r>
    <n v="3118"/>
    <s v="Student_1117"/>
    <s v="Bangalore"/>
    <x v="2"/>
    <d v="2025-09-14T00:00:00"/>
    <n v="21700"/>
    <n v="12633"/>
    <s v="2025-09"/>
  </r>
  <r>
    <n v="3119"/>
    <s v="Student_1118"/>
    <s v="Kolkata"/>
    <x v="1"/>
    <d v="2025-03-13T00:00:00"/>
    <n v="48246"/>
    <n v="45828"/>
    <s v="2025-03"/>
  </r>
  <r>
    <n v="3120"/>
    <s v="Student_1119"/>
    <s v="Hyderabad"/>
    <x v="2"/>
    <d v="2025-03-28T00:00:00"/>
    <n v="55468"/>
    <n v="51270"/>
    <s v="2025-03"/>
  </r>
  <r>
    <n v="3121"/>
    <s v="Student_1120"/>
    <s v="Hyderabad"/>
    <x v="5"/>
    <d v="2025-09-19T00:00:00"/>
    <n v="43199"/>
    <n v="42198"/>
    <s v="2025-09"/>
  </r>
  <r>
    <n v="3122"/>
    <s v="Student_1121"/>
    <s v="Kolkata"/>
    <x v="5"/>
    <d v="2025-08-02T00:00:00"/>
    <n v="52115"/>
    <n v="46871"/>
    <s v="2025-08"/>
  </r>
  <r>
    <n v="3123"/>
    <s v="Student_1122"/>
    <s v="Pune"/>
    <x v="1"/>
    <d v="2025-06-02T00:00:00"/>
    <n v="25520"/>
    <n v="13944"/>
    <s v="2025-06"/>
  </r>
  <r>
    <n v="3124"/>
    <s v="Student_1123"/>
    <s v="Bangalore"/>
    <x v="4"/>
    <d v="2025-07-29T00:00:00"/>
    <n v="56455"/>
    <n v="49336"/>
    <s v="2025-07"/>
  </r>
  <r>
    <n v="3125"/>
    <s v="Student_1124"/>
    <s v="Pune"/>
    <x v="3"/>
    <d v="2025-03-02T00:00:00"/>
    <n v="40929"/>
    <n v="36863"/>
    <s v="2025-03"/>
  </r>
  <r>
    <n v="3126"/>
    <s v="Student_1125"/>
    <s v="Mumbai"/>
    <x v="0"/>
    <d v="2025-09-25T00:00:00"/>
    <n v="34955"/>
    <n v="32110"/>
    <s v="2025-09"/>
  </r>
  <r>
    <n v="3127"/>
    <s v="Student_1126"/>
    <s v="Hyderabad"/>
    <x v="3"/>
    <d v="2025-09-19T00:00:00"/>
    <n v="33917"/>
    <n v="24244"/>
    <s v="2025-09"/>
  </r>
  <r>
    <n v="3128"/>
    <s v="Student_1127"/>
    <s v="Hyderabad"/>
    <x v="2"/>
    <d v="2025-08-06T00:00:00"/>
    <n v="24757"/>
    <n v="13264"/>
    <s v="2025-08"/>
  </r>
  <r>
    <n v="3129"/>
    <s v="Student_1128"/>
    <s v="Delhi"/>
    <x v="0"/>
    <d v="2025-10-10T00:00:00"/>
    <n v="33045"/>
    <n v="24196"/>
    <s v="2025-10"/>
  </r>
  <r>
    <n v="3130"/>
    <s v="Student_1129"/>
    <s v="Mumbai"/>
    <x v="1"/>
    <d v="2025-05-16T00:00:00"/>
    <n v="24733"/>
    <n v="19417"/>
    <s v="2025-05"/>
  </r>
  <r>
    <n v="3131"/>
    <s v="Student_1130"/>
    <s v="Hyderabad"/>
    <x v="1"/>
    <d v="2025-12-28T00:00:00"/>
    <n v="50954"/>
    <n v="39982"/>
    <s v="2025-12"/>
  </r>
  <r>
    <n v="3132"/>
    <s v="Student_1131"/>
    <s v="Mumbai"/>
    <x v="4"/>
    <d v="2025-04-03T00:00:00"/>
    <n v="51135"/>
    <n v="50713"/>
    <s v="2025-04"/>
  </r>
  <r>
    <n v="3133"/>
    <s v="Student_1132"/>
    <s v="Bangalore"/>
    <x v="0"/>
    <d v="2025-04-19T00:00:00"/>
    <n v="27081"/>
    <n v="20366"/>
    <s v="2025-04"/>
  </r>
  <r>
    <n v="3134"/>
    <s v="Student_1133"/>
    <s v="Chennai"/>
    <x v="5"/>
    <d v="2025-08-29T00:00:00"/>
    <n v="43501"/>
    <n v="31628"/>
    <s v="2025-08"/>
  </r>
  <r>
    <n v="3135"/>
    <s v="Student_1134"/>
    <s v="Hyderabad"/>
    <x v="0"/>
    <d v="2025-12-21T00:00:00"/>
    <n v="41113"/>
    <n v="36847"/>
    <s v="2025-12"/>
  </r>
  <r>
    <n v="3136"/>
    <s v="Student_1135"/>
    <s v="Delhi"/>
    <x v="2"/>
    <d v="2025-05-22T00:00:00"/>
    <n v="54441"/>
    <n v="46892"/>
    <s v="2025-05"/>
  </r>
  <r>
    <n v="3137"/>
    <s v="Student_1136"/>
    <s v="Bangalore"/>
    <x v="5"/>
    <d v="2025-10-18T00:00:00"/>
    <n v="44690"/>
    <n v="38374"/>
    <s v="2025-10"/>
  </r>
  <r>
    <n v="3138"/>
    <s v="Student_1137"/>
    <s v="Kolkata"/>
    <x v="1"/>
    <d v="2025-08-25T00:00:00"/>
    <n v="49345"/>
    <n v="46635"/>
    <s v="2025-08"/>
  </r>
  <r>
    <n v="3139"/>
    <s v="Student_1138"/>
    <s v="Mumbai"/>
    <x v="0"/>
    <d v="2025-12-06T00:00:00"/>
    <n v="46829"/>
    <n v="38185"/>
    <s v="2025-12"/>
  </r>
  <r>
    <n v="3140"/>
    <s v="Student_1139"/>
    <s v="Kolkata"/>
    <x v="3"/>
    <d v="2025-11-08T00:00:00"/>
    <n v="55062"/>
    <n v="44473"/>
    <s v="2025-11"/>
  </r>
  <r>
    <n v="3141"/>
    <s v="Student_1140"/>
    <s v="Pune"/>
    <x v="4"/>
    <d v="2025-06-26T00:00:00"/>
    <n v="23630"/>
    <n v="15561"/>
    <s v="2025-06"/>
  </r>
  <r>
    <n v="3142"/>
    <s v="Student_1141"/>
    <s v="Bangalore"/>
    <x v="3"/>
    <d v="2025-05-21T00:00:00"/>
    <n v="51870"/>
    <n v="41703"/>
    <s v="2025-05"/>
  </r>
  <r>
    <n v="3143"/>
    <s v="Student_1142"/>
    <s v="Kolkata"/>
    <x v="4"/>
    <d v="2025-07-08T00:00:00"/>
    <n v="23453"/>
    <n v="21796"/>
    <s v="2025-07"/>
  </r>
  <r>
    <n v="3144"/>
    <s v="Student_1143"/>
    <s v="Hyderabad"/>
    <x v="2"/>
    <d v="2025-02-18T00:00:00"/>
    <n v="57275"/>
    <n v="54734"/>
    <s v="2025-02"/>
  </r>
  <r>
    <n v="3145"/>
    <s v="Student_1144"/>
    <s v="Mumbai"/>
    <x v="3"/>
    <d v="2025-10-29T00:00:00"/>
    <n v="58396"/>
    <n v="51633"/>
    <s v="2025-10"/>
  </r>
  <r>
    <n v="3146"/>
    <s v="Student_1145"/>
    <s v="Chennai"/>
    <x v="0"/>
    <d v="2025-07-09T00:00:00"/>
    <n v="28328"/>
    <n v="25253"/>
    <s v="2025-07"/>
  </r>
  <r>
    <n v="3147"/>
    <s v="Student_1146"/>
    <s v="Bangalore"/>
    <x v="0"/>
    <d v="2025-05-16T00:00:00"/>
    <n v="35534"/>
    <n v="32370"/>
    <s v="2025-05"/>
  </r>
  <r>
    <n v="3148"/>
    <s v="Student_1147"/>
    <s v="Hyderabad"/>
    <x v="3"/>
    <d v="2025-02-12T00:00:00"/>
    <n v="39744"/>
    <n v="28586"/>
    <s v="2025-02"/>
  </r>
  <r>
    <n v="3149"/>
    <s v="Student_1148"/>
    <s v="Delhi"/>
    <x v="0"/>
    <d v="2025-12-19T00:00:00"/>
    <n v="39389"/>
    <n v="37336"/>
    <s v="2025-12"/>
  </r>
  <r>
    <n v="3150"/>
    <s v="Student_1149"/>
    <s v="Pune"/>
    <x v="2"/>
    <d v="2025-03-31T00:00:00"/>
    <n v="56320"/>
    <n v="47841"/>
    <s v="2025-03"/>
  </r>
  <r>
    <n v="3151"/>
    <s v="Student_1150"/>
    <s v="Mumbai"/>
    <x v="5"/>
    <d v="2025-10-22T00:00:00"/>
    <n v="55010"/>
    <n v="49273"/>
    <s v="2025-10"/>
  </r>
  <r>
    <n v="3152"/>
    <s v="Student_1151"/>
    <s v="Bangalore"/>
    <x v="2"/>
    <d v="2025-12-07T00:00:00"/>
    <n v="34665"/>
    <n v="31448"/>
    <s v="2025-12"/>
  </r>
  <r>
    <n v="3153"/>
    <s v="Student_1152"/>
    <s v="Bangalore"/>
    <x v="4"/>
    <d v="2025-09-02T00:00:00"/>
    <n v="57865"/>
    <n v="45819"/>
    <s v="2025-09"/>
  </r>
  <r>
    <n v="3154"/>
    <s v="Student_1153"/>
    <s v="Chennai"/>
    <x v="2"/>
    <d v="2025-07-11T00:00:00"/>
    <n v="28640"/>
    <n v="27193"/>
    <s v="2025-07"/>
  </r>
  <r>
    <n v="3155"/>
    <s v="Student_1154"/>
    <s v="Chennai"/>
    <x v="4"/>
    <d v="2025-11-14T00:00:00"/>
    <n v="54716"/>
    <n v="48707"/>
    <s v="2025-11"/>
  </r>
  <r>
    <n v="3156"/>
    <s v="Student_1155"/>
    <s v="Delhi"/>
    <x v="0"/>
    <d v="2025-04-16T00:00:00"/>
    <n v="45521"/>
    <n v="44914"/>
    <s v="2025-04"/>
  </r>
  <r>
    <n v="3157"/>
    <s v="Student_1156"/>
    <s v="Pune"/>
    <x v="5"/>
    <d v="2025-12-29T00:00:00"/>
    <n v="50049"/>
    <n v="45497"/>
    <s v="2025-12"/>
  </r>
  <r>
    <n v="3158"/>
    <s v="Student_1157"/>
    <s v="Delhi"/>
    <x v="0"/>
    <d v="2025-11-06T00:00:00"/>
    <n v="25618"/>
    <n v="23854"/>
    <s v="2025-11"/>
  </r>
  <r>
    <n v="3159"/>
    <s v="Student_1158"/>
    <s v="Hyderabad"/>
    <x v="1"/>
    <d v="2025-08-21T00:00:00"/>
    <n v="57004"/>
    <n v="47587"/>
    <s v="2025-08"/>
  </r>
  <r>
    <n v="3160"/>
    <s v="Student_1159"/>
    <s v="Hyderabad"/>
    <x v="0"/>
    <d v="2025-09-22T00:00:00"/>
    <n v="21920"/>
    <n v="12493"/>
    <s v="2025-09"/>
  </r>
  <r>
    <n v="3161"/>
    <s v="Student_1160"/>
    <s v="Delhi"/>
    <x v="4"/>
    <d v="2025-12-10T00:00:00"/>
    <n v="24188"/>
    <n v="14967"/>
    <s v="2025-12"/>
  </r>
  <r>
    <n v="3162"/>
    <s v="Student_1161"/>
    <s v="Pune"/>
    <x v="0"/>
    <d v="2025-02-06T00:00:00"/>
    <n v="32207"/>
    <n v="29536"/>
    <s v="2025-02"/>
  </r>
  <r>
    <n v="3163"/>
    <s v="Student_1162"/>
    <s v="Delhi"/>
    <x v="0"/>
    <d v="2025-11-01T00:00:00"/>
    <n v="20238"/>
    <n v="13719"/>
    <s v="2025-11"/>
  </r>
  <r>
    <n v="3164"/>
    <s v="Student_1163"/>
    <s v="Pune"/>
    <x v="5"/>
    <d v="2025-02-10T00:00:00"/>
    <n v="52972"/>
    <n v="49010"/>
    <s v="2025-02"/>
  </r>
  <r>
    <n v="3165"/>
    <s v="Student_1164"/>
    <s v="Pune"/>
    <x v="0"/>
    <d v="2025-01-17T00:00:00"/>
    <n v="30799"/>
    <n v="18065"/>
    <s v="2025-01"/>
  </r>
  <r>
    <n v="3166"/>
    <s v="Student_1165"/>
    <s v="Kolkata"/>
    <x v="5"/>
    <d v="2025-12-10T00:00:00"/>
    <n v="25552"/>
    <n v="12430"/>
    <s v="2025-12"/>
  </r>
  <r>
    <n v="3167"/>
    <s v="Student_1166"/>
    <s v="Mumbai"/>
    <x v="3"/>
    <d v="2025-10-04T00:00:00"/>
    <n v="48916"/>
    <n v="45739"/>
    <s v="2025-10"/>
  </r>
  <r>
    <n v="3168"/>
    <s v="Student_1167"/>
    <s v="Pune"/>
    <x v="1"/>
    <d v="2025-11-03T00:00:00"/>
    <n v="24927"/>
    <n v="21205"/>
    <s v="2025-11"/>
  </r>
  <r>
    <n v="3169"/>
    <s v="Student_1168"/>
    <s v="Chennai"/>
    <x v="5"/>
    <d v="2025-02-28T00:00:00"/>
    <n v="47964"/>
    <n v="43058"/>
    <s v="2025-02"/>
  </r>
  <r>
    <n v="3170"/>
    <s v="Student_1169"/>
    <s v="Pune"/>
    <x v="4"/>
    <d v="2025-07-02T00:00:00"/>
    <n v="31164"/>
    <n v="17452"/>
    <s v="2025-07"/>
  </r>
  <r>
    <n v="3171"/>
    <s v="Student_1170"/>
    <s v="Pune"/>
    <x v="3"/>
    <d v="2025-02-10T00:00:00"/>
    <n v="57158"/>
    <n v="49895"/>
    <s v="2025-02"/>
  </r>
  <r>
    <n v="3172"/>
    <s v="Student_1171"/>
    <s v="Pune"/>
    <x v="5"/>
    <d v="2025-02-08T00:00:00"/>
    <n v="39071"/>
    <n v="25372"/>
    <s v="2025-02"/>
  </r>
  <r>
    <n v="3173"/>
    <s v="Student_1172"/>
    <s v="Kolkata"/>
    <x v="5"/>
    <d v="2025-07-11T00:00:00"/>
    <n v="26160"/>
    <n v="21106"/>
    <s v="2025-07"/>
  </r>
  <r>
    <n v="3174"/>
    <s v="Student_1173"/>
    <s v="Kolkata"/>
    <x v="1"/>
    <d v="2025-09-24T00:00:00"/>
    <n v="35810"/>
    <n v="26143"/>
    <s v="2025-09"/>
  </r>
  <r>
    <n v="3175"/>
    <s v="Student_1174"/>
    <s v="Hyderabad"/>
    <x v="4"/>
    <d v="2025-05-27T00:00:00"/>
    <n v="25126"/>
    <n v="14038"/>
    <s v="2025-05"/>
  </r>
  <r>
    <n v="3176"/>
    <s v="Student_1175"/>
    <s v="Kolkata"/>
    <x v="2"/>
    <d v="2025-11-29T00:00:00"/>
    <n v="50009"/>
    <n v="49201"/>
    <s v="2025-11"/>
  </r>
  <r>
    <n v="3177"/>
    <s v="Student_1176"/>
    <s v="Chennai"/>
    <x v="2"/>
    <d v="2025-05-07T00:00:00"/>
    <n v="53584"/>
    <n v="44414"/>
    <s v="2025-05"/>
  </r>
  <r>
    <n v="3178"/>
    <s v="Student_1177"/>
    <s v="Chennai"/>
    <x v="5"/>
    <d v="2025-02-15T00:00:00"/>
    <n v="45396"/>
    <n v="34741"/>
    <s v="2025-02"/>
  </r>
  <r>
    <n v="3179"/>
    <s v="Student_1178"/>
    <s v="Kolkata"/>
    <x v="0"/>
    <d v="2025-02-14T00:00:00"/>
    <n v="20192"/>
    <n v="19467"/>
    <s v="2025-02"/>
  </r>
  <r>
    <n v="3180"/>
    <s v="Student_1179"/>
    <s v="Delhi"/>
    <x v="4"/>
    <d v="2025-01-01T00:00:00"/>
    <n v="56413"/>
    <n v="45720"/>
    <s v="2025-01"/>
  </r>
  <r>
    <n v="3181"/>
    <s v="Student_1180"/>
    <s v="Mumbai"/>
    <x v="3"/>
    <d v="2025-06-17T00:00:00"/>
    <n v="32816"/>
    <n v="21262"/>
    <s v="2025-06"/>
  </r>
  <r>
    <n v="3182"/>
    <s v="Student_1181"/>
    <s v="Kolkata"/>
    <x v="0"/>
    <d v="2025-04-18T00:00:00"/>
    <n v="59082"/>
    <n v="51381"/>
    <s v="2025-04"/>
  </r>
  <r>
    <n v="3183"/>
    <s v="Student_1182"/>
    <s v="Pune"/>
    <x v="0"/>
    <d v="2025-01-19T00:00:00"/>
    <n v="52130"/>
    <n v="50914"/>
    <s v="2025-01"/>
  </r>
  <r>
    <n v="3184"/>
    <s v="Student_1183"/>
    <s v="Bangalore"/>
    <x v="4"/>
    <d v="2025-11-28T00:00:00"/>
    <n v="56468"/>
    <n v="52417"/>
    <s v="2025-11"/>
  </r>
  <r>
    <n v="3185"/>
    <s v="Student_1184"/>
    <s v="Mumbai"/>
    <x v="5"/>
    <d v="2025-03-13T00:00:00"/>
    <n v="50698"/>
    <n v="48501"/>
    <s v="2025-03"/>
  </r>
  <r>
    <n v="3186"/>
    <s v="Student_1185"/>
    <s v="Mumbai"/>
    <x v="5"/>
    <d v="2025-04-19T00:00:00"/>
    <n v="30655"/>
    <n v="16464"/>
    <s v="2025-04"/>
  </r>
  <r>
    <n v="3187"/>
    <s v="Student_1186"/>
    <s v="Chennai"/>
    <x v="5"/>
    <d v="2025-09-25T00:00:00"/>
    <n v="50075"/>
    <n v="47269"/>
    <s v="2025-09"/>
  </r>
  <r>
    <n v="3188"/>
    <s v="Student_1187"/>
    <s v="Mumbai"/>
    <x v="5"/>
    <d v="2025-08-28T00:00:00"/>
    <n v="29359"/>
    <n v="20389"/>
    <s v="2025-08"/>
  </r>
  <r>
    <n v="3189"/>
    <s v="Student_1188"/>
    <s v="Kolkata"/>
    <x v="2"/>
    <d v="2025-10-28T00:00:00"/>
    <n v="56661"/>
    <n v="55689"/>
    <s v="2025-10"/>
  </r>
  <r>
    <n v="3190"/>
    <s v="Student_1189"/>
    <s v="Pune"/>
    <x v="5"/>
    <d v="2025-03-31T00:00:00"/>
    <n v="59579"/>
    <n v="48577"/>
    <s v="2025-03"/>
  </r>
  <r>
    <n v="3191"/>
    <s v="Student_1190"/>
    <s v="Pune"/>
    <x v="2"/>
    <d v="2025-04-13T00:00:00"/>
    <n v="53272"/>
    <n v="47638"/>
    <s v="2025-04"/>
  </r>
  <r>
    <n v="3192"/>
    <s v="Student_1191"/>
    <s v="Hyderabad"/>
    <x v="2"/>
    <d v="2025-09-07T00:00:00"/>
    <n v="34671"/>
    <n v="20967"/>
    <s v="2025-09"/>
  </r>
  <r>
    <n v="3193"/>
    <s v="Student_1192"/>
    <s v="Pune"/>
    <x v="5"/>
    <d v="2025-01-08T00:00:00"/>
    <n v="47048"/>
    <n v="39565"/>
    <s v="2025-01"/>
  </r>
  <r>
    <n v="3194"/>
    <s v="Student_1193"/>
    <s v="Pune"/>
    <x v="1"/>
    <d v="2025-06-02T00:00:00"/>
    <n v="30738"/>
    <n v="28615"/>
    <s v="2025-06"/>
  </r>
  <r>
    <n v="3195"/>
    <s v="Student_1194"/>
    <s v="Chennai"/>
    <x v="3"/>
    <d v="2025-12-13T00:00:00"/>
    <n v="45963"/>
    <n v="37173"/>
    <s v="2025-12"/>
  </r>
  <r>
    <n v="3196"/>
    <s v="Student_1195"/>
    <s v="Pune"/>
    <x v="0"/>
    <d v="2025-06-23T00:00:00"/>
    <n v="26773"/>
    <n v="15240"/>
    <s v="2025-06"/>
  </r>
  <r>
    <n v="3197"/>
    <s v="Student_1196"/>
    <s v="Hyderabad"/>
    <x v="2"/>
    <d v="2025-12-09T00:00:00"/>
    <n v="56584"/>
    <n v="56360"/>
    <s v="2025-12"/>
  </r>
  <r>
    <n v="3198"/>
    <s v="Student_1197"/>
    <s v="Bangalore"/>
    <x v="4"/>
    <d v="2025-06-07T00:00:00"/>
    <n v="49894"/>
    <n v="36053"/>
    <s v="2025-06"/>
  </r>
  <r>
    <n v="3199"/>
    <s v="Student_1198"/>
    <s v="Kolkata"/>
    <x v="4"/>
    <d v="2025-08-03T00:00:00"/>
    <n v="20717"/>
    <n v="6269"/>
    <s v="2025-08"/>
  </r>
  <r>
    <n v="3200"/>
    <s v="Student_1199"/>
    <s v="Chennai"/>
    <x v="3"/>
    <d v="2025-06-26T00:00:00"/>
    <n v="31676"/>
    <n v="17090"/>
    <s v="2025-06"/>
  </r>
</pivotCacheRecords>
</file>

<file path=xl/pivotCache/pivotCacheRecords3.xml><?xml version="1.0" encoding="utf-8"?>
<pivotCacheRecords xmlns="http://schemas.openxmlformats.org/spreadsheetml/2006/main" xmlns:r="http://schemas.openxmlformats.org/officeDocument/2006/relationships" count="72">
  <r>
    <s v="2025-11"/>
    <x v="0"/>
    <n v="349892"/>
    <n v="1974"/>
  </r>
  <r>
    <s v="2025-08"/>
    <x v="1"/>
    <n v="349349"/>
    <n v="1971"/>
  </r>
  <r>
    <s v="2025-08"/>
    <x v="2"/>
    <n v="317555"/>
    <n v="1792"/>
  </r>
  <r>
    <s v="2025-04"/>
    <x v="1"/>
    <n v="312281"/>
    <n v="1762"/>
  </r>
  <r>
    <s v="2025-02"/>
    <x v="0"/>
    <n v="306791"/>
    <n v="1731"/>
  </r>
  <r>
    <s v="2025-10"/>
    <x v="0"/>
    <n v="305780"/>
    <n v="1725"/>
  </r>
  <r>
    <s v="2025-01"/>
    <x v="1"/>
    <n v="303584"/>
    <n v="1713"/>
  </r>
  <r>
    <s v="2025-06"/>
    <x v="3"/>
    <n v="302203"/>
    <n v="1705"/>
  </r>
  <r>
    <s v="2025-03"/>
    <x v="3"/>
    <n v="298279"/>
    <n v="1683"/>
  </r>
  <r>
    <s v="2025-09"/>
    <x v="4"/>
    <n v="298068"/>
    <n v="1682"/>
  </r>
  <r>
    <s v="2025-12"/>
    <x v="2"/>
    <n v="296468"/>
    <n v="1673"/>
  </r>
  <r>
    <s v="2025-10"/>
    <x v="4"/>
    <n v="292282"/>
    <n v="1649"/>
  </r>
  <r>
    <s v="2025-08"/>
    <x v="4"/>
    <n v="288456"/>
    <n v="1628"/>
  </r>
  <r>
    <s v="2025-01"/>
    <x v="3"/>
    <n v="284988"/>
    <n v="1608"/>
  </r>
  <r>
    <s v="2025-04"/>
    <x v="2"/>
    <n v="281946"/>
    <n v="1591"/>
  </r>
  <r>
    <s v="2025-07"/>
    <x v="1"/>
    <n v="270558"/>
    <n v="1526"/>
  </r>
  <r>
    <s v="2025-02"/>
    <x v="1"/>
    <n v="269840"/>
    <n v="1522"/>
  </r>
  <r>
    <s v="2025-06"/>
    <x v="5"/>
    <n v="267994"/>
    <n v="1512"/>
  </r>
  <r>
    <s v="2025-09"/>
    <x v="1"/>
    <n v="266444"/>
    <n v="1503"/>
  </r>
  <r>
    <s v="2025-06"/>
    <x v="1"/>
    <n v="261098"/>
    <n v="1473"/>
  </r>
  <r>
    <s v="2025-05"/>
    <x v="4"/>
    <n v="253296"/>
    <n v="1429"/>
  </r>
  <r>
    <s v="2025-11"/>
    <x v="1"/>
    <n v="251355"/>
    <n v="1418"/>
  </r>
  <r>
    <s v="2025-02"/>
    <x v="2"/>
    <n v="238052"/>
    <n v="1343"/>
  </r>
  <r>
    <s v="2025-03"/>
    <x v="1"/>
    <n v="236081"/>
    <n v="1332"/>
  </r>
  <r>
    <s v="2025-05"/>
    <x v="1"/>
    <n v="233598"/>
    <n v="1318"/>
  </r>
  <r>
    <s v="2025-05"/>
    <x v="3"/>
    <n v="231625"/>
    <n v="1307"/>
  </r>
  <r>
    <s v="2025-06"/>
    <x v="4"/>
    <n v="231078"/>
    <n v="1304"/>
  </r>
  <r>
    <s v="2025-12"/>
    <x v="5"/>
    <n v="229934"/>
    <n v="1297"/>
  </r>
  <r>
    <s v="2025-08"/>
    <x v="5"/>
    <n v="229599"/>
    <n v="1295"/>
  </r>
  <r>
    <s v="2025-01"/>
    <x v="0"/>
    <n v="222580"/>
    <n v="1256"/>
  </r>
  <r>
    <s v="2025-11"/>
    <x v="5"/>
    <n v="218277"/>
    <n v="1231"/>
  </r>
  <r>
    <s v="2025-03"/>
    <x v="4"/>
    <n v="214379"/>
    <n v="1209"/>
  </r>
  <r>
    <s v="2025-03"/>
    <x v="2"/>
    <n v="212854"/>
    <n v="1201"/>
  </r>
  <r>
    <s v="2025-07"/>
    <x v="5"/>
    <n v="211949"/>
    <n v="1196"/>
  </r>
  <r>
    <s v="2025-07"/>
    <x v="0"/>
    <n v="210758"/>
    <n v="1189"/>
  </r>
  <r>
    <s v="2025-01"/>
    <x v="5"/>
    <n v="207886"/>
    <n v="1173"/>
  </r>
  <r>
    <s v="2025-05"/>
    <x v="5"/>
    <n v="203447"/>
    <n v="1148"/>
  </r>
  <r>
    <s v="2025-12"/>
    <x v="1"/>
    <n v="199954"/>
    <n v="1128"/>
  </r>
  <r>
    <s v="2025-09"/>
    <x v="3"/>
    <n v="198805"/>
    <n v="1122"/>
  </r>
  <r>
    <s v="2025-10"/>
    <x v="2"/>
    <n v="197035"/>
    <n v="1112"/>
  </r>
  <r>
    <s v="2025-11"/>
    <x v="2"/>
    <n v="195243"/>
    <n v="1101"/>
  </r>
  <r>
    <s v="2025-10"/>
    <x v="1"/>
    <n v="190657"/>
    <n v="1076"/>
  </r>
  <r>
    <s v="2025-04"/>
    <x v="4"/>
    <n v="187138"/>
    <n v="1056"/>
  </r>
  <r>
    <s v="2025-03"/>
    <x v="5"/>
    <n v="185966"/>
    <n v="1049"/>
  </r>
  <r>
    <s v="2025-04"/>
    <x v="5"/>
    <n v="183297"/>
    <n v="1034"/>
  </r>
  <r>
    <s v="2025-10"/>
    <x v="5"/>
    <n v="179428"/>
    <n v="1012"/>
  </r>
  <r>
    <s v="2025-09"/>
    <x v="5"/>
    <n v="178119"/>
    <n v="1005"/>
  </r>
  <r>
    <s v="2025-03"/>
    <x v="0"/>
    <n v="174352"/>
    <n v="984"/>
  </r>
  <r>
    <s v="2025-09"/>
    <x v="0"/>
    <n v="169837"/>
    <n v="958"/>
  </r>
  <r>
    <s v="2025-02"/>
    <x v="3"/>
    <n v="166128"/>
    <n v="937"/>
  </r>
  <r>
    <s v="2025-01"/>
    <x v="4"/>
    <n v="160166"/>
    <n v="903"/>
  </r>
  <r>
    <s v="2025-12"/>
    <x v="0"/>
    <n v="155152"/>
    <n v="875"/>
  </r>
  <r>
    <s v="2025-06"/>
    <x v="0"/>
    <n v="154211"/>
    <n v="870"/>
  </r>
  <r>
    <s v="2025-01"/>
    <x v="2"/>
    <n v="153537"/>
    <n v="866"/>
  </r>
  <r>
    <s v="2025-10"/>
    <x v="3"/>
    <n v="144518"/>
    <n v="815"/>
  </r>
  <r>
    <s v="2025-02"/>
    <x v="4"/>
    <n v="141253"/>
    <n v="797"/>
  </r>
  <r>
    <s v="2025-11"/>
    <x v="4"/>
    <n v="128311"/>
    <n v="724"/>
  </r>
  <r>
    <s v="2025-09"/>
    <x v="2"/>
    <n v="127003"/>
    <n v="716"/>
  </r>
  <r>
    <s v="2025-04"/>
    <x v="3"/>
    <n v="115149"/>
    <n v="649"/>
  </r>
  <r>
    <s v="2025-07"/>
    <x v="2"/>
    <n v="114553"/>
    <n v="646"/>
  </r>
  <r>
    <s v="2025-05"/>
    <x v="0"/>
    <n v="114169"/>
    <n v="644"/>
  </r>
  <r>
    <s v="2025-04"/>
    <x v="0"/>
    <n v="113346"/>
    <n v="639"/>
  </r>
  <r>
    <s v="2025-02"/>
    <x v="5"/>
    <n v="109785"/>
    <n v="619"/>
  </r>
  <r>
    <s v="2025-07"/>
    <x v="4"/>
    <n v="107766"/>
    <n v="608"/>
  </r>
  <r>
    <s v="2025-07"/>
    <x v="3"/>
    <n v="106422"/>
    <n v="600"/>
  </r>
  <r>
    <s v="2025-08"/>
    <x v="0"/>
    <n v="103202"/>
    <n v="582"/>
  </r>
  <r>
    <s v="2025-11"/>
    <x v="3"/>
    <n v="97692"/>
    <n v="551"/>
  </r>
  <r>
    <s v="2025-08"/>
    <x v="3"/>
    <n v="95855"/>
    <n v="540"/>
  </r>
  <r>
    <s v="2025-05"/>
    <x v="2"/>
    <n v="80695"/>
    <n v="455"/>
  </r>
  <r>
    <s v="2025-12"/>
    <x v="4"/>
    <n v="79926"/>
    <n v="451"/>
  </r>
  <r>
    <s v="2025-12"/>
    <x v="3"/>
    <n v="78969"/>
    <n v="445"/>
  </r>
  <r>
    <s v="2025-06"/>
    <x v="2"/>
    <n v="76881"/>
    <n v="433"/>
  </r>
</pivotCacheRecords>
</file>

<file path=xl/pivotCache/pivotCacheRecords4.xml><?xml version="1.0" encoding="utf-8"?>
<pivotCacheRecords xmlns="http://schemas.openxmlformats.org/spreadsheetml/2006/main" xmlns:r="http://schemas.openxmlformats.org/officeDocument/2006/relationships" count="12">
  <r>
    <x v="0"/>
    <n v="95"/>
    <n v="3313031"/>
  </r>
  <r>
    <x v="1"/>
    <n v="85"/>
    <n v="2837630"/>
  </r>
  <r>
    <x v="2"/>
    <n v="113"/>
    <n v="3545893"/>
  </r>
  <r>
    <x v="3"/>
    <n v="104"/>
    <n v="3399338"/>
  </r>
  <r>
    <x v="4"/>
    <n v="121"/>
    <n v="4034138"/>
  </r>
  <r>
    <x v="5"/>
    <n v="102"/>
    <n v="3231986"/>
  </r>
  <r>
    <x v="6"/>
    <n v="83"/>
    <n v="2480854"/>
  </r>
  <r>
    <x v="7"/>
    <n v="102"/>
    <n v="3393793"/>
  </r>
  <r>
    <x v="8"/>
    <n v="109"/>
    <n v="3448691"/>
  </r>
  <r>
    <x v="9"/>
    <n v="97"/>
    <n v="3366455"/>
  </r>
  <r>
    <x v="10"/>
    <n v="91"/>
    <n v="2876138"/>
  </r>
  <r>
    <x v="11"/>
    <n v="98"/>
    <n v="31945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3" cacheId="4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H1:I8" firstHeaderRow="1" firstDataRow="1" firstDataCol="1"/>
  <pivotFields count="8">
    <pivotField showAll="0"/>
    <pivotField dataField="1" showAll="0"/>
    <pivotField showAll="0"/>
    <pivotField axis="axisRow" showAll="0">
      <items count="7">
        <item x="3"/>
        <item x="0"/>
        <item x="5"/>
        <item x="1"/>
        <item x="2"/>
        <item x="4"/>
        <item t="default"/>
      </items>
    </pivotField>
    <pivotField numFmtId="14" showAll="0"/>
    <pivotField showAll="0"/>
    <pivotField showAll="0"/>
    <pivotField showAll="0"/>
  </pivotFields>
  <rowFields count="1">
    <field x="3"/>
  </rowFields>
  <rowItems count="7">
    <i>
      <x/>
    </i>
    <i>
      <x v="1"/>
    </i>
    <i>
      <x v="2"/>
    </i>
    <i>
      <x v="3"/>
    </i>
    <i>
      <x v="4"/>
    </i>
    <i>
      <x v="5"/>
    </i>
    <i t="grand">
      <x/>
    </i>
  </rowItems>
  <colItems count="1">
    <i/>
  </colItems>
  <dataFields count="1">
    <dataField name="Count of Student_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2" cacheId="42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10" firstHeaderRow="1" firstDataRow="1" firstDataCol="1"/>
  <pivotFields count="8">
    <pivotField showAll="0"/>
    <pivotField dataField="1" showAll="0"/>
    <pivotField showAll="0"/>
    <pivotField axis="axisRow" showAll="0">
      <items count="7">
        <item x="3"/>
        <item x="0"/>
        <item x="5"/>
        <item x="1"/>
        <item x="2"/>
        <item x="4"/>
        <item t="default"/>
      </items>
    </pivotField>
    <pivotField numFmtId="14" showAll="0"/>
    <pivotField showAll="0"/>
    <pivotField showAll="0"/>
    <pivotField showAll="0"/>
  </pivotFields>
  <rowFields count="1">
    <field x="3"/>
  </rowFields>
  <rowItems count="7">
    <i>
      <x/>
    </i>
    <i>
      <x v="1"/>
    </i>
    <i>
      <x v="2"/>
    </i>
    <i>
      <x v="3"/>
    </i>
    <i>
      <x v="4"/>
    </i>
    <i>
      <x v="5"/>
    </i>
    <i t="grand">
      <x/>
    </i>
  </rowItems>
  <colItems count="1">
    <i/>
  </colItems>
  <dataFields count="1">
    <dataField name="Count of Student_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9" cacheId="4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Channel">
  <location ref="E4:G11" firstHeaderRow="0" firstDataRow="1" firstDataCol="1"/>
  <pivotFields count="4">
    <pivotField showAll="0"/>
    <pivotField axis="axisRow" showAll="0">
      <items count="7">
        <item x="3"/>
        <item x="4"/>
        <item x="1"/>
        <item x="2"/>
        <item x="5"/>
        <item x="0"/>
        <item t="default"/>
      </items>
    </pivotField>
    <pivotField dataField="1" numFmtId="2" showAll="0"/>
    <pivotField dataField="1" showAll="0"/>
  </pivotFields>
  <rowFields count="1">
    <field x="1"/>
  </rowFields>
  <rowItems count="7">
    <i>
      <x/>
    </i>
    <i>
      <x v="1"/>
    </i>
    <i>
      <x v="2"/>
    </i>
    <i>
      <x v="3"/>
    </i>
    <i>
      <x v="4"/>
    </i>
    <i>
      <x v="5"/>
    </i>
    <i t="grand">
      <x/>
    </i>
  </rowItems>
  <colFields count="1">
    <field x="-2"/>
  </colFields>
  <colItems count="2">
    <i>
      <x/>
    </i>
    <i i="1">
      <x v="1"/>
    </i>
  </colItems>
  <dataFields count="2">
    <dataField name="Sum of Spend" fld="2" baseField="0" baseItem="0"/>
    <dataField name="Sum of Leads_Generated" fld="3"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7" cacheId="4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rowHeaderCaption="Month">
  <location ref="B15:C28" firstHeaderRow="1" firstDataRow="1" firstDataCol="1"/>
  <pivotFields count="3">
    <pivotField axis="axisRow" showAll="0">
      <items count="13">
        <item x="0"/>
        <item x="1"/>
        <item x="2"/>
        <item x="3"/>
        <item x="4"/>
        <item x="5"/>
        <item x="6"/>
        <item x="7"/>
        <item x="8"/>
        <item x="9"/>
        <item x="10"/>
        <item x="11"/>
        <item t="default"/>
      </items>
    </pivotField>
    <pivotField showAll="0"/>
    <pivotField dataField="1" numFmtId="2" showAll="0"/>
  </pivotFields>
  <rowFields count="1">
    <field x="0"/>
  </rowFields>
  <rowItems count="13">
    <i>
      <x/>
    </i>
    <i>
      <x v="1"/>
    </i>
    <i>
      <x v="2"/>
    </i>
    <i>
      <x v="3"/>
    </i>
    <i>
      <x v="4"/>
    </i>
    <i>
      <x v="5"/>
    </i>
    <i>
      <x v="6"/>
    </i>
    <i>
      <x v="7"/>
    </i>
    <i>
      <x v="8"/>
    </i>
    <i>
      <x v="9"/>
    </i>
    <i>
      <x v="10"/>
    </i>
    <i>
      <x v="11"/>
    </i>
    <i t="grand">
      <x/>
    </i>
  </rowItems>
  <colItems count="1">
    <i/>
  </colItems>
  <dataFields count="1">
    <dataField name="Sum of Total_Revenue" fld="2" baseField="0" baseItem="0" numFmtId="167"/>
  </dataFields>
  <formats count="2">
    <format dxfId="0">
      <pivotArea outline="0" collapsedLevelsAreSubtotals="1" fieldPosition="0"/>
    </format>
    <format dxfId="1">
      <pivotArea dataOnly="0" labelOnly="1" outline="0" axis="axisValues" fieldPosition="0"/>
    </format>
  </formats>
  <chartFormats count="2">
    <chartFormat chart="5"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42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rowHeaderCaption="City">
  <location ref="E15:F23" firstHeaderRow="1" firstDataRow="1" firstDataCol="1"/>
  <pivotFields count="10">
    <pivotField dataField="1" showAll="0"/>
    <pivotField showAll="0"/>
    <pivotField axis="axisRow" showAll="0">
      <items count="9">
        <item sd="0" x="4"/>
        <item sd="0" x="3"/>
        <item sd="0" x="2"/>
        <item sd="0" x="6"/>
        <item sd="0" x="0"/>
        <item sd="0" x="1"/>
        <item sd="0" x="5"/>
        <item h="1" sd="0" x="7"/>
        <item t="default"/>
      </items>
    </pivotField>
    <pivotField axis="axisRow" showAll="0">
      <items count="8">
        <item x="3"/>
        <item x="0"/>
        <item x="5"/>
        <item x="1"/>
        <item x="2"/>
        <item x="4"/>
        <item n="iuho " x="6"/>
        <item t="default"/>
      </items>
    </pivotField>
    <pivotField showAll="0"/>
    <pivotField showAll="0"/>
    <pivotField showAll="0"/>
    <pivotField showAll="0"/>
    <pivotField showAll="0"/>
    <pivotField showAll="0"/>
  </pivotFields>
  <rowFields count="2">
    <field x="2"/>
    <field x="3"/>
  </rowFields>
  <rowItems count="8">
    <i>
      <x/>
    </i>
    <i>
      <x v="1"/>
    </i>
    <i>
      <x v="2"/>
    </i>
    <i>
      <x v="3"/>
    </i>
    <i>
      <x v="4"/>
    </i>
    <i>
      <x v="5"/>
    </i>
    <i>
      <x v="6"/>
    </i>
    <i t="grand">
      <x/>
    </i>
  </rowItems>
  <colItems count="1">
    <i/>
  </colItems>
  <dataFields count="1">
    <dataField name="Count of Enrollment_ID" fld="0" subtotal="count"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42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rowHeaderCaption="Course">
  <location ref="B4:C11" firstHeaderRow="1" firstDataRow="1" firstDataCol="1"/>
  <pivotFields count="10">
    <pivotField dataField="1" showAll="0"/>
    <pivotField showAll="0"/>
    <pivotField showAll="0">
      <items count="9">
        <item x="4"/>
        <item x="3"/>
        <item x="2"/>
        <item x="6"/>
        <item x="0"/>
        <item x="1"/>
        <item x="5"/>
        <item h="1" x="7"/>
        <item t="default"/>
      </items>
    </pivotField>
    <pivotField axis="axisRow" showAll="0" sortType="ascending">
      <items count="8">
        <item x="3"/>
        <item x="0"/>
        <item x="5"/>
        <item x="1"/>
        <item x="2"/>
        <item x="4"/>
        <item x="6"/>
        <item t="default"/>
      </items>
    </pivotField>
    <pivotField showAll="0"/>
    <pivotField showAll="0"/>
    <pivotField showAll="0"/>
    <pivotField showAll="0"/>
    <pivotField showAll="0"/>
    <pivotField showAll="0"/>
  </pivotFields>
  <rowFields count="1">
    <field x="3"/>
  </rowFields>
  <rowItems count="7">
    <i>
      <x/>
    </i>
    <i>
      <x v="1"/>
    </i>
    <i>
      <x v="2"/>
    </i>
    <i>
      <x v="3"/>
    </i>
    <i>
      <x v="4"/>
    </i>
    <i>
      <x v="5"/>
    </i>
    <i t="grand">
      <x/>
    </i>
  </rowItems>
  <colItems count="1">
    <i/>
  </colItems>
  <dataFields count="1">
    <dataField name="Count of Enrollment_ID" fld="0" subtotal="count" baseField="3" baseItem="0"/>
  </dataFields>
  <chartFormats count="2">
    <chartFormat chart="9"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rse" sourceName="Course">
  <pivotTables>
    <pivotTable tabId="11" name="PivotTable1"/>
    <pivotTable tabId="11" name="PivotTable3"/>
  </pivotTables>
  <data>
    <tabular pivotCacheId="1573148387">
      <items count="7">
        <i x="3" s="1"/>
        <i x="0" s="1"/>
        <i x="5" s="1"/>
        <i x="1" s="1"/>
        <i x="2" s="1"/>
        <i x="4" s="1"/>
        <i x="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11" name="PivotTable3"/>
    <pivotTable tabId="11" name="PivotTable1"/>
  </pivotTables>
  <data>
    <tabular pivotCacheId="1573148387">
      <items count="8">
        <i x="4" s="1"/>
        <i x="3" s="1"/>
        <i x="2" s="1"/>
        <i x="6" s="1"/>
        <i x="0" s="1"/>
        <i x="1" s="1"/>
        <i x="5" s="1"/>
        <i x="7"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1" name="PivotTable7"/>
  </pivotTables>
  <data>
    <tabular pivotCacheId="893821250">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hannel" sourceName="Channel">
  <pivotTables>
    <pivotTable tabId="11" name="PivotTable9"/>
  </pivotTables>
  <data>
    <tabular pivotCacheId="806532661">
      <items count="6">
        <i x="3" s="1"/>
        <i x="4" s="1"/>
        <i x="1" s="1"/>
        <i x="2" s="1"/>
        <i x="5"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rse 1" cache="Slicer_Course" caption="Course" style="SlicerStyleDark5" rowHeight="241300"/>
  <slicer name="City 1" cache="Slicer_City" caption="City" style="SlicerStyleDark5" rowHeight="241300"/>
  <slicer name="Month 1" cache="Slicer_Month" caption="Month" style="SlicerStyleDark5" rowHeight="241300"/>
  <slicer name="Channel 1" cache="Slicer_Channel" caption="Channel" style="SlicerStyleDark5" rowHeight="241300"/>
</slicers>
</file>

<file path=xl/tables/table1.xml><?xml version="1.0" encoding="utf-8"?>
<table xmlns="http://schemas.openxmlformats.org/spreadsheetml/2006/main" id="3" name="Table3" displayName="Table3" ref="A1:E10" totalsRowCount="1">
  <autoFilter ref="A1:E9"/>
  <sortState xmlns:xlrd2="http://schemas.microsoft.com/office/spreadsheetml/2017/richdata2" ref="A2:E9">
    <sortCondition ref="A2:A9"/>
  </sortState>
  <tableColumns count="5">
    <tableColumn id="1" name="Course_Assigned"/>
    <tableColumn id="2" name="Trainer_Name"/>
    <tableColumn id="3" name="Students_Assigned" totalsRowFunction="custom">
      <totalsRowFormula>SUM(Table3[Students_Assigned])</totalsRowFormula>
    </tableColumn>
    <tableColumn id="4" name="Satisfaction_Score"/>
    <tableColumn id="5" name="Trainer_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01"/>
  <sheetViews>
    <sheetView zoomScaleNormal="100" workbookViewId="0">
      <selection activeCell="D57" sqref="D57"/>
    </sheetView>
  </sheetViews>
  <sheetFormatPr defaultRowHeight="14.5" x14ac:dyDescent="0.35"/>
  <cols>
    <col min="1" max="1" width="12.453125" customWidth="1"/>
    <col min="2" max="2" width="13.90625" customWidth="1"/>
    <col min="3" max="3" width="11.54296875" customWidth="1"/>
    <col min="4" max="4" width="17" customWidth="1"/>
    <col min="5" max="5" width="16.7265625" customWidth="1"/>
    <col min="6" max="6" width="12.453125" customWidth="1"/>
    <col min="7" max="7" width="13.54296875" customWidth="1"/>
    <col min="8" max="8" width="9.26953125" customWidth="1"/>
  </cols>
  <sheetData>
    <row r="1" spans="1:8" x14ac:dyDescent="0.35">
      <c r="A1" t="s">
        <v>0</v>
      </c>
      <c r="B1" t="s">
        <v>1</v>
      </c>
      <c r="C1" t="s">
        <v>2</v>
      </c>
      <c r="D1" t="s">
        <v>3</v>
      </c>
      <c r="E1" t="s">
        <v>4</v>
      </c>
      <c r="F1" t="s">
        <v>5</v>
      </c>
      <c r="G1" t="s">
        <v>6</v>
      </c>
      <c r="H1" t="s">
        <v>7</v>
      </c>
    </row>
    <row r="2" spans="1:8" x14ac:dyDescent="0.35">
      <c r="A2">
        <v>2001</v>
      </c>
      <c r="B2" t="s">
        <v>8</v>
      </c>
      <c r="C2" t="s">
        <v>9</v>
      </c>
      <c r="D2" t="s">
        <v>10</v>
      </c>
      <c r="E2" s="1">
        <v>45759</v>
      </c>
      <c r="F2">
        <v>42190</v>
      </c>
      <c r="G2">
        <v>37756</v>
      </c>
      <c r="H2" t="s">
        <v>11</v>
      </c>
    </row>
    <row r="3" spans="1:8" x14ac:dyDescent="0.35">
      <c r="A3">
        <v>2002</v>
      </c>
      <c r="B3" t="s">
        <v>12</v>
      </c>
      <c r="C3" t="s">
        <v>13</v>
      </c>
      <c r="D3" t="s">
        <v>14</v>
      </c>
      <c r="E3" s="1">
        <v>45676</v>
      </c>
      <c r="F3">
        <v>21875</v>
      </c>
      <c r="G3">
        <v>21217</v>
      </c>
      <c r="H3" t="s">
        <v>15</v>
      </c>
    </row>
    <row r="4" spans="1:8" x14ac:dyDescent="0.35">
      <c r="A4">
        <v>2003</v>
      </c>
      <c r="B4" t="s">
        <v>16</v>
      </c>
      <c r="C4" t="s">
        <v>17</v>
      </c>
      <c r="D4" t="s">
        <v>18</v>
      </c>
      <c r="E4" s="1">
        <v>45739</v>
      </c>
      <c r="F4">
        <v>43377</v>
      </c>
      <c r="G4">
        <v>38320</v>
      </c>
      <c r="H4" t="s">
        <v>19</v>
      </c>
    </row>
    <row r="5" spans="1:8" x14ac:dyDescent="0.35">
      <c r="A5">
        <v>2004</v>
      </c>
      <c r="B5" t="s">
        <v>20</v>
      </c>
      <c r="C5" t="s">
        <v>9</v>
      </c>
      <c r="D5" t="s">
        <v>21</v>
      </c>
      <c r="E5" s="1">
        <v>45936</v>
      </c>
      <c r="F5">
        <v>24033</v>
      </c>
      <c r="G5">
        <v>20025</v>
      </c>
      <c r="H5" t="s">
        <v>22</v>
      </c>
    </row>
    <row r="6" spans="1:8" x14ac:dyDescent="0.35">
      <c r="A6">
        <v>2005</v>
      </c>
      <c r="B6" t="s">
        <v>23</v>
      </c>
      <c r="C6" t="s">
        <v>24</v>
      </c>
      <c r="D6" t="s">
        <v>18</v>
      </c>
      <c r="E6" s="1">
        <v>45996</v>
      </c>
      <c r="F6">
        <v>58211</v>
      </c>
      <c r="G6">
        <v>45495</v>
      </c>
      <c r="H6" t="s">
        <v>25</v>
      </c>
    </row>
    <row r="7" spans="1:8" x14ac:dyDescent="0.35">
      <c r="A7">
        <v>2006</v>
      </c>
      <c r="B7" t="s">
        <v>26</v>
      </c>
      <c r="C7" t="s">
        <v>17</v>
      </c>
      <c r="D7" t="s">
        <v>27</v>
      </c>
      <c r="E7" s="1">
        <v>46022</v>
      </c>
      <c r="F7">
        <v>37373</v>
      </c>
      <c r="G7">
        <v>32379</v>
      </c>
      <c r="H7" t="s">
        <v>25</v>
      </c>
    </row>
    <row r="8" spans="1:8" x14ac:dyDescent="0.35">
      <c r="A8">
        <v>2007</v>
      </c>
      <c r="B8" t="s">
        <v>28</v>
      </c>
      <c r="C8" t="s">
        <v>17</v>
      </c>
      <c r="D8" t="s">
        <v>10</v>
      </c>
      <c r="E8" s="1">
        <v>45988</v>
      </c>
      <c r="F8">
        <v>23744</v>
      </c>
      <c r="G8">
        <v>19510</v>
      </c>
      <c r="H8" t="s">
        <v>29</v>
      </c>
    </row>
    <row r="9" spans="1:8" x14ac:dyDescent="0.35">
      <c r="A9">
        <v>2008</v>
      </c>
      <c r="B9" t="s">
        <v>30</v>
      </c>
      <c r="C9" t="s">
        <v>9</v>
      </c>
      <c r="D9" t="s">
        <v>27</v>
      </c>
      <c r="E9" s="1">
        <v>45786</v>
      </c>
      <c r="F9">
        <v>44995</v>
      </c>
      <c r="G9">
        <v>41231</v>
      </c>
      <c r="H9" t="s">
        <v>31</v>
      </c>
    </row>
    <row r="10" spans="1:8" x14ac:dyDescent="0.35">
      <c r="A10">
        <v>2009</v>
      </c>
      <c r="B10" t="s">
        <v>32</v>
      </c>
      <c r="C10" t="s">
        <v>33</v>
      </c>
      <c r="D10" t="s">
        <v>21</v>
      </c>
      <c r="E10" s="1">
        <v>46001</v>
      </c>
      <c r="F10">
        <v>36977</v>
      </c>
      <c r="G10">
        <v>25796</v>
      </c>
      <c r="H10" t="s">
        <v>25</v>
      </c>
    </row>
    <row r="11" spans="1:8" x14ac:dyDescent="0.35">
      <c r="A11">
        <v>2010</v>
      </c>
      <c r="B11" t="s">
        <v>34</v>
      </c>
      <c r="C11" t="s">
        <v>24</v>
      </c>
      <c r="D11" t="s">
        <v>14</v>
      </c>
      <c r="E11" s="1">
        <v>45967</v>
      </c>
      <c r="F11">
        <v>52402</v>
      </c>
      <c r="G11">
        <v>47765</v>
      </c>
      <c r="H11" t="s">
        <v>29</v>
      </c>
    </row>
    <row r="12" spans="1:8" x14ac:dyDescent="0.35">
      <c r="A12">
        <v>2011</v>
      </c>
      <c r="B12" t="s">
        <v>35</v>
      </c>
      <c r="C12" t="s">
        <v>9</v>
      </c>
      <c r="D12" t="s">
        <v>21</v>
      </c>
      <c r="E12" s="1">
        <v>45746</v>
      </c>
      <c r="F12">
        <v>54542</v>
      </c>
      <c r="G12">
        <v>52438</v>
      </c>
      <c r="H12" t="s">
        <v>19</v>
      </c>
    </row>
    <row r="13" spans="1:8" x14ac:dyDescent="0.35">
      <c r="A13">
        <v>2012</v>
      </c>
      <c r="B13" t="s">
        <v>36</v>
      </c>
      <c r="C13" t="s">
        <v>24</v>
      </c>
      <c r="D13" t="s">
        <v>37</v>
      </c>
      <c r="E13" s="1">
        <v>45870</v>
      </c>
      <c r="F13">
        <v>30651</v>
      </c>
      <c r="G13">
        <v>21204</v>
      </c>
      <c r="H13" t="s">
        <v>38</v>
      </c>
    </row>
    <row r="14" spans="1:8" x14ac:dyDescent="0.35">
      <c r="A14">
        <v>2013</v>
      </c>
      <c r="B14" t="s">
        <v>39</v>
      </c>
      <c r="C14" t="s">
        <v>24</v>
      </c>
      <c r="D14" t="s">
        <v>21</v>
      </c>
      <c r="E14" s="1">
        <v>45800</v>
      </c>
      <c r="F14">
        <v>53703</v>
      </c>
      <c r="G14">
        <v>46902</v>
      </c>
      <c r="H14" t="s">
        <v>31</v>
      </c>
    </row>
    <row r="15" spans="1:8" x14ac:dyDescent="0.35">
      <c r="A15">
        <v>2014</v>
      </c>
      <c r="B15" t="s">
        <v>40</v>
      </c>
      <c r="C15" t="s">
        <v>17</v>
      </c>
      <c r="D15" t="s">
        <v>37</v>
      </c>
      <c r="E15" s="1">
        <v>45722</v>
      </c>
      <c r="F15">
        <v>33395</v>
      </c>
      <c r="G15">
        <v>22721</v>
      </c>
      <c r="H15" t="s">
        <v>19</v>
      </c>
    </row>
    <row r="16" spans="1:8" x14ac:dyDescent="0.35">
      <c r="A16">
        <v>2015</v>
      </c>
      <c r="B16" t="s">
        <v>41</v>
      </c>
      <c r="C16" t="s">
        <v>13</v>
      </c>
      <c r="D16" t="s">
        <v>21</v>
      </c>
      <c r="E16" s="1">
        <v>45733</v>
      </c>
      <c r="F16">
        <v>49808</v>
      </c>
      <c r="G16">
        <v>41233</v>
      </c>
      <c r="H16" t="s">
        <v>19</v>
      </c>
    </row>
    <row r="17" spans="1:8" x14ac:dyDescent="0.35">
      <c r="A17">
        <v>2016</v>
      </c>
      <c r="B17" t="s">
        <v>42</v>
      </c>
      <c r="C17" t="s">
        <v>24</v>
      </c>
      <c r="D17" t="s">
        <v>37</v>
      </c>
      <c r="E17" s="1">
        <v>45856</v>
      </c>
      <c r="F17">
        <v>56576</v>
      </c>
      <c r="G17">
        <v>53969</v>
      </c>
      <c r="H17" t="s">
        <v>43</v>
      </c>
    </row>
    <row r="18" spans="1:8" x14ac:dyDescent="0.35">
      <c r="A18">
        <v>2017</v>
      </c>
      <c r="B18" t="s">
        <v>44</v>
      </c>
      <c r="C18" t="s">
        <v>45</v>
      </c>
      <c r="D18" t="s">
        <v>10</v>
      </c>
      <c r="E18" s="1">
        <v>45800</v>
      </c>
      <c r="F18">
        <v>36715</v>
      </c>
      <c r="G18">
        <v>28330</v>
      </c>
      <c r="H18" t="s">
        <v>31</v>
      </c>
    </row>
    <row r="19" spans="1:8" x14ac:dyDescent="0.35">
      <c r="A19">
        <v>2018</v>
      </c>
      <c r="B19" t="s">
        <v>46</v>
      </c>
      <c r="C19" t="s">
        <v>17</v>
      </c>
      <c r="D19" t="s">
        <v>27</v>
      </c>
      <c r="E19" s="1">
        <v>45973</v>
      </c>
      <c r="F19">
        <v>44306</v>
      </c>
      <c r="G19">
        <v>32307</v>
      </c>
      <c r="H19" t="s">
        <v>29</v>
      </c>
    </row>
    <row r="20" spans="1:8" x14ac:dyDescent="0.35">
      <c r="A20">
        <v>2019</v>
      </c>
      <c r="B20" t="s">
        <v>47</v>
      </c>
      <c r="C20" t="s">
        <v>33</v>
      </c>
      <c r="D20" t="s">
        <v>27</v>
      </c>
      <c r="E20" s="1">
        <v>45750</v>
      </c>
      <c r="F20">
        <v>39086</v>
      </c>
      <c r="G20">
        <v>35367</v>
      </c>
      <c r="H20" t="s">
        <v>11</v>
      </c>
    </row>
    <row r="21" spans="1:8" x14ac:dyDescent="0.35">
      <c r="A21">
        <v>2020</v>
      </c>
      <c r="B21" t="s">
        <v>48</v>
      </c>
      <c r="C21" t="s">
        <v>13</v>
      </c>
      <c r="D21" t="s">
        <v>18</v>
      </c>
      <c r="E21" s="1">
        <v>45962</v>
      </c>
      <c r="F21">
        <v>34376</v>
      </c>
      <c r="G21">
        <v>31795</v>
      </c>
      <c r="H21" t="s">
        <v>29</v>
      </c>
    </row>
    <row r="22" spans="1:8" x14ac:dyDescent="0.35">
      <c r="A22">
        <v>2021</v>
      </c>
      <c r="B22" t="s">
        <v>49</v>
      </c>
      <c r="C22" t="s">
        <v>45</v>
      </c>
      <c r="D22" t="s">
        <v>27</v>
      </c>
      <c r="E22" s="1">
        <v>45881</v>
      </c>
      <c r="F22">
        <v>25889</v>
      </c>
      <c r="G22">
        <v>23324</v>
      </c>
      <c r="H22" t="s">
        <v>38</v>
      </c>
    </row>
    <row r="23" spans="1:8" x14ac:dyDescent="0.35">
      <c r="A23">
        <v>2022</v>
      </c>
      <c r="B23" t="s">
        <v>50</v>
      </c>
      <c r="C23" t="s">
        <v>45</v>
      </c>
      <c r="D23" t="s">
        <v>14</v>
      </c>
      <c r="E23" s="1">
        <v>45948</v>
      </c>
      <c r="F23">
        <v>57822</v>
      </c>
      <c r="G23">
        <v>55059</v>
      </c>
      <c r="H23" t="s">
        <v>22</v>
      </c>
    </row>
    <row r="24" spans="1:8" x14ac:dyDescent="0.35">
      <c r="A24">
        <v>2023</v>
      </c>
      <c r="B24" t="s">
        <v>51</v>
      </c>
      <c r="C24" t="s">
        <v>33</v>
      </c>
      <c r="D24" t="s">
        <v>21</v>
      </c>
      <c r="E24" s="1">
        <v>45759</v>
      </c>
      <c r="F24">
        <v>56636</v>
      </c>
      <c r="G24">
        <v>45646</v>
      </c>
      <c r="H24" t="s">
        <v>11</v>
      </c>
    </row>
    <row r="25" spans="1:8" x14ac:dyDescent="0.35">
      <c r="A25">
        <v>2024</v>
      </c>
      <c r="B25" t="s">
        <v>52</v>
      </c>
      <c r="C25" t="s">
        <v>13</v>
      </c>
      <c r="D25" t="s">
        <v>18</v>
      </c>
      <c r="E25" s="1">
        <v>45924</v>
      </c>
      <c r="F25">
        <v>40584</v>
      </c>
      <c r="G25">
        <v>34256</v>
      </c>
      <c r="H25" t="s">
        <v>53</v>
      </c>
    </row>
    <row r="26" spans="1:8" x14ac:dyDescent="0.35">
      <c r="A26">
        <v>2025</v>
      </c>
      <c r="B26" t="s">
        <v>54</v>
      </c>
      <c r="C26" t="s">
        <v>17</v>
      </c>
      <c r="D26" t="s">
        <v>14</v>
      </c>
      <c r="E26" s="1">
        <v>46012</v>
      </c>
      <c r="F26">
        <v>54610</v>
      </c>
      <c r="G26">
        <v>48619</v>
      </c>
      <c r="H26" t="s">
        <v>25</v>
      </c>
    </row>
    <row r="27" spans="1:8" x14ac:dyDescent="0.35">
      <c r="A27">
        <v>2026</v>
      </c>
      <c r="B27" t="s">
        <v>55</v>
      </c>
      <c r="C27" t="s">
        <v>56</v>
      </c>
      <c r="D27" t="s">
        <v>14</v>
      </c>
      <c r="E27" s="1">
        <v>45767</v>
      </c>
      <c r="F27">
        <v>30058</v>
      </c>
      <c r="G27">
        <v>19527</v>
      </c>
      <c r="H27" t="s">
        <v>11</v>
      </c>
    </row>
    <row r="28" spans="1:8" x14ac:dyDescent="0.35">
      <c r="A28">
        <v>2027</v>
      </c>
      <c r="B28" t="s">
        <v>57</v>
      </c>
      <c r="C28" t="s">
        <v>13</v>
      </c>
      <c r="D28" t="s">
        <v>37</v>
      </c>
      <c r="E28" s="1">
        <v>45987</v>
      </c>
      <c r="F28">
        <v>29101</v>
      </c>
      <c r="G28">
        <v>25695</v>
      </c>
      <c r="H28" t="s">
        <v>29</v>
      </c>
    </row>
    <row r="29" spans="1:8" x14ac:dyDescent="0.35">
      <c r="A29">
        <v>2028</v>
      </c>
      <c r="B29" t="s">
        <v>58</v>
      </c>
      <c r="C29" t="s">
        <v>33</v>
      </c>
      <c r="D29" t="s">
        <v>27</v>
      </c>
      <c r="E29" s="1">
        <v>45922</v>
      </c>
      <c r="F29">
        <v>32497</v>
      </c>
      <c r="G29">
        <v>23574</v>
      </c>
      <c r="H29" t="s">
        <v>53</v>
      </c>
    </row>
    <row r="30" spans="1:8" x14ac:dyDescent="0.35">
      <c r="A30">
        <v>2029</v>
      </c>
      <c r="B30" t="s">
        <v>59</v>
      </c>
      <c r="C30" t="s">
        <v>45</v>
      </c>
      <c r="D30" t="s">
        <v>10</v>
      </c>
      <c r="E30" s="1">
        <v>45660</v>
      </c>
      <c r="F30">
        <v>24658</v>
      </c>
      <c r="G30">
        <v>10207</v>
      </c>
      <c r="H30" t="s">
        <v>15</v>
      </c>
    </row>
    <row r="31" spans="1:8" x14ac:dyDescent="0.35">
      <c r="A31">
        <v>2030</v>
      </c>
      <c r="B31" t="s">
        <v>60</v>
      </c>
      <c r="C31" t="s">
        <v>17</v>
      </c>
      <c r="D31" t="s">
        <v>10</v>
      </c>
      <c r="E31" s="1">
        <v>45742</v>
      </c>
      <c r="F31">
        <v>31381</v>
      </c>
      <c r="G31">
        <v>20317</v>
      </c>
      <c r="H31" t="s">
        <v>19</v>
      </c>
    </row>
    <row r="32" spans="1:8" x14ac:dyDescent="0.35">
      <c r="A32">
        <v>2031</v>
      </c>
      <c r="B32" t="s">
        <v>61</v>
      </c>
      <c r="C32" t="s">
        <v>13</v>
      </c>
      <c r="D32" t="s">
        <v>18</v>
      </c>
      <c r="E32" s="1">
        <v>45939</v>
      </c>
      <c r="F32">
        <v>37154</v>
      </c>
      <c r="G32">
        <v>25842</v>
      </c>
      <c r="H32" t="s">
        <v>22</v>
      </c>
    </row>
    <row r="33" spans="1:8" x14ac:dyDescent="0.35">
      <c r="A33">
        <v>2032</v>
      </c>
      <c r="B33" t="s">
        <v>62</v>
      </c>
      <c r="C33" t="s">
        <v>56</v>
      </c>
      <c r="D33" t="s">
        <v>10</v>
      </c>
      <c r="E33" s="1">
        <v>45985</v>
      </c>
      <c r="F33">
        <v>39539</v>
      </c>
      <c r="G33">
        <v>34759</v>
      </c>
      <c r="H33" t="s">
        <v>29</v>
      </c>
    </row>
    <row r="34" spans="1:8" x14ac:dyDescent="0.35">
      <c r="A34">
        <v>2033</v>
      </c>
      <c r="B34" t="s">
        <v>63</v>
      </c>
      <c r="C34" t="s">
        <v>56</v>
      </c>
      <c r="D34" t="s">
        <v>21</v>
      </c>
      <c r="E34" s="1">
        <v>45961</v>
      </c>
      <c r="F34">
        <v>31777</v>
      </c>
      <c r="G34">
        <v>27600</v>
      </c>
      <c r="H34" t="s">
        <v>22</v>
      </c>
    </row>
    <row r="35" spans="1:8" x14ac:dyDescent="0.35">
      <c r="A35">
        <v>2034</v>
      </c>
      <c r="B35" t="s">
        <v>64</v>
      </c>
      <c r="C35" t="s">
        <v>24</v>
      </c>
      <c r="D35" t="s">
        <v>10</v>
      </c>
      <c r="E35" s="1">
        <v>45774</v>
      </c>
      <c r="F35">
        <v>54396</v>
      </c>
      <c r="G35">
        <v>47920</v>
      </c>
      <c r="H35" t="s">
        <v>11</v>
      </c>
    </row>
    <row r="36" spans="1:8" x14ac:dyDescent="0.35">
      <c r="A36">
        <v>2035</v>
      </c>
      <c r="B36" t="s">
        <v>65</v>
      </c>
      <c r="C36" t="s">
        <v>24</v>
      </c>
      <c r="D36" t="s">
        <v>18</v>
      </c>
      <c r="E36" s="1">
        <v>45878</v>
      </c>
      <c r="F36">
        <v>50373</v>
      </c>
      <c r="G36">
        <v>47769</v>
      </c>
      <c r="H36" t="s">
        <v>38</v>
      </c>
    </row>
    <row r="37" spans="1:8" x14ac:dyDescent="0.35">
      <c r="A37">
        <v>2036</v>
      </c>
      <c r="B37" t="s">
        <v>66</v>
      </c>
      <c r="C37" t="s">
        <v>9</v>
      </c>
      <c r="D37" t="s">
        <v>10</v>
      </c>
      <c r="E37" s="1">
        <v>45811</v>
      </c>
      <c r="F37">
        <v>53154</v>
      </c>
      <c r="G37">
        <v>44973</v>
      </c>
      <c r="H37" t="s">
        <v>67</v>
      </c>
    </row>
    <row r="38" spans="1:8" x14ac:dyDescent="0.35">
      <c r="A38">
        <v>2037</v>
      </c>
      <c r="B38" t="s">
        <v>68</v>
      </c>
      <c r="C38" t="s">
        <v>33</v>
      </c>
      <c r="D38" t="s">
        <v>21</v>
      </c>
      <c r="E38" s="1">
        <v>45810</v>
      </c>
      <c r="F38">
        <v>26031</v>
      </c>
      <c r="G38">
        <v>23649</v>
      </c>
      <c r="H38" t="s">
        <v>67</v>
      </c>
    </row>
    <row r="39" spans="1:8" x14ac:dyDescent="0.35">
      <c r="A39">
        <v>2038</v>
      </c>
      <c r="B39" t="s">
        <v>69</v>
      </c>
      <c r="C39" t="s">
        <v>13</v>
      </c>
      <c r="D39" t="s">
        <v>37</v>
      </c>
      <c r="E39" s="1">
        <v>45669</v>
      </c>
      <c r="F39">
        <v>47997</v>
      </c>
      <c r="G39">
        <v>47466</v>
      </c>
      <c r="H39" t="s">
        <v>15</v>
      </c>
    </row>
    <row r="40" spans="1:8" x14ac:dyDescent="0.35">
      <c r="A40">
        <v>2039</v>
      </c>
      <c r="B40" t="s">
        <v>70</v>
      </c>
      <c r="C40" t="s">
        <v>13</v>
      </c>
      <c r="D40" t="s">
        <v>18</v>
      </c>
      <c r="E40" s="1">
        <v>45790</v>
      </c>
      <c r="F40">
        <v>26439</v>
      </c>
      <c r="G40">
        <v>20360</v>
      </c>
      <c r="H40" t="s">
        <v>31</v>
      </c>
    </row>
    <row r="41" spans="1:8" x14ac:dyDescent="0.35">
      <c r="A41">
        <v>2040</v>
      </c>
      <c r="B41" t="s">
        <v>71</v>
      </c>
      <c r="C41" t="s">
        <v>9</v>
      </c>
      <c r="D41" t="s">
        <v>37</v>
      </c>
      <c r="E41" s="1">
        <v>45961</v>
      </c>
      <c r="F41">
        <v>42785</v>
      </c>
      <c r="G41">
        <v>30277</v>
      </c>
      <c r="H41" t="s">
        <v>22</v>
      </c>
    </row>
    <row r="42" spans="1:8" x14ac:dyDescent="0.35">
      <c r="A42">
        <v>2041</v>
      </c>
      <c r="B42" t="s">
        <v>72</v>
      </c>
      <c r="C42" t="s">
        <v>45</v>
      </c>
      <c r="D42" t="s">
        <v>37</v>
      </c>
      <c r="E42" s="1">
        <v>45950</v>
      </c>
      <c r="F42">
        <v>33392</v>
      </c>
      <c r="G42">
        <v>32758</v>
      </c>
      <c r="H42" t="s">
        <v>22</v>
      </c>
    </row>
    <row r="43" spans="1:8" x14ac:dyDescent="0.35">
      <c r="A43">
        <v>2042</v>
      </c>
      <c r="B43" t="s">
        <v>73</v>
      </c>
      <c r="C43" t="s">
        <v>45</v>
      </c>
      <c r="D43" t="s">
        <v>37</v>
      </c>
      <c r="E43" s="1">
        <v>45957</v>
      </c>
      <c r="F43">
        <v>48669</v>
      </c>
      <c r="G43">
        <v>38708</v>
      </c>
      <c r="H43" t="s">
        <v>22</v>
      </c>
    </row>
    <row r="44" spans="1:8" x14ac:dyDescent="0.35">
      <c r="A44">
        <v>2043</v>
      </c>
      <c r="B44" t="s">
        <v>74</v>
      </c>
      <c r="C44" t="s">
        <v>9</v>
      </c>
      <c r="D44" t="s">
        <v>14</v>
      </c>
      <c r="E44" s="1">
        <v>45885</v>
      </c>
      <c r="F44">
        <v>48939</v>
      </c>
      <c r="G44">
        <v>36943</v>
      </c>
      <c r="H44" t="s">
        <v>38</v>
      </c>
    </row>
    <row r="45" spans="1:8" x14ac:dyDescent="0.35">
      <c r="A45">
        <v>2044</v>
      </c>
      <c r="B45" t="s">
        <v>75</v>
      </c>
      <c r="C45" t="s">
        <v>45</v>
      </c>
      <c r="D45" t="s">
        <v>27</v>
      </c>
      <c r="E45" s="1">
        <v>45928</v>
      </c>
      <c r="F45">
        <v>22282</v>
      </c>
      <c r="G45">
        <v>11720</v>
      </c>
      <c r="H45" t="s">
        <v>53</v>
      </c>
    </row>
    <row r="46" spans="1:8" x14ac:dyDescent="0.35">
      <c r="A46">
        <v>2045</v>
      </c>
      <c r="B46" t="s">
        <v>76</v>
      </c>
      <c r="C46" t="s">
        <v>24</v>
      </c>
      <c r="D46" t="s">
        <v>14</v>
      </c>
      <c r="E46" s="1">
        <v>45700</v>
      </c>
      <c r="F46">
        <v>54624</v>
      </c>
      <c r="G46">
        <v>40462</v>
      </c>
      <c r="H46" t="s">
        <v>77</v>
      </c>
    </row>
    <row r="47" spans="1:8" x14ac:dyDescent="0.35">
      <c r="A47">
        <v>2046</v>
      </c>
      <c r="B47" t="s">
        <v>78</v>
      </c>
      <c r="C47" t="s">
        <v>13</v>
      </c>
      <c r="D47" t="s">
        <v>27</v>
      </c>
      <c r="E47" s="1">
        <v>46000</v>
      </c>
      <c r="F47">
        <v>44364</v>
      </c>
      <c r="G47">
        <v>44362</v>
      </c>
      <c r="H47" t="s">
        <v>25</v>
      </c>
    </row>
    <row r="48" spans="1:8" x14ac:dyDescent="0.35">
      <c r="A48">
        <v>2047</v>
      </c>
      <c r="B48" t="s">
        <v>79</v>
      </c>
      <c r="C48" t="s">
        <v>9</v>
      </c>
      <c r="D48" t="s">
        <v>37</v>
      </c>
      <c r="E48" s="1">
        <v>45983</v>
      </c>
      <c r="F48">
        <v>21998</v>
      </c>
      <c r="G48">
        <v>7993</v>
      </c>
      <c r="H48" t="s">
        <v>29</v>
      </c>
    </row>
    <row r="49" spans="1:8" x14ac:dyDescent="0.35">
      <c r="A49">
        <v>2048</v>
      </c>
      <c r="B49" t="s">
        <v>80</v>
      </c>
      <c r="C49" t="s">
        <v>13</v>
      </c>
      <c r="D49" t="s">
        <v>18</v>
      </c>
      <c r="E49" s="1">
        <v>45959</v>
      </c>
      <c r="F49">
        <v>51705</v>
      </c>
      <c r="G49">
        <v>43308</v>
      </c>
      <c r="H49" t="s">
        <v>22</v>
      </c>
    </row>
    <row r="50" spans="1:8" x14ac:dyDescent="0.35">
      <c r="A50">
        <v>2049</v>
      </c>
      <c r="B50" t="s">
        <v>81</v>
      </c>
      <c r="C50" t="s">
        <v>56</v>
      </c>
      <c r="D50" t="s">
        <v>27</v>
      </c>
      <c r="E50" s="1">
        <v>46021</v>
      </c>
      <c r="F50">
        <v>58244</v>
      </c>
      <c r="G50">
        <v>52293</v>
      </c>
      <c r="H50" t="s">
        <v>25</v>
      </c>
    </row>
    <row r="51" spans="1:8" x14ac:dyDescent="0.35">
      <c r="A51">
        <v>2050</v>
      </c>
      <c r="B51" t="s">
        <v>82</v>
      </c>
      <c r="C51" t="s">
        <v>24</v>
      </c>
      <c r="D51" t="s">
        <v>21</v>
      </c>
      <c r="E51" s="1">
        <v>45678</v>
      </c>
      <c r="F51">
        <v>29428</v>
      </c>
      <c r="G51">
        <v>17101</v>
      </c>
      <c r="H51" t="s">
        <v>15</v>
      </c>
    </row>
    <row r="52" spans="1:8" x14ac:dyDescent="0.35">
      <c r="A52">
        <v>2051</v>
      </c>
      <c r="B52" t="s">
        <v>83</v>
      </c>
      <c r="C52" t="s">
        <v>17</v>
      </c>
      <c r="D52" t="s">
        <v>21</v>
      </c>
      <c r="E52" s="1">
        <v>45764</v>
      </c>
      <c r="F52">
        <v>57437</v>
      </c>
      <c r="G52">
        <v>43043</v>
      </c>
      <c r="H52" t="s">
        <v>11</v>
      </c>
    </row>
    <row r="53" spans="1:8" x14ac:dyDescent="0.35">
      <c r="A53">
        <v>2052</v>
      </c>
      <c r="B53" t="s">
        <v>84</v>
      </c>
      <c r="C53" t="s">
        <v>24</v>
      </c>
      <c r="D53" t="s">
        <v>10</v>
      </c>
      <c r="E53" s="1">
        <v>45993</v>
      </c>
      <c r="F53">
        <v>32336</v>
      </c>
      <c r="G53">
        <v>21523</v>
      </c>
      <c r="H53" t="s">
        <v>25</v>
      </c>
    </row>
    <row r="54" spans="1:8" x14ac:dyDescent="0.35">
      <c r="A54">
        <v>2053</v>
      </c>
      <c r="B54" t="s">
        <v>85</v>
      </c>
      <c r="C54" t="s">
        <v>9</v>
      </c>
      <c r="D54" t="s">
        <v>27</v>
      </c>
      <c r="E54" s="1">
        <v>45960</v>
      </c>
      <c r="F54">
        <v>29342</v>
      </c>
      <c r="G54">
        <v>16411</v>
      </c>
      <c r="H54" t="s">
        <v>22</v>
      </c>
    </row>
    <row r="55" spans="1:8" x14ac:dyDescent="0.35">
      <c r="A55">
        <v>2054</v>
      </c>
      <c r="B55" t="s">
        <v>86</v>
      </c>
      <c r="C55" t="s">
        <v>17</v>
      </c>
      <c r="D55" t="s">
        <v>18</v>
      </c>
      <c r="E55" s="1">
        <v>45774</v>
      </c>
      <c r="F55">
        <v>59832</v>
      </c>
      <c r="G55">
        <v>54206</v>
      </c>
      <c r="H55" t="s">
        <v>11</v>
      </c>
    </row>
    <row r="56" spans="1:8" x14ac:dyDescent="0.35">
      <c r="A56">
        <v>2055</v>
      </c>
      <c r="B56" t="s">
        <v>87</v>
      </c>
      <c r="C56" t="s">
        <v>56</v>
      </c>
      <c r="D56" t="s">
        <v>14</v>
      </c>
      <c r="E56" s="1">
        <v>45781</v>
      </c>
      <c r="F56">
        <v>27446</v>
      </c>
      <c r="G56">
        <v>19707</v>
      </c>
      <c r="H56" t="s">
        <v>31</v>
      </c>
    </row>
    <row r="57" spans="1:8" x14ac:dyDescent="0.35">
      <c r="A57">
        <v>2056</v>
      </c>
      <c r="B57" t="s">
        <v>88</v>
      </c>
      <c r="C57" t="s">
        <v>9</v>
      </c>
      <c r="D57" t="s">
        <v>37</v>
      </c>
      <c r="E57" s="1">
        <v>45938</v>
      </c>
      <c r="F57">
        <v>58392</v>
      </c>
      <c r="G57">
        <v>52389</v>
      </c>
      <c r="H57" t="s">
        <v>22</v>
      </c>
    </row>
    <row r="58" spans="1:8" x14ac:dyDescent="0.35">
      <c r="A58">
        <v>2057</v>
      </c>
      <c r="B58" t="s">
        <v>89</v>
      </c>
      <c r="C58" t="s">
        <v>33</v>
      </c>
      <c r="D58" t="s">
        <v>10</v>
      </c>
      <c r="E58" s="1">
        <v>45949</v>
      </c>
      <c r="F58">
        <v>27461</v>
      </c>
      <c r="G58">
        <v>24571</v>
      </c>
      <c r="H58" t="s">
        <v>22</v>
      </c>
    </row>
    <row r="59" spans="1:8" x14ac:dyDescent="0.35">
      <c r="A59">
        <v>2058</v>
      </c>
      <c r="B59" t="s">
        <v>90</v>
      </c>
      <c r="C59" t="s">
        <v>13</v>
      </c>
      <c r="D59" t="s">
        <v>21</v>
      </c>
      <c r="E59" s="1">
        <v>45860</v>
      </c>
      <c r="F59">
        <v>54587</v>
      </c>
      <c r="G59">
        <v>43202</v>
      </c>
      <c r="H59" t="s">
        <v>43</v>
      </c>
    </row>
    <row r="60" spans="1:8" x14ac:dyDescent="0.35">
      <c r="A60">
        <v>2059</v>
      </c>
      <c r="B60" t="s">
        <v>91</v>
      </c>
      <c r="C60" t="s">
        <v>56</v>
      </c>
      <c r="D60" t="s">
        <v>14</v>
      </c>
      <c r="E60" s="1">
        <v>45708</v>
      </c>
      <c r="F60">
        <v>30516</v>
      </c>
      <c r="G60">
        <v>19658</v>
      </c>
      <c r="H60" t="s">
        <v>77</v>
      </c>
    </row>
    <row r="61" spans="1:8" x14ac:dyDescent="0.35">
      <c r="A61">
        <v>2060</v>
      </c>
      <c r="B61" t="s">
        <v>92</v>
      </c>
      <c r="C61" t="s">
        <v>13</v>
      </c>
      <c r="D61" t="s">
        <v>14</v>
      </c>
      <c r="E61" s="1">
        <v>45928</v>
      </c>
      <c r="F61">
        <v>33749</v>
      </c>
      <c r="G61">
        <v>27510</v>
      </c>
      <c r="H61" t="s">
        <v>53</v>
      </c>
    </row>
    <row r="62" spans="1:8" x14ac:dyDescent="0.35">
      <c r="A62">
        <v>2061</v>
      </c>
      <c r="B62" t="s">
        <v>93</v>
      </c>
      <c r="C62" t="s">
        <v>45</v>
      </c>
      <c r="D62" t="s">
        <v>37</v>
      </c>
      <c r="E62" s="1">
        <v>45981</v>
      </c>
      <c r="F62">
        <v>37514</v>
      </c>
      <c r="G62">
        <v>29488</v>
      </c>
      <c r="H62" t="s">
        <v>29</v>
      </c>
    </row>
    <row r="63" spans="1:8" x14ac:dyDescent="0.35">
      <c r="A63">
        <v>2062</v>
      </c>
      <c r="B63" t="s">
        <v>94</v>
      </c>
      <c r="C63" t="s">
        <v>33</v>
      </c>
      <c r="D63" t="s">
        <v>27</v>
      </c>
      <c r="E63" s="1">
        <v>45934</v>
      </c>
      <c r="F63">
        <v>55426</v>
      </c>
      <c r="G63">
        <v>52120</v>
      </c>
      <c r="H63" t="s">
        <v>22</v>
      </c>
    </row>
    <row r="64" spans="1:8" x14ac:dyDescent="0.35">
      <c r="A64">
        <v>2063</v>
      </c>
      <c r="B64" t="s">
        <v>95</v>
      </c>
      <c r="C64" t="s">
        <v>33</v>
      </c>
      <c r="D64" t="s">
        <v>21</v>
      </c>
      <c r="E64" s="1">
        <v>45798</v>
      </c>
      <c r="F64">
        <v>56268</v>
      </c>
      <c r="G64">
        <v>55371</v>
      </c>
      <c r="H64" t="s">
        <v>31</v>
      </c>
    </row>
    <row r="65" spans="1:8" x14ac:dyDescent="0.35">
      <c r="A65">
        <v>2064</v>
      </c>
      <c r="B65" t="s">
        <v>96</v>
      </c>
      <c r="C65" t="s">
        <v>56</v>
      </c>
      <c r="D65" t="s">
        <v>18</v>
      </c>
      <c r="E65" s="1">
        <v>45932</v>
      </c>
      <c r="F65">
        <v>44950</v>
      </c>
      <c r="G65">
        <v>35673</v>
      </c>
      <c r="H65" t="s">
        <v>22</v>
      </c>
    </row>
    <row r="66" spans="1:8" x14ac:dyDescent="0.35">
      <c r="A66">
        <v>2065</v>
      </c>
      <c r="B66" t="s">
        <v>97</v>
      </c>
      <c r="C66" t="s">
        <v>33</v>
      </c>
      <c r="D66" t="s">
        <v>14</v>
      </c>
      <c r="E66" s="1">
        <v>45947</v>
      </c>
      <c r="F66">
        <v>54888</v>
      </c>
      <c r="G66">
        <v>45417</v>
      </c>
      <c r="H66" t="s">
        <v>22</v>
      </c>
    </row>
    <row r="67" spans="1:8" x14ac:dyDescent="0.35">
      <c r="A67">
        <v>2066</v>
      </c>
      <c r="B67" t="s">
        <v>98</v>
      </c>
      <c r="C67" t="s">
        <v>17</v>
      </c>
      <c r="D67" t="s">
        <v>37</v>
      </c>
      <c r="E67" s="1">
        <v>45991</v>
      </c>
      <c r="F67">
        <v>56788</v>
      </c>
      <c r="G67">
        <v>41892</v>
      </c>
      <c r="H67" t="s">
        <v>29</v>
      </c>
    </row>
    <row r="68" spans="1:8" x14ac:dyDescent="0.35">
      <c r="A68">
        <v>2067</v>
      </c>
      <c r="B68" t="s">
        <v>99</v>
      </c>
      <c r="C68" t="s">
        <v>33</v>
      </c>
      <c r="D68" t="s">
        <v>18</v>
      </c>
      <c r="E68" s="1">
        <v>45709</v>
      </c>
      <c r="F68">
        <v>30213</v>
      </c>
      <c r="G68">
        <v>15530</v>
      </c>
      <c r="H68" t="s">
        <v>77</v>
      </c>
    </row>
    <row r="69" spans="1:8" x14ac:dyDescent="0.35">
      <c r="A69">
        <v>2068</v>
      </c>
      <c r="B69" t="s">
        <v>100</v>
      </c>
      <c r="C69" t="s">
        <v>13</v>
      </c>
      <c r="D69" t="s">
        <v>27</v>
      </c>
      <c r="E69" s="1">
        <v>45684</v>
      </c>
      <c r="F69">
        <v>56027</v>
      </c>
      <c r="G69">
        <v>55357</v>
      </c>
      <c r="H69" t="s">
        <v>15</v>
      </c>
    </row>
    <row r="70" spans="1:8" x14ac:dyDescent="0.35">
      <c r="A70">
        <v>2069</v>
      </c>
      <c r="B70" t="s">
        <v>101</v>
      </c>
      <c r="C70" t="s">
        <v>13</v>
      </c>
      <c r="D70" t="s">
        <v>21</v>
      </c>
      <c r="E70" s="1">
        <v>45814</v>
      </c>
      <c r="F70">
        <v>48011</v>
      </c>
      <c r="G70">
        <v>40720</v>
      </c>
      <c r="H70" t="s">
        <v>67</v>
      </c>
    </row>
    <row r="71" spans="1:8" x14ac:dyDescent="0.35">
      <c r="A71">
        <v>2070</v>
      </c>
      <c r="B71" t="s">
        <v>102</v>
      </c>
      <c r="C71" t="s">
        <v>9</v>
      </c>
      <c r="D71" t="s">
        <v>27</v>
      </c>
      <c r="E71" s="1">
        <v>45896</v>
      </c>
      <c r="F71">
        <v>54591</v>
      </c>
      <c r="G71">
        <v>53086</v>
      </c>
      <c r="H71" t="s">
        <v>38</v>
      </c>
    </row>
    <row r="72" spans="1:8" x14ac:dyDescent="0.35">
      <c r="A72">
        <v>2071</v>
      </c>
      <c r="B72" t="s">
        <v>103</v>
      </c>
      <c r="C72" t="s">
        <v>13</v>
      </c>
      <c r="D72" t="s">
        <v>14</v>
      </c>
      <c r="E72" s="1">
        <v>45813</v>
      </c>
      <c r="F72">
        <v>37858</v>
      </c>
      <c r="G72">
        <v>31398</v>
      </c>
      <c r="H72" t="s">
        <v>67</v>
      </c>
    </row>
    <row r="73" spans="1:8" x14ac:dyDescent="0.35">
      <c r="A73">
        <v>2072</v>
      </c>
      <c r="B73" t="s">
        <v>104</v>
      </c>
      <c r="C73" t="s">
        <v>9</v>
      </c>
      <c r="D73" t="s">
        <v>18</v>
      </c>
      <c r="E73" s="1">
        <v>45948</v>
      </c>
      <c r="F73">
        <v>38626</v>
      </c>
      <c r="G73">
        <v>26859</v>
      </c>
      <c r="H73" t="s">
        <v>22</v>
      </c>
    </row>
    <row r="74" spans="1:8" x14ac:dyDescent="0.35">
      <c r="A74">
        <v>2073</v>
      </c>
      <c r="B74" t="s">
        <v>105</v>
      </c>
      <c r="C74" t="s">
        <v>13</v>
      </c>
      <c r="D74" t="s">
        <v>18</v>
      </c>
      <c r="E74" s="1">
        <v>45793</v>
      </c>
      <c r="F74">
        <v>33467</v>
      </c>
      <c r="G74">
        <v>20461</v>
      </c>
      <c r="H74" t="s">
        <v>31</v>
      </c>
    </row>
    <row r="75" spans="1:8" x14ac:dyDescent="0.35">
      <c r="A75">
        <v>2074</v>
      </c>
      <c r="B75" t="s">
        <v>106</v>
      </c>
      <c r="C75" t="s">
        <v>17</v>
      </c>
      <c r="D75" t="s">
        <v>18</v>
      </c>
      <c r="E75" s="1">
        <v>45801</v>
      </c>
      <c r="F75">
        <v>59758</v>
      </c>
      <c r="G75">
        <v>54591</v>
      </c>
      <c r="H75" t="s">
        <v>31</v>
      </c>
    </row>
    <row r="76" spans="1:8" x14ac:dyDescent="0.35">
      <c r="A76">
        <v>2075</v>
      </c>
      <c r="B76" t="s">
        <v>107</v>
      </c>
      <c r="C76" t="s">
        <v>9</v>
      </c>
      <c r="D76" t="s">
        <v>14</v>
      </c>
      <c r="E76" s="1">
        <v>45763</v>
      </c>
      <c r="F76">
        <v>23134</v>
      </c>
      <c r="G76">
        <v>12987</v>
      </c>
      <c r="H76" t="s">
        <v>11</v>
      </c>
    </row>
    <row r="77" spans="1:8" x14ac:dyDescent="0.35">
      <c r="A77">
        <v>2076</v>
      </c>
      <c r="B77" t="s">
        <v>108</v>
      </c>
      <c r="C77" t="s">
        <v>24</v>
      </c>
      <c r="D77" t="s">
        <v>14</v>
      </c>
      <c r="E77" s="1">
        <v>45815</v>
      </c>
      <c r="F77">
        <v>36743</v>
      </c>
      <c r="G77">
        <v>31488</v>
      </c>
      <c r="H77" t="s">
        <v>67</v>
      </c>
    </row>
    <row r="78" spans="1:8" x14ac:dyDescent="0.35">
      <c r="A78">
        <v>2077</v>
      </c>
      <c r="B78" t="s">
        <v>109</v>
      </c>
      <c r="C78" t="s">
        <v>45</v>
      </c>
      <c r="D78" t="s">
        <v>27</v>
      </c>
      <c r="E78" s="1">
        <v>45803</v>
      </c>
      <c r="F78">
        <v>35434</v>
      </c>
      <c r="G78">
        <v>35185</v>
      </c>
      <c r="H78" t="s">
        <v>31</v>
      </c>
    </row>
    <row r="79" spans="1:8" x14ac:dyDescent="0.35">
      <c r="A79">
        <v>2078</v>
      </c>
      <c r="B79" t="s">
        <v>110</v>
      </c>
      <c r="C79" t="s">
        <v>56</v>
      </c>
      <c r="D79" t="s">
        <v>10</v>
      </c>
      <c r="E79" s="1">
        <v>45659</v>
      </c>
      <c r="F79">
        <v>30233</v>
      </c>
      <c r="G79">
        <v>23776</v>
      </c>
      <c r="H79" t="s">
        <v>15</v>
      </c>
    </row>
    <row r="80" spans="1:8" x14ac:dyDescent="0.35">
      <c r="A80">
        <v>2079</v>
      </c>
      <c r="B80" t="s">
        <v>111</v>
      </c>
      <c r="C80" t="s">
        <v>13</v>
      </c>
      <c r="D80" t="s">
        <v>27</v>
      </c>
      <c r="E80" s="1">
        <v>45734</v>
      </c>
      <c r="F80">
        <v>21141</v>
      </c>
      <c r="G80">
        <v>19249</v>
      </c>
      <c r="H80" t="s">
        <v>19</v>
      </c>
    </row>
    <row r="81" spans="1:8" x14ac:dyDescent="0.35">
      <c r="A81">
        <v>2080</v>
      </c>
      <c r="B81" t="s">
        <v>112</v>
      </c>
      <c r="C81" t="s">
        <v>33</v>
      </c>
      <c r="D81" t="s">
        <v>21</v>
      </c>
      <c r="E81" s="1">
        <v>45789</v>
      </c>
      <c r="F81">
        <v>38019</v>
      </c>
      <c r="G81">
        <v>34580</v>
      </c>
      <c r="H81" t="s">
        <v>31</v>
      </c>
    </row>
    <row r="82" spans="1:8" x14ac:dyDescent="0.35">
      <c r="A82">
        <v>2081</v>
      </c>
      <c r="B82" t="s">
        <v>113</v>
      </c>
      <c r="C82" t="s">
        <v>13</v>
      </c>
      <c r="D82" t="s">
        <v>37</v>
      </c>
      <c r="E82" s="1">
        <v>45747</v>
      </c>
      <c r="F82">
        <v>40384</v>
      </c>
      <c r="G82">
        <v>30339</v>
      </c>
      <c r="H82" t="s">
        <v>19</v>
      </c>
    </row>
    <row r="83" spans="1:8" x14ac:dyDescent="0.35">
      <c r="A83">
        <v>2082</v>
      </c>
      <c r="B83" t="s">
        <v>114</v>
      </c>
      <c r="C83" t="s">
        <v>33</v>
      </c>
      <c r="D83" t="s">
        <v>18</v>
      </c>
      <c r="E83" s="1">
        <v>46002</v>
      </c>
      <c r="F83">
        <v>56129</v>
      </c>
      <c r="G83">
        <v>53275</v>
      </c>
      <c r="H83" t="s">
        <v>25</v>
      </c>
    </row>
    <row r="84" spans="1:8" x14ac:dyDescent="0.35">
      <c r="A84">
        <v>2083</v>
      </c>
      <c r="B84" t="s">
        <v>115</v>
      </c>
      <c r="C84" t="s">
        <v>45</v>
      </c>
      <c r="D84" t="s">
        <v>10</v>
      </c>
      <c r="E84" s="1">
        <v>46007</v>
      </c>
      <c r="F84">
        <v>42967</v>
      </c>
      <c r="G84">
        <v>33272</v>
      </c>
      <c r="H84" t="s">
        <v>25</v>
      </c>
    </row>
    <row r="85" spans="1:8" x14ac:dyDescent="0.35">
      <c r="A85">
        <v>2084</v>
      </c>
      <c r="B85" t="s">
        <v>116</v>
      </c>
      <c r="C85" t="s">
        <v>45</v>
      </c>
      <c r="D85" t="s">
        <v>37</v>
      </c>
      <c r="E85" s="1">
        <v>45920</v>
      </c>
      <c r="F85">
        <v>31172</v>
      </c>
      <c r="G85">
        <v>19595</v>
      </c>
      <c r="H85" t="s">
        <v>53</v>
      </c>
    </row>
    <row r="86" spans="1:8" x14ac:dyDescent="0.35">
      <c r="A86">
        <v>2085</v>
      </c>
      <c r="B86" t="s">
        <v>117</v>
      </c>
      <c r="C86" t="s">
        <v>45</v>
      </c>
      <c r="D86" t="s">
        <v>10</v>
      </c>
      <c r="E86" s="1">
        <v>46008</v>
      </c>
      <c r="F86">
        <v>36390</v>
      </c>
      <c r="G86">
        <v>24627</v>
      </c>
      <c r="H86" t="s">
        <v>25</v>
      </c>
    </row>
    <row r="87" spans="1:8" x14ac:dyDescent="0.35">
      <c r="A87">
        <v>2086</v>
      </c>
      <c r="B87" t="s">
        <v>118</v>
      </c>
      <c r="C87" t="s">
        <v>33</v>
      </c>
      <c r="D87" t="s">
        <v>27</v>
      </c>
      <c r="E87" s="1">
        <v>45765</v>
      </c>
      <c r="F87">
        <v>23267</v>
      </c>
      <c r="G87">
        <v>19475</v>
      </c>
      <c r="H87" t="s">
        <v>11</v>
      </c>
    </row>
    <row r="88" spans="1:8" x14ac:dyDescent="0.35">
      <c r="A88">
        <v>2087</v>
      </c>
      <c r="B88" t="s">
        <v>119</v>
      </c>
      <c r="C88" t="s">
        <v>13</v>
      </c>
      <c r="D88" t="s">
        <v>14</v>
      </c>
      <c r="E88" s="1">
        <v>45731</v>
      </c>
      <c r="F88">
        <v>59332</v>
      </c>
      <c r="G88">
        <v>47714</v>
      </c>
      <c r="H88" t="s">
        <v>19</v>
      </c>
    </row>
    <row r="89" spans="1:8" x14ac:dyDescent="0.35">
      <c r="A89">
        <v>2088</v>
      </c>
      <c r="B89" t="s">
        <v>120</v>
      </c>
      <c r="C89" t="s">
        <v>45</v>
      </c>
      <c r="D89" t="s">
        <v>18</v>
      </c>
      <c r="E89" s="1">
        <v>45696</v>
      </c>
      <c r="F89">
        <v>46167</v>
      </c>
      <c r="G89">
        <v>31347</v>
      </c>
      <c r="H89" t="s">
        <v>77</v>
      </c>
    </row>
    <row r="90" spans="1:8" x14ac:dyDescent="0.35">
      <c r="A90">
        <v>2089</v>
      </c>
      <c r="B90" t="s">
        <v>121</v>
      </c>
      <c r="C90" t="s">
        <v>17</v>
      </c>
      <c r="D90" t="s">
        <v>27</v>
      </c>
      <c r="E90" s="1">
        <v>45816</v>
      </c>
      <c r="F90">
        <v>41312</v>
      </c>
      <c r="G90">
        <v>35982</v>
      </c>
      <c r="H90" t="s">
        <v>67</v>
      </c>
    </row>
    <row r="91" spans="1:8" x14ac:dyDescent="0.35">
      <c r="A91">
        <v>2090</v>
      </c>
      <c r="B91" t="s">
        <v>122</v>
      </c>
      <c r="C91" t="s">
        <v>9</v>
      </c>
      <c r="D91" t="s">
        <v>37</v>
      </c>
      <c r="E91" s="1">
        <v>45728</v>
      </c>
      <c r="F91">
        <v>47840</v>
      </c>
      <c r="G91">
        <v>39969</v>
      </c>
      <c r="H91" t="s">
        <v>19</v>
      </c>
    </row>
    <row r="92" spans="1:8" x14ac:dyDescent="0.35">
      <c r="A92">
        <v>2091</v>
      </c>
      <c r="B92" t="s">
        <v>123</v>
      </c>
      <c r="C92" t="s">
        <v>33</v>
      </c>
      <c r="D92" t="s">
        <v>37</v>
      </c>
      <c r="E92" s="1">
        <v>45969</v>
      </c>
      <c r="F92">
        <v>38990</v>
      </c>
      <c r="G92">
        <v>30755</v>
      </c>
      <c r="H92" t="s">
        <v>29</v>
      </c>
    </row>
    <row r="93" spans="1:8" x14ac:dyDescent="0.35">
      <c r="A93">
        <v>2092</v>
      </c>
      <c r="B93" t="s">
        <v>124</v>
      </c>
      <c r="C93" t="s">
        <v>33</v>
      </c>
      <c r="D93" t="s">
        <v>37</v>
      </c>
      <c r="E93" s="1">
        <v>45898</v>
      </c>
      <c r="F93">
        <v>25906</v>
      </c>
      <c r="G93">
        <v>22294</v>
      </c>
      <c r="H93" t="s">
        <v>38</v>
      </c>
    </row>
    <row r="94" spans="1:8" x14ac:dyDescent="0.35">
      <c r="A94">
        <v>2093</v>
      </c>
      <c r="B94" t="s">
        <v>125</v>
      </c>
      <c r="C94" t="s">
        <v>13</v>
      </c>
      <c r="D94" t="s">
        <v>37</v>
      </c>
      <c r="E94" s="1">
        <v>45955</v>
      </c>
      <c r="F94">
        <v>37297</v>
      </c>
      <c r="G94">
        <v>34679</v>
      </c>
      <c r="H94" t="s">
        <v>22</v>
      </c>
    </row>
    <row r="95" spans="1:8" x14ac:dyDescent="0.35">
      <c r="A95">
        <v>2094</v>
      </c>
      <c r="B95" t="s">
        <v>126</v>
      </c>
      <c r="C95" t="s">
        <v>33</v>
      </c>
      <c r="D95" t="s">
        <v>37</v>
      </c>
      <c r="E95" s="1">
        <v>45693</v>
      </c>
      <c r="F95">
        <v>22011</v>
      </c>
      <c r="G95">
        <v>17333</v>
      </c>
      <c r="H95" t="s">
        <v>77</v>
      </c>
    </row>
    <row r="96" spans="1:8" x14ac:dyDescent="0.35">
      <c r="A96">
        <v>2095</v>
      </c>
      <c r="B96" t="s">
        <v>127</v>
      </c>
      <c r="C96" t="s">
        <v>33</v>
      </c>
      <c r="D96" t="s">
        <v>10</v>
      </c>
      <c r="E96" s="1">
        <v>45741</v>
      </c>
      <c r="F96">
        <v>31738</v>
      </c>
      <c r="G96">
        <v>28575</v>
      </c>
      <c r="H96" t="s">
        <v>19</v>
      </c>
    </row>
    <row r="97" spans="1:8" x14ac:dyDescent="0.35">
      <c r="A97">
        <v>2096</v>
      </c>
      <c r="B97" t="s">
        <v>128</v>
      </c>
      <c r="C97" t="s">
        <v>45</v>
      </c>
      <c r="D97" t="s">
        <v>27</v>
      </c>
      <c r="E97" s="1">
        <v>45920</v>
      </c>
      <c r="F97">
        <v>48797</v>
      </c>
      <c r="G97">
        <v>39317</v>
      </c>
      <c r="H97" t="s">
        <v>53</v>
      </c>
    </row>
    <row r="98" spans="1:8" x14ac:dyDescent="0.35">
      <c r="A98">
        <v>2097</v>
      </c>
      <c r="B98" t="s">
        <v>129</v>
      </c>
      <c r="C98" t="s">
        <v>13</v>
      </c>
      <c r="D98" t="s">
        <v>18</v>
      </c>
      <c r="E98" s="1">
        <v>45967</v>
      </c>
      <c r="F98">
        <v>31120</v>
      </c>
      <c r="G98">
        <v>28178</v>
      </c>
      <c r="H98" t="s">
        <v>29</v>
      </c>
    </row>
    <row r="99" spans="1:8" x14ac:dyDescent="0.35">
      <c r="A99">
        <v>2098</v>
      </c>
      <c r="B99" t="s">
        <v>130</v>
      </c>
      <c r="C99" t="s">
        <v>45</v>
      </c>
      <c r="D99" t="s">
        <v>14</v>
      </c>
      <c r="E99" s="1">
        <v>45829</v>
      </c>
      <c r="F99">
        <v>28767</v>
      </c>
      <c r="G99">
        <v>20356</v>
      </c>
      <c r="H99" t="s">
        <v>67</v>
      </c>
    </row>
    <row r="100" spans="1:8" x14ac:dyDescent="0.35">
      <c r="A100">
        <v>2099</v>
      </c>
      <c r="B100" t="s">
        <v>131</v>
      </c>
      <c r="C100" t="s">
        <v>9</v>
      </c>
      <c r="D100" t="s">
        <v>14</v>
      </c>
      <c r="E100" s="1">
        <v>45830</v>
      </c>
      <c r="F100">
        <v>42852</v>
      </c>
      <c r="G100">
        <v>40927</v>
      </c>
      <c r="H100" t="s">
        <v>67</v>
      </c>
    </row>
    <row r="101" spans="1:8" x14ac:dyDescent="0.35">
      <c r="A101">
        <v>2100</v>
      </c>
      <c r="B101" t="s">
        <v>132</v>
      </c>
      <c r="C101" t="s">
        <v>9</v>
      </c>
      <c r="D101" t="s">
        <v>27</v>
      </c>
      <c r="E101" s="1">
        <v>46019</v>
      </c>
      <c r="F101">
        <v>33703</v>
      </c>
      <c r="G101">
        <v>30731</v>
      </c>
      <c r="H101" t="s">
        <v>25</v>
      </c>
    </row>
    <row r="102" spans="1:8" x14ac:dyDescent="0.35">
      <c r="A102">
        <v>2101</v>
      </c>
      <c r="B102" t="s">
        <v>133</v>
      </c>
      <c r="C102" t="s">
        <v>45</v>
      </c>
      <c r="D102" t="s">
        <v>27</v>
      </c>
      <c r="E102" s="1">
        <v>45704</v>
      </c>
      <c r="F102">
        <v>20929</v>
      </c>
      <c r="G102">
        <v>9224</v>
      </c>
      <c r="H102" t="s">
        <v>77</v>
      </c>
    </row>
    <row r="103" spans="1:8" x14ac:dyDescent="0.35">
      <c r="A103">
        <v>2102</v>
      </c>
      <c r="B103" t="s">
        <v>134</v>
      </c>
      <c r="C103" t="s">
        <v>9</v>
      </c>
      <c r="D103" t="s">
        <v>14</v>
      </c>
      <c r="E103" s="1">
        <v>45798</v>
      </c>
      <c r="F103">
        <v>31951</v>
      </c>
      <c r="G103">
        <v>21311</v>
      </c>
      <c r="H103" t="s">
        <v>31</v>
      </c>
    </row>
    <row r="104" spans="1:8" x14ac:dyDescent="0.35">
      <c r="A104">
        <v>2103</v>
      </c>
      <c r="B104" t="s">
        <v>135</v>
      </c>
      <c r="C104" t="s">
        <v>13</v>
      </c>
      <c r="D104" t="s">
        <v>14</v>
      </c>
      <c r="E104" s="1">
        <v>45775</v>
      </c>
      <c r="F104">
        <v>46039</v>
      </c>
      <c r="G104">
        <v>34376</v>
      </c>
      <c r="H104" t="s">
        <v>11</v>
      </c>
    </row>
    <row r="105" spans="1:8" x14ac:dyDescent="0.35">
      <c r="A105">
        <v>2104</v>
      </c>
      <c r="B105" t="s">
        <v>136</v>
      </c>
      <c r="C105" t="s">
        <v>56</v>
      </c>
      <c r="D105" t="s">
        <v>10</v>
      </c>
      <c r="E105" s="1">
        <v>45934</v>
      </c>
      <c r="F105">
        <v>49504</v>
      </c>
      <c r="G105">
        <v>38538</v>
      </c>
      <c r="H105" t="s">
        <v>22</v>
      </c>
    </row>
    <row r="106" spans="1:8" x14ac:dyDescent="0.35">
      <c r="A106">
        <v>2105</v>
      </c>
      <c r="B106" t="s">
        <v>137</v>
      </c>
      <c r="C106" t="s">
        <v>45</v>
      </c>
      <c r="D106" t="s">
        <v>21</v>
      </c>
      <c r="E106" s="1">
        <v>45871</v>
      </c>
      <c r="F106">
        <v>37438</v>
      </c>
      <c r="G106">
        <v>36448</v>
      </c>
      <c r="H106" t="s">
        <v>38</v>
      </c>
    </row>
    <row r="107" spans="1:8" x14ac:dyDescent="0.35">
      <c r="A107">
        <v>2106</v>
      </c>
      <c r="B107" t="s">
        <v>138</v>
      </c>
      <c r="C107" t="s">
        <v>17</v>
      </c>
      <c r="D107" t="s">
        <v>18</v>
      </c>
      <c r="E107" s="1">
        <v>45877</v>
      </c>
      <c r="F107">
        <v>25744</v>
      </c>
      <c r="G107">
        <v>14606</v>
      </c>
      <c r="H107" t="s">
        <v>38</v>
      </c>
    </row>
    <row r="108" spans="1:8" x14ac:dyDescent="0.35">
      <c r="A108">
        <v>2107</v>
      </c>
      <c r="B108" t="s">
        <v>139</v>
      </c>
      <c r="C108" t="s">
        <v>17</v>
      </c>
      <c r="D108" t="s">
        <v>37</v>
      </c>
      <c r="E108" s="1">
        <v>45683</v>
      </c>
      <c r="F108">
        <v>38284</v>
      </c>
      <c r="G108">
        <v>36472</v>
      </c>
      <c r="H108" t="s">
        <v>15</v>
      </c>
    </row>
    <row r="109" spans="1:8" x14ac:dyDescent="0.35">
      <c r="A109">
        <v>2108</v>
      </c>
      <c r="B109" t="s">
        <v>140</v>
      </c>
      <c r="C109" t="s">
        <v>33</v>
      </c>
      <c r="D109" t="s">
        <v>21</v>
      </c>
      <c r="E109" s="1">
        <v>45666</v>
      </c>
      <c r="F109">
        <v>59748</v>
      </c>
      <c r="G109">
        <v>46603</v>
      </c>
      <c r="H109" t="s">
        <v>15</v>
      </c>
    </row>
    <row r="110" spans="1:8" x14ac:dyDescent="0.35">
      <c r="A110">
        <v>2109</v>
      </c>
      <c r="B110" t="s">
        <v>141</v>
      </c>
      <c r="C110" t="s">
        <v>9</v>
      </c>
      <c r="D110" t="s">
        <v>27</v>
      </c>
      <c r="E110" s="1">
        <v>45928</v>
      </c>
      <c r="F110">
        <v>27069</v>
      </c>
      <c r="G110">
        <v>18074</v>
      </c>
      <c r="H110" t="s">
        <v>53</v>
      </c>
    </row>
    <row r="111" spans="1:8" x14ac:dyDescent="0.35">
      <c r="A111">
        <v>2110</v>
      </c>
      <c r="B111" t="s">
        <v>142</v>
      </c>
      <c r="C111" t="s">
        <v>17</v>
      </c>
      <c r="D111" t="s">
        <v>14</v>
      </c>
      <c r="E111" s="1">
        <v>45667</v>
      </c>
      <c r="F111">
        <v>39799</v>
      </c>
      <c r="G111">
        <v>39310</v>
      </c>
      <c r="H111" t="s">
        <v>15</v>
      </c>
    </row>
    <row r="112" spans="1:8" x14ac:dyDescent="0.35">
      <c r="A112">
        <v>2111</v>
      </c>
      <c r="B112" t="s">
        <v>143</v>
      </c>
      <c r="C112" t="s">
        <v>33</v>
      </c>
      <c r="D112" t="s">
        <v>21</v>
      </c>
      <c r="E112" s="1">
        <v>45778</v>
      </c>
      <c r="F112">
        <v>53210</v>
      </c>
      <c r="G112">
        <v>41462</v>
      </c>
      <c r="H112" t="s">
        <v>31</v>
      </c>
    </row>
    <row r="113" spans="1:8" x14ac:dyDescent="0.35">
      <c r="A113">
        <v>2112</v>
      </c>
      <c r="B113" t="s">
        <v>144</v>
      </c>
      <c r="C113" t="s">
        <v>56</v>
      </c>
      <c r="D113" t="s">
        <v>18</v>
      </c>
      <c r="E113" s="1">
        <v>45782</v>
      </c>
      <c r="F113">
        <v>48226</v>
      </c>
      <c r="G113">
        <v>42350</v>
      </c>
      <c r="H113" t="s">
        <v>31</v>
      </c>
    </row>
    <row r="114" spans="1:8" x14ac:dyDescent="0.35">
      <c r="A114">
        <v>2113</v>
      </c>
      <c r="B114" t="s">
        <v>145</v>
      </c>
      <c r="C114" t="s">
        <v>13</v>
      </c>
      <c r="D114" t="s">
        <v>27</v>
      </c>
      <c r="E114" s="1">
        <v>45827</v>
      </c>
      <c r="F114">
        <v>24652</v>
      </c>
      <c r="G114">
        <v>14967</v>
      </c>
      <c r="H114" t="s">
        <v>67</v>
      </c>
    </row>
    <row r="115" spans="1:8" x14ac:dyDescent="0.35">
      <c r="A115">
        <v>2114</v>
      </c>
      <c r="B115" t="s">
        <v>146</v>
      </c>
      <c r="C115" t="s">
        <v>13</v>
      </c>
      <c r="D115" t="s">
        <v>37</v>
      </c>
      <c r="E115" s="1">
        <v>45729</v>
      </c>
      <c r="F115">
        <v>44323</v>
      </c>
      <c r="G115">
        <v>40678</v>
      </c>
      <c r="H115" t="s">
        <v>19</v>
      </c>
    </row>
    <row r="116" spans="1:8" x14ac:dyDescent="0.35">
      <c r="A116">
        <v>2115</v>
      </c>
      <c r="B116" t="s">
        <v>147</v>
      </c>
      <c r="C116" t="s">
        <v>13</v>
      </c>
      <c r="D116" t="s">
        <v>37</v>
      </c>
      <c r="E116" s="1">
        <v>45809</v>
      </c>
      <c r="F116">
        <v>27597</v>
      </c>
      <c r="G116">
        <v>20516</v>
      </c>
      <c r="H116" t="s">
        <v>67</v>
      </c>
    </row>
    <row r="117" spans="1:8" x14ac:dyDescent="0.35">
      <c r="A117">
        <v>2116</v>
      </c>
      <c r="B117" t="s">
        <v>148</v>
      </c>
      <c r="C117" t="s">
        <v>17</v>
      </c>
      <c r="D117" t="s">
        <v>18</v>
      </c>
      <c r="E117" s="1">
        <v>45865</v>
      </c>
      <c r="F117">
        <v>57226</v>
      </c>
      <c r="G117">
        <v>54335</v>
      </c>
      <c r="H117" t="s">
        <v>43</v>
      </c>
    </row>
    <row r="118" spans="1:8" x14ac:dyDescent="0.35">
      <c r="A118">
        <v>2117</v>
      </c>
      <c r="B118" t="s">
        <v>149</v>
      </c>
      <c r="C118" t="s">
        <v>56</v>
      </c>
      <c r="D118" t="s">
        <v>18</v>
      </c>
      <c r="E118" s="1">
        <v>45706</v>
      </c>
      <c r="F118">
        <v>26591</v>
      </c>
      <c r="G118">
        <v>16694</v>
      </c>
      <c r="H118" t="s">
        <v>77</v>
      </c>
    </row>
    <row r="119" spans="1:8" x14ac:dyDescent="0.35">
      <c r="A119">
        <v>2118</v>
      </c>
      <c r="B119" t="s">
        <v>150</v>
      </c>
      <c r="C119" t="s">
        <v>17</v>
      </c>
      <c r="D119" t="s">
        <v>14</v>
      </c>
      <c r="E119" s="1">
        <v>45811</v>
      </c>
      <c r="F119">
        <v>45833</v>
      </c>
      <c r="G119">
        <v>42317</v>
      </c>
      <c r="H119" t="s">
        <v>67</v>
      </c>
    </row>
    <row r="120" spans="1:8" x14ac:dyDescent="0.35">
      <c r="A120">
        <v>2119</v>
      </c>
      <c r="B120" t="s">
        <v>151</v>
      </c>
      <c r="C120" t="s">
        <v>9</v>
      </c>
      <c r="D120" t="s">
        <v>37</v>
      </c>
      <c r="E120" s="1">
        <v>46004</v>
      </c>
      <c r="F120">
        <v>31826</v>
      </c>
      <c r="G120">
        <v>28486</v>
      </c>
      <c r="H120" t="s">
        <v>25</v>
      </c>
    </row>
    <row r="121" spans="1:8" x14ac:dyDescent="0.35">
      <c r="A121">
        <v>2120</v>
      </c>
      <c r="B121" t="s">
        <v>152</v>
      </c>
      <c r="C121" t="s">
        <v>17</v>
      </c>
      <c r="D121" t="s">
        <v>27</v>
      </c>
      <c r="E121" s="1">
        <v>45950</v>
      </c>
      <c r="F121">
        <v>46417</v>
      </c>
      <c r="G121">
        <v>40007</v>
      </c>
      <c r="H121" t="s">
        <v>22</v>
      </c>
    </row>
    <row r="122" spans="1:8" x14ac:dyDescent="0.35">
      <c r="A122">
        <v>2121</v>
      </c>
      <c r="B122" t="s">
        <v>153</v>
      </c>
      <c r="C122" t="s">
        <v>56</v>
      </c>
      <c r="D122" t="s">
        <v>21</v>
      </c>
      <c r="E122" s="1">
        <v>45725</v>
      </c>
      <c r="F122">
        <v>38693</v>
      </c>
      <c r="G122">
        <v>38640</v>
      </c>
      <c r="H122" t="s">
        <v>19</v>
      </c>
    </row>
    <row r="123" spans="1:8" x14ac:dyDescent="0.35">
      <c r="A123">
        <v>2122</v>
      </c>
      <c r="B123" t="s">
        <v>154</v>
      </c>
      <c r="C123" t="s">
        <v>56</v>
      </c>
      <c r="D123" t="s">
        <v>27</v>
      </c>
      <c r="E123" s="1">
        <v>45707</v>
      </c>
      <c r="F123">
        <v>34138</v>
      </c>
      <c r="G123">
        <v>31563</v>
      </c>
      <c r="H123" t="s">
        <v>77</v>
      </c>
    </row>
    <row r="124" spans="1:8" x14ac:dyDescent="0.35">
      <c r="A124">
        <v>2123</v>
      </c>
      <c r="B124" t="s">
        <v>155</v>
      </c>
      <c r="C124" t="s">
        <v>9</v>
      </c>
      <c r="D124" t="s">
        <v>10</v>
      </c>
      <c r="E124" s="1">
        <v>45809</v>
      </c>
      <c r="F124">
        <v>22169</v>
      </c>
      <c r="G124">
        <v>10386</v>
      </c>
      <c r="H124" t="s">
        <v>67</v>
      </c>
    </row>
    <row r="125" spans="1:8" x14ac:dyDescent="0.35">
      <c r="A125">
        <v>2124</v>
      </c>
      <c r="B125" t="s">
        <v>156</v>
      </c>
      <c r="C125" t="s">
        <v>56</v>
      </c>
      <c r="D125" t="s">
        <v>10</v>
      </c>
      <c r="E125" s="1">
        <v>45676</v>
      </c>
      <c r="F125">
        <v>38556</v>
      </c>
      <c r="G125">
        <v>37941</v>
      </c>
      <c r="H125" t="s">
        <v>15</v>
      </c>
    </row>
    <row r="126" spans="1:8" x14ac:dyDescent="0.35">
      <c r="A126">
        <v>2125</v>
      </c>
      <c r="B126" t="s">
        <v>157</v>
      </c>
      <c r="C126" t="s">
        <v>56</v>
      </c>
      <c r="D126" t="s">
        <v>18</v>
      </c>
      <c r="E126" s="1">
        <v>45757</v>
      </c>
      <c r="F126">
        <v>42052</v>
      </c>
      <c r="G126">
        <v>28682</v>
      </c>
      <c r="H126" t="s">
        <v>11</v>
      </c>
    </row>
    <row r="127" spans="1:8" x14ac:dyDescent="0.35">
      <c r="A127">
        <v>2126</v>
      </c>
      <c r="B127" t="s">
        <v>158</v>
      </c>
      <c r="C127" t="s">
        <v>13</v>
      </c>
      <c r="D127" t="s">
        <v>14</v>
      </c>
      <c r="E127" s="1">
        <v>45717</v>
      </c>
      <c r="F127">
        <v>26313</v>
      </c>
      <c r="G127">
        <v>20369</v>
      </c>
      <c r="H127" t="s">
        <v>19</v>
      </c>
    </row>
    <row r="128" spans="1:8" x14ac:dyDescent="0.35">
      <c r="A128">
        <v>2127</v>
      </c>
      <c r="B128" t="s">
        <v>159</v>
      </c>
      <c r="C128" t="s">
        <v>9</v>
      </c>
      <c r="D128" t="s">
        <v>10</v>
      </c>
      <c r="E128" s="1">
        <v>45824</v>
      </c>
      <c r="F128">
        <v>28315</v>
      </c>
      <c r="G128">
        <v>20911</v>
      </c>
      <c r="H128" t="s">
        <v>67</v>
      </c>
    </row>
    <row r="129" spans="1:8" x14ac:dyDescent="0.35">
      <c r="A129">
        <v>2128</v>
      </c>
      <c r="B129" t="s">
        <v>160</v>
      </c>
      <c r="C129" t="s">
        <v>24</v>
      </c>
      <c r="D129" t="s">
        <v>37</v>
      </c>
      <c r="E129" s="1">
        <v>45859</v>
      </c>
      <c r="F129">
        <v>28036</v>
      </c>
      <c r="G129">
        <v>27082</v>
      </c>
      <c r="H129" t="s">
        <v>43</v>
      </c>
    </row>
    <row r="130" spans="1:8" x14ac:dyDescent="0.35">
      <c r="A130">
        <v>2129</v>
      </c>
      <c r="B130" t="s">
        <v>161</v>
      </c>
      <c r="C130" t="s">
        <v>24</v>
      </c>
      <c r="D130" t="s">
        <v>27</v>
      </c>
      <c r="E130" s="1">
        <v>46002</v>
      </c>
      <c r="F130">
        <v>51778</v>
      </c>
      <c r="G130">
        <v>41153</v>
      </c>
      <c r="H130" t="s">
        <v>25</v>
      </c>
    </row>
    <row r="131" spans="1:8" x14ac:dyDescent="0.35">
      <c r="A131">
        <v>2130</v>
      </c>
      <c r="B131" t="s">
        <v>162</v>
      </c>
      <c r="C131" t="s">
        <v>56</v>
      </c>
      <c r="D131" t="s">
        <v>27</v>
      </c>
      <c r="E131" s="1">
        <v>45803</v>
      </c>
      <c r="F131">
        <v>47734</v>
      </c>
      <c r="G131">
        <v>46105</v>
      </c>
      <c r="H131" t="s">
        <v>31</v>
      </c>
    </row>
    <row r="132" spans="1:8" x14ac:dyDescent="0.35">
      <c r="A132">
        <v>2131</v>
      </c>
      <c r="B132" t="s">
        <v>163</v>
      </c>
      <c r="C132" t="s">
        <v>24</v>
      </c>
      <c r="D132" t="s">
        <v>18</v>
      </c>
      <c r="E132" s="1">
        <v>45821</v>
      </c>
      <c r="F132">
        <v>43173</v>
      </c>
      <c r="G132">
        <v>32200</v>
      </c>
      <c r="H132" t="s">
        <v>67</v>
      </c>
    </row>
    <row r="133" spans="1:8" x14ac:dyDescent="0.35">
      <c r="A133">
        <v>2132</v>
      </c>
      <c r="B133" t="s">
        <v>164</v>
      </c>
      <c r="C133" t="s">
        <v>24</v>
      </c>
      <c r="D133" t="s">
        <v>21</v>
      </c>
      <c r="E133" s="1">
        <v>45899</v>
      </c>
      <c r="F133">
        <v>50403</v>
      </c>
      <c r="G133">
        <v>43544</v>
      </c>
      <c r="H133" t="s">
        <v>38</v>
      </c>
    </row>
    <row r="134" spans="1:8" x14ac:dyDescent="0.35">
      <c r="A134">
        <v>2133</v>
      </c>
      <c r="B134" t="s">
        <v>165</v>
      </c>
      <c r="C134" t="s">
        <v>56</v>
      </c>
      <c r="D134" t="s">
        <v>18</v>
      </c>
      <c r="E134" s="1">
        <v>45726</v>
      </c>
      <c r="F134">
        <v>20785</v>
      </c>
      <c r="G134">
        <v>11944</v>
      </c>
      <c r="H134" t="s">
        <v>19</v>
      </c>
    </row>
    <row r="135" spans="1:8" x14ac:dyDescent="0.35">
      <c r="A135">
        <v>2134</v>
      </c>
      <c r="B135" t="s">
        <v>166</v>
      </c>
      <c r="C135" t="s">
        <v>24</v>
      </c>
      <c r="D135" t="s">
        <v>21</v>
      </c>
      <c r="E135" s="1">
        <v>45832</v>
      </c>
      <c r="F135">
        <v>26139</v>
      </c>
      <c r="G135">
        <v>15600</v>
      </c>
      <c r="H135" t="s">
        <v>67</v>
      </c>
    </row>
    <row r="136" spans="1:8" x14ac:dyDescent="0.35">
      <c r="A136">
        <v>2135</v>
      </c>
      <c r="B136" t="s">
        <v>167</v>
      </c>
      <c r="C136" t="s">
        <v>17</v>
      </c>
      <c r="D136" t="s">
        <v>18</v>
      </c>
      <c r="E136" s="1">
        <v>45706</v>
      </c>
      <c r="F136">
        <v>26344</v>
      </c>
      <c r="G136">
        <v>13662</v>
      </c>
      <c r="H136" t="s">
        <v>77</v>
      </c>
    </row>
    <row r="137" spans="1:8" x14ac:dyDescent="0.35">
      <c r="A137">
        <v>2136</v>
      </c>
      <c r="B137" t="s">
        <v>168</v>
      </c>
      <c r="C137" t="s">
        <v>33</v>
      </c>
      <c r="D137" t="s">
        <v>18</v>
      </c>
      <c r="E137" s="1">
        <v>45765</v>
      </c>
      <c r="F137">
        <v>38800</v>
      </c>
      <c r="G137">
        <v>35522</v>
      </c>
      <c r="H137" t="s">
        <v>11</v>
      </c>
    </row>
    <row r="138" spans="1:8" x14ac:dyDescent="0.35">
      <c r="A138">
        <v>2137</v>
      </c>
      <c r="B138" t="s">
        <v>169</v>
      </c>
      <c r="C138" t="s">
        <v>9</v>
      </c>
      <c r="D138" t="s">
        <v>18</v>
      </c>
      <c r="E138" s="1">
        <v>45883</v>
      </c>
      <c r="F138">
        <v>45372</v>
      </c>
      <c r="G138">
        <v>39917</v>
      </c>
      <c r="H138" t="s">
        <v>38</v>
      </c>
    </row>
    <row r="139" spans="1:8" x14ac:dyDescent="0.35">
      <c r="A139">
        <v>2138</v>
      </c>
      <c r="B139" t="s">
        <v>170</v>
      </c>
      <c r="C139" t="s">
        <v>33</v>
      </c>
      <c r="D139" t="s">
        <v>21</v>
      </c>
      <c r="E139" s="1">
        <v>45818</v>
      </c>
      <c r="F139">
        <v>40538</v>
      </c>
      <c r="G139">
        <v>29706</v>
      </c>
      <c r="H139" t="s">
        <v>67</v>
      </c>
    </row>
    <row r="140" spans="1:8" x14ac:dyDescent="0.35">
      <c r="A140">
        <v>2139</v>
      </c>
      <c r="B140" t="s">
        <v>171</v>
      </c>
      <c r="C140" t="s">
        <v>56</v>
      </c>
      <c r="D140" t="s">
        <v>21</v>
      </c>
      <c r="E140" s="1">
        <v>45776</v>
      </c>
      <c r="F140">
        <v>34973</v>
      </c>
      <c r="G140">
        <v>31172</v>
      </c>
      <c r="H140" t="s">
        <v>11</v>
      </c>
    </row>
    <row r="141" spans="1:8" x14ac:dyDescent="0.35">
      <c r="A141">
        <v>2140</v>
      </c>
      <c r="B141" t="s">
        <v>172</v>
      </c>
      <c r="C141" t="s">
        <v>13</v>
      </c>
      <c r="D141" t="s">
        <v>18</v>
      </c>
      <c r="E141" s="1">
        <v>45806</v>
      </c>
      <c r="F141">
        <v>25619</v>
      </c>
      <c r="G141">
        <v>23058</v>
      </c>
      <c r="H141" t="s">
        <v>31</v>
      </c>
    </row>
    <row r="142" spans="1:8" x14ac:dyDescent="0.35">
      <c r="A142">
        <v>2141</v>
      </c>
      <c r="B142" t="s">
        <v>173</v>
      </c>
      <c r="C142" t="s">
        <v>9</v>
      </c>
      <c r="D142" t="s">
        <v>10</v>
      </c>
      <c r="E142" s="1">
        <v>45807</v>
      </c>
      <c r="F142">
        <v>54704</v>
      </c>
      <c r="G142">
        <v>43263</v>
      </c>
      <c r="H142" t="s">
        <v>31</v>
      </c>
    </row>
    <row r="143" spans="1:8" x14ac:dyDescent="0.35">
      <c r="A143">
        <v>2142</v>
      </c>
      <c r="B143" t="s">
        <v>174</v>
      </c>
      <c r="C143" t="s">
        <v>56</v>
      </c>
      <c r="D143" t="s">
        <v>14</v>
      </c>
      <c r="E143" s="1">
        <v>45950</v>
      </c>
      <c r="F143">
        <v>56575</v>
      </c>
      <c r="G143">
        <v>50036</v>
      </c>
      <c r="H143" t="s">
        <v>22</v>
      </c>
    </row>
    <row r="144" spans="1:8" x14ac:dyDescent="0.35">
      <c r="A144">
        <v>2143</v>
      </c>
      <c r="B144" t="s">
        <v>175</v>
      </c>
      <c r="C144" t="s">
        <v>13</v>
      </c>
      <c r="D144" t="s">
        <v>14</v>
      </c>
      <c r="E144" s="1">
        <v>45800</v>
      </c>
      <c r="F144">
        <v>59919</v>
      </c>
      <c r="G144">
        <v>59549</v>
      </c>
      <c r="H144" t="s">
        <v>31</v>
      </c>
    </row>
    <row r="145" spans="1:8" x14ac:dyDescent="0.35">
      <c r="A145">
        <v>2144</v>
      </c>
      <c r="B145" t="s">
        <v>176</v>
      </c>
      <c r="C145" t="s">
        <v>33</v>
      </c>
      <c r="D145" t="s">
        <v>14</v>
      </c>
      <c r="E145" s="1">
        <v>45817</v>
      </c>
      <c r="F145">
        <v>47716</v>
      </c>
      <c r="G145">
        <v>46859</v>
      </c>
      <c r="H145" t="s">
        <v>67</v>
      </c>
    </row>
    <row r="146" spans="1:8" x14ac:dyDescent="0.35">
      <c r="A146">
        <v>2145</v>
      </c>
      <c r="B146" t="s">
        <v>177</v>
      </c>
      <c r="C146" t="s">
        <v>56</v>
      </c>
      <c r="D146" t="s">
        <v>21</v>
      </c>
      <c r="E146" s="1">
        <v>45668</v>
      </c>
      <c r="F146">
        <v>23236</v>
      </c>
      <c r="G146">
        <v>18350</v>
      </c>
      <c r="H146" t="s">
        <v>15</v>
      </c>
    </row>
    <row r="147" spans="1:8" x14ac:dyDescent="0.35">
      <c r="A147">
        <v>2146</v>
      </c>
      <c r="B147" t="s">
        <v>178</v>
      </c>
      <c r="C147" t="s">
        <v>9</v>
      </c>
      <c r="D147" t="s">
        <v>21</v>
      </c>
      <c r="E147" s="1">
        <v>45795</v>
      </c>
      <c r="F147">
        <v>35848</v>
      </c>
      <c r="G147">
        <v>22903</v>
      </c>
      <c r="H147" t="s">
        <v>31</v>
      </c>
    </row>
    <row r="148" spans="1:8" x14ac:dyDescent="0.35">
      <c r="A148">
        <v>2147</v>
      </c>
      <c r="B148" t="s">
        <v>179</v>
      </c>
      <c r="C148" t="s">
        <v>9</v>
      </c>
      <c r="D148" t="s">
        <v>10</v>
      </c>
      <c r="E148" s="1">
        <v>45735</v>
      </c>
      <c r="F148">
        <v>22352</v>
      </c>
      <c r="G148">
        <v>14867</v>
      </c>
      <c r="H148" t="s">
        <v>19</v>
      </c>
    </row>
    <row r="149" spans="1:8" x14ac:dyDescent="0.35">
      <c r="A149">
        <v>2148</v>
      </c>
      <c r="B149" t="s">
        <v>180</v>
      </c>
      <c r="C149" t="s">
        <v>45</v>
      </c>
      <c r="D149" t="s">
        <v>14</v>
      </c>
      <c r="E149" s="1">
        <v>45734</v>
      </c>
      <c r="F149">
        <v>21932</v>
      </c>
      <c r="G149">
        <v>8252</v>
      </c>
      <c r="H149" t="s">
        <v>19</v>
      </c>
    </row>
    <row r="150" spans="1:8" x14ac:dyDescent="0.35">
      <c r="A150">
        <v>2149</v>
      </c>
      <c r="B150" t="s">
        <v>181</v>
      </c>
      <c r="C150" t="s">
        <v>17</v>
      </c>
      <c r="D150" t="s">
        <v>14</v>
      </c>
      <c r="E150" s="1">
        <v>45911</v>
      </c>
      <c r="F150">
        <v>30913</v>
      </c>
      <c r="G150">
        <v>30530</v>
      </c>
      <c r="H150" t="s">
        <v>53</v>
      </c>
    </row>
    <row r="151" spans="1:8" x14ac:dyDescent="0.35">
      <c r="A151">
        <v>2150</v>
      </c>
      <c r="B151" t="s">
        <v>182</v>
      </c>
      <c r="C151" t="s">
        <v>24</v>
      </c>
      <c r="D151" t="s">
        <v>18</v>
      </c>
      <c r="E151" s="1">
        <v>45915</v>
      </c>
      <c r="F151">
        <v>28556</v>
      </c>
      <c r="G151">
        <v>14159</v>
      </c>
      <c r="H151" t="s">
        <v>53</v>
      </c>
    </row>
    <row r="152" spans="1:8" x14ac:dyDescent="0.35">
      <c r="A152">
        <v>2151</v>
      </c>
      <c r="B152" t="s">
        <v>183</v>
      </c>
      <c r="C152" t="s">
        <v>13</v>
      </c>
      <c r="D152" t="s">
        <v>21</v>
      </c>
      <c r="E152" s="1">
        <v>45977</v>
      </c>
      <c r="F152">
        <v>41300</v>
      </c>
      <c r="G152">
        <v>29231</v>
      </c>
      <c r="H152" t="s">
        <v>29</v>
      </c>
    </row>
    <row r="153" spans="1:8" x14ac:dyDescent="0.35">
      <c r="A153">
        <v>2152</v>
      </c>
      <c r="B153" t="s">
        <v>184</v>
      </c>
      <c r="C153" t="s">
        <v>45</v>
      </c>
      <c r="D153" t="s">
        <v>14</v>
      </c>
      <c r="E153" s="1">
        <v>45948</v>
      </c>
      <c r="F153">
        <v>25498</v>
      </c>
      <c r="G153">
        <v>14754</v>
      </c>
      <c r="H153" t="s">
        <v>22</v>
      </c>
    </row>
    <row r="154" spans="1:8" x14ac:dyDescent="0.35">
      <c r="A154">
        <v>2153</v>
      </c>
      <c r="B154" t="s">
        <v>185</v>
      </c>
      <c r="C154" t="s">
        <v>24</v>
      </c>
      <c r="D154" t="s">
        <v>27</v>
      </c>
      <c r="E154" s="1">
        <v>45920</v>
      </c>
      <c r="F154">
        <v>30582</v>
      </c>
      <c r="G154">
        <v>26248</v>
      </c>
      <c r="H154" t="s">
        <v>53</v>
      </c>
    </row>
    <row r="155" spans="1:8" x14ac:dyDescent="0.35">
      <c r="A155">
        <v>2154</v>
      </c>
      <c r="B155" t="s">
        <v>186</v>
      </c>
      <c r="C155" t="s">
        <v>24</v>
      </c>
      <c r="D155" t="s">
        <v>10</v>
      </c>
      <c r="E155" s="1">
        <v>45742</v>
      </c>
      <c r="F155">
        <v>29569</v>
      </c>
      <c r="G155">
        <v>25279</v>
      </c>
      <c r="H155" t="s">
        <v>19</v>
      </c>
    </row>
    <row r="156" spans="1:8" x14ac:dyDescent="0.35">
      <c r="A156">
        <v>2155</v>
      </c>
      <c r="B156" t="s">
        <v>187</v>
      </c>
      <c r="C156" t="s">
        <v>56</v>
      </c>
      <c r="D156" t="s">
        <v>27</v>
      </c>
      <c r="E156" s="1">
        <v>45803</v>
      </c>
      <c r="F156">
        <v>24857</v>
      </c>
      <c r="G156">
        <v>22132</v>
      </c>
      <c r="H156" t="s">
        <v>31</v>
      </c>
    </row>
    <row r="157" spans="1:8" x14ac:dyDescent="0.35">
      <c r="A157">
        <v>2156</v>
      </c>
      <c r="B157" t="s">
        <v>188</v>
      </c>
      <c r="C157" t="s">
        <v>24</v>
      </c>
      <c r="D157" t="s">
        <v>27</v>
      </c>
      <c r="E157" s="1">
        <v>45980</v>
      </c>
      <c r="F157">
        <v>20340</v>
      </c>
      <c r="G157">
        <v>8114</v>
      </c>
      <c r="H157" t="s">
        <v>29</v>
      </c>
    </row>
    <row r="158" spans="1:8" x14ac:dyDescent="0.35">
      <c r="A158">
        <v>2157</v>
      </c>
      <c r="B158" t="s">
        <v>189</v>
      </c>
      <c r="C158" t="s">
        <v>17</v>
      </c>
      <c r="D158" t="s">
        <v>10</v>
      </c>
      <c r="E158" s="1">
        <v>45699</v>
      </c>
      <c r="F158">
        <v>36766</v>
      </c>
      <c r="G158">
        <v>25281</v>
      </c>
      <c r="H158" t="s">
        <v>77</v>
      </c>
    </row>
    <row r="159" spans="1:8" x14ac:dyDescent="0.35">
      <c r="A159">
        <v>2158</v>
      </c>
      <c r="B159" t="s">
        <v>190</v>
      </c>
      <c r="C159" t="s">
        <v>9</v>
      </c>
      <c r="D159" t="s">
        <v>27</v>
      </c>
      <c r="E159" s="1">
        <v>45782</v>
      </c>
      <c r="F159">
        <v>46132</v>
      </c>
      <c r="G159">
        <v>39928</v>
      </c>
      <c r="H159" t="s">
        <v>31</v>
      </c>
    </row>
    <row r="160" spans="1:8" x14ac:dyDescent="0.35">
      <c r="A160">
        <v>2159</v>
      </c>
      <c r="B160" t="s">
        <v>191</v>
      </c>
      <c r="C160" t="s">
        <v>45</v>
      </c>
      <c r="D160" t="s">
        <v>14</v>
      </c>
      <c r="E160" s="1">
        <v>45824</v>
      </c>
      <c r="F160">
        <v>28491</v>
      </c>
      <c r="G160">
        <v>15051</v>
      </c>
      <c r="H160" t="s">
        <v>67</v>
      </c>
    </row>
    <row r="161" spans="1:8" x14ac:dyDescent="0.35">
      <c r="A161">
        <v>2160</v>
      </c>
      <c r="B161" t="s">
        <v>192</v>
      </c>
      <c r="C161" t="s">
        <v>24</v>
      </c>
      <c r="D161" t="s">
        <v>21</v>
      </c>
      <c r="E161" s="1">
        <v>45898</v>
      </c>
      <c r="F161">
        <v>20138</v>
      </c>
      <c r="G161">
        <v>14027</v>
      </c>
      <c r="H161" t="s">
        <v>38</v>
      </c>
    </row>
    <row r="162" spans="1:8" x14ac:dyDescent="0.35">
      <c r="A162">
        <v>2161</v>
      </c>
      <c r="B162" t="s">
        <v>193</v>
      </c>
      <c r="C162" t="s">
        <v>56</v>
      </c>
      <c r="D162" t="s">
        <v>10</v>
      </c>
      <c r="E162" s="1">
        <v>45937</v>
      </c>
      <c r="F162">
        <v>20358</v>
      </c>
      <c r="G162">
        <v>16107</v>
      </c>
      <c r="H162" t="s">
        <v>22</v>
      </c>
    </row>
    <row r="163" spans="1:8" x14ac:dyDescent="0.35">
      <c r="A163">
        <v>2162</v>
      </c>
      <c r="B163" t="s">
        <v>194</v>
      </c>
      <c r="C163" t="s">
        <v>17</v>
      </c>
      <c r="D163" t="s">
        <v>18</v>
      </c>
      <c r="E163" s="1">
        <v>45845</v>
      </c>
      <c r="F163">
        <v>29714</v>
      </c>
      <c r="G163">
        <v>17534</v>
      </c>
      <c r="H163" t="s">
        <v>43</v>
      </c>
    </row>
    <row r="164" spans="1:8" x14ac:dyDescent="0.35">
      <c r="A164">
        <v>2163</v>
      </c>
      <c r="B164" t="s">
        <v>195</v>
      </c>
      <c r="C164" t="s">
        <v>33</v>
      </c>
      <c r="D164" t="s">
        <v>27</v>
      </c>
      <c r="E164" s="1">
        <v>45959</v>
      </c>
      <c r="F164">
        <v>39840</v>
      </c>
      <c r="G164">
        <v>38918</v>
      </c>
      <c r="H164" t="s">
        <v>22</v>
      </c>
    </row>
    <row r="165" spans="1:8" x14ac:dyDescent="0.35">
      <c r="A165">
        <v>2164</v>
      </c>
      <c r="B165" t="s">
        <v>196</v>
      </c>
      <c r="C165" t="s">
        <v>9</v>
      </c>
      <c r="D165" t="s">
        <v>10</v>
      </c>
      <c r="E165" s="1">
        <v>45676</v>
      </c>
      <c r="F165">
        <v>54395</v>
      </c>
      <c r="G165">
        <v>51480</v>
      </c>
      <c r="H165" t="s">
        <v>15</v>
      </c>
    </row>
    <row r="166" spans="1:8" x14ac:dyDescent="0.35">
      <c r="A166">
        <v>2165</v>
      </c>
      <c r="B166" t="s">
        <v>197</v>
      </c>
      <c r="C166" t="s">
        <v>9</v>
      </c>
      <c r="D166" t="s">
        <v>37</v>
      </c>
      <c r="E166" s="1">
        <v>45725</v>
      </c>
      <c r="F166">
        <v>50654</v>
      </c>
      <c r="G166">
        <v>39512</v>
      </c>
      <c r="H166" t="s">
        <v>19</v>
      </c>
    </row>
    <row r="167" spans="1:8" x14ac:dyDescent="0.35">
      <c r="A167">
        <v>2166</v>
      </c>
      <c r="B167" t="s">
        <v>198</v>
      </c>
      <c r="C167" t="s">
        <v>45</v>
      </c>
      <c r="D167" t="s">
        <v>37</v>
      </c>
      <c r="E167" s="1">
        <v>45875</v>
      </c>
      <c r="F167">
        <v>45879</v>
      </c>
      <c r="G167">
        <v>37922</v>
      </c>
      <c r="H167" t="s">
        <v>38</v>
      </c>
    </row>
    <row r="168" spans="1:8" x14ac:dyDescent="0.35">
      <c r="A168">
        <v>2167</v>
      </c>
      <c r="B168" t="s">
        <v>199</v>
      </c>
      <c r="C168" t="s">
        <v>9</v>
      </c>
      <c r="D168" t="s">
        <v>21</v>
      </c>
      <c r="E168" s="1">
        <v>45759</v>
      </c>
      <c r="F168">
        <v>35996</v>
      </c>
      <c r="G168">
        <v>22099</v>
      </c>
      <c r="H168" t="s">
        <v>11</v>
      </c>
    </row>
    <row r="169" spans="1:8" x14ac:dyDescent="0.35">
      <c r="A169">
        <v>2168</v>
      </c>
      <c r="B169" t="s">
        <v>200</v>
      </c>
      <c r="C169" t="s">
        <v>24</v>
      </c>
      <c r="D169" t="s">
        <v>14</v>
      </c>
      <c r="E169" s="1">
        <v>45699</v>
      </c>
      <c r="F169">
        <v>57772</v>
      </c>
      <c r="G169">
        <v>54726</v>
      </c>
      <c r="H169" t="s">
        <v>77</v>
      </c>
    </row>
    <row r="170" spans="1:8" x14ac:dyDescent="0.35">
      <c r="A170">
        <v>2169</v>
      </c>
      <c r="B170" t="s">
        <v>201</v>
      </c>
      <c r="C170" t="s">
        <v>56</v>
      </c>
      <c r="D170" t="s">
        <v>21</v>
      </c>
      <c r="E170" s="1">
        <v>45945</v>
      </c>
      <c r="F170">
        <v>46762</v>
      </c>
      <c r="G170">
        <v>37596</v>
      </c>
      <c r="H170" t="s">
        <v>22</v>
      </c>
    </row>
    <row r="171" spans="1:8" x14ac:dyDescent="0.35">
      <c r="A171">
        <v>2170</v>
      </c>
      <c r="B171" t="s">
        <v>202</v>
      </c>
      <c r="C171" t="s">
        <v>9</v>
      </c>
      <c r="D171" t="s">
        <v>21</v>
      </c>
      <c r="E171" s="1">
        <v>45824</v>
      </c>
      <c r="F171">
        <v>33283</v>
      </c>
      <c r="G171">
        <v>32053</v>
      </c>
      <c r="H171" t="s">
        <v>67</v>
      </c>
    </row>
    <row r="172" spans="1:8" x14ac:dyDescent="0.35">
      <c r="A172">
        <v>2171</v>
      </c>
      <c r="B172" t="s">
        <v>203</v>
      </c>
      <c r="C172" t="s">
        <v>9</v>
      </c>
      <c r="D172" t="s">
        <v>21</v>
      </c>
      <c r="E172" s="1">
        <v>45766</v>
      </c>
      <c r="F172">
        <v>59420</v>
      </c>
      <c r="G172">
        <v>48793</v>
      </c>
      <c r="H172" t="s">
        <v>11</v>
      </c>
    </row>
    <row r="173" spans="1:8" x14ac:dyDescent="0.35">
      <c r="A173">
        <v>2172</v>
      </c>
      <c r="B173" t="s">
        <v>204</v>
      </c>
      <c r="C173" t="s">
        <v>33</v>
      </c>
      <c r="D173" t="s">
        <v>21</v>
      </c>
      <c r="E173" s="1">
        <v>45693</v>
      </c>
      <c r="F173">
        <v>39554</v>
      </c>
      <c r="G173">
        <v>31907</v>
      </c>
      <c r="H173" t="s">
        <v>77</v>
      </c>
    </row>
    <row r="174" spans="1:8" x14ac:dyDescent="0.35">
      <c r="A174">
        <v>2173</v>
      </c>
      <c r="B174" t="s">
        <v>205</v>
      </c>
      <c r="C174" t="s">
        <v>33</v>
      </c>
      <c r="D174" t="s">
        <v>18</v>
      </c>
      <c r="E174" s="1">
        <v>45889</v>
      </c>
      <c r="F174">
        <v>40219</v>
      </c>
      <c r="G174">
        <v>30213</v>
      </c>
      <c r="H174" t="s">
        <v>38</v>
      </c>
    </row>
    <row r="175" spans="1:8" x14ac:dyDescent="0.35">
      <c r="A175">
        <v>2174</v>
      </c>
      <c r="B175" t="s">
        <v>206</v>
      </c>
      <c r="C175" t="s">
        <v>13</v>
      </c>
      <c r="D175" t="s">
        <v>18</v>
      </c>
      <c r="E175" s="1">
        <v>45886</v>
      </c>
      <c r="F175">
        <v>54919</v>
      </c>
      <c r="G175">
        <v>43793</v>
      </c>
      <c r="H175" t="s">
        <v>38</v>
      </c>
    </row>
    <row r="176" spans="1:8" x14ac:dyDescent="0.35">
      <c r="A176">
        <v>2175</v>
      </c>
      <c r="B176" t="s">
        <v>207</v>
      </c>
      <c r="C176" t="s">
        <v>17</v>
      </c>
      <c r="D176" t="s">
        <v>10</v>
      </c>
      <c r="E176" s="1">
        <v>46010</v>
      </c>
      <c r="F176">
        <v>29429</v>
      </c>
      <c r="G176">
        <v>24496</v>
      </c>
      <c r="H176" t="s">
        <v>25</v>
      </c>
    </row>
    <row r="177" spans="1:8" x14ac:dyDescent="0.35">
      <c r="A177">
        <v>2176</v>
      </c>
      <c r="B177" t="s">
        <v>208</v>
      </c>
      <c r="C177" t="s">
        <v>24</v>
      </c>
      <c r="D177" t="s">
        <v>37</v>
      </c>
      <c r="E177" s="1">
        <v>45821</v>
      </c>
      <c r="F177">
        <v>59673</v>
      </c>
      <c r="G177">
        <v>45378</v>
      </c>
      <c r="H177" t="s">
        <v>67</v>
      </c>
    </row>
    <row r="178" spans="1:8" x14ac:dyDescent="0.35">
      <c r="A178">
        <v>2177</v>
      </c>
      <c r="B178" t="s">
        <v>209</v>
      </c>
      <c r="C178" t="s">
        <v>9</v>
      </c>
      <c r="D178" t="s">
        <v>21</v>
      </c>
      <c r="E178" s="1">
        <v>45730</v>
      </c>
      <c r="F178">
        <v>39218</v>
      </c>
      <c r="G178">
        <v>29663</v>
      </c>
      <c r="H178" t="s">
        <v>19</v>
      </c>
    </row>
    <row r="179" spans="1:8" x14ac:dyDescent="0.35">
      <c r="A179">
        <v>2178</v>
      </c>
      <c r="B179" t="s">
        <v>210</v>
      </c>
      <c r="C179" t="s">
        <v>9</v>
      </c>
      <c r="D179" t="s">
        <v>10</v>
      </c>
      <c r="E179" s="1">
        <v>45793</v>
      </c>
      <c r="F179">
        <v>32452</v>
      </c>
      <c r="G179">
        <v>28512</v>
      </c>
      <c r="H179" t="s">
        <v>31</v>
      </c>
    </row>
    <row r="180" spans="1:8" x14ac:dyDescent="0.35">
      <c r="A180">
        <v>2179</v>
      </c>
      <c r="B180" t="s">
        <v>211</v>
      </c>
      <c r="C180" t="s">
        <v>56</v>
      </c>
      <c r="D180" t="s">
        <v>37</v>
      </c>
      <c r="E180" s="1">
        <v>46010</v>
      </c>
      <c r="F180">
        <v>38951</v>
      </c>
      <c r="G180">
        <v>32468</v>
      </c>
      <c r="H180" t="s">
        <v>25</v>
      </c>
    </row>
    <row r="181" spans="1:8" x14ac:dyDescent="0.35">
      <c r="A181">
        <v>2180</v>
      </c>
      <c r="B181" t="s">
        <v>212</v>
      </c>
      <c r="C181" t="s">
        <v>13</v>
      </c>
      <c r="D181" t="s">
        <v>27</v>
      </c>
      <c r="E181" s="1">
        <v>45727</v>
      </c>
      <c r="F181">
        <v>21307</v>
      </c>
      <c r="G181">
        <v>21104</v>
      </c>
      <c r="H181" t="s">
        <v>19</v>
      </c>
    </row>
    <row r="182" spans="1:8" x14ac:dyDescent="0.35">
      <c r="A182">
        <v>2181</v>
      </c>
      <c r="B182" t="s">
        <v>213</v>
      </c>
      <c r="C182" t="s">
        <v>17</v>
      </c>
      <c r="D182" t="s">
        <v>14</v>
      </c>
      <c r="E182" s="1">
        <v>45853</v>
      </c>
      <c r="F182">
        <v>34852</v>
      </c>
      <c r="G182">
        <v>34692</v>
      </c>
      <c r="H182" t="s">
        <v>43</v>
      </c>
    </row>
    <row r="183" spans="1:8" x14ac:dyDescent="0.35">
      <c r="A183">
        <v>2182</v>
      </c>
      <c r="B183" t="s">
        <v>214</v>
      </c>
      <c r="C183" t="s">
        <v>13</v>
      </c>
      <c r="D183" t="s">
        <v>18</v>
      </c>
      <c r="E183" s="1">
        <v>45926</v>
      </c>
      <c r="F183">
        <v>45232</v>
      </c>
      <c r="G183">
        <v>32553</v>
      </c>
      <c r="H183" t="s">
        <v>53</v>
      </c>
    </row>
    <row r="184" spans="1:8" x14ac:dyDescent="0.35">
      <c r="A184">
        <v>2183</v>
      </c>
      <c r="B184" t="s">
        <v>215</v>
      </c>
      <c r="C184" t="s">
        <v>45</v>
      </c>
      <c r="D184" t="s">
        <v>27</v>
      </c>
      <c r="E184" s="1">
        <v>45706</v>
      </c>
      <c r="F184">
        <v>55428</v>
      </c>
      <c r="G184">
        <v>46468</v>
      </c>
      <c r="H184" t="s">
        <v>77</v>
      </c>
    </row>
    <row r="185" spans="1:8" x14ac:dyDescent="0.35">
      <c r="A185">
        <v>2184</v>
      </c>
      <c r="B185" t="s">
        <v>216</v>
      </c>
      <c r="C185" t="s">
        <v>17</v>
      </c>
      <c r="D185" t="s">
        <v>37</v>
      </c>
      <c r="E185" s="1">
        <v>45973</v>
      </c>
      <c r="F185">
        <v>46485</v>
      </c>
      <c r="G185">
        <v>42737</v>
      </c>
      <c r="H185" t="s">
        <v>29</v>
      </c>
    </row>
    <row r="186" spans="1:8" x14ac:dyDescent="0.35">
      <c r="A186">
        <v>2185</v>
      </c>
      <c r="B186" t="s">
        <v>217</v>
      </c>
      <c r="C186" t="s">
        <v>9</v>
      </c>
      <c r="D186" t="s">
        <v>27</v>
      </c>
      <c r="E186" s="1">
        <v>45787</v>
      </c>
      <c r="F186">
        <v>30238</v>
      </c>
      <c r="G186">
        <v>23520</v>
      </c>
      <c r="H186" t="s">
        <v>31</v>
      </c>
    </row>
    <row r="187" spans="1:8" x14ac:dyDescent="0.35">
      <c r="A187">
        <v>2186</v>
      </c>
      <c r="B187" t="s">
        <v>218</v>
      </c>
      <c r="C187" t="s">
        <v>9</v>
      </c>
      <c r="D187" t="s">
        <v>14</v>
      </c>
      <c r="E187" s="1">
        <v>45662</v>
      </c>
      <c r="F187">
        <v>58975</v>
      </c>
      <c r="G187">
        <v>56394</v>
      </c>
      <c r="H187" t="s">
        <v>15</v>
      </c>
    </row>
    <row r="188" spans="1:8" x14ac:dyDescent="0.35">
      <c r="A188">
        <v>2187</v>
      </c>
      <c r="B188" t="s">
        <v>219</v>
      </c>
      <c r="C188" t="s">
        <v>17</v>
      </c>
      <c r="D188" t="s">
        <v>37</v>
      </c>
      <c r="E188" s="1">
        <v>45684</v>
      </c>
      <c r="F188">
        <v>21140</v>
      </c>
      <c r="G188">
        <v>20047</v>
      </c>
      <c r="H188" t="s">
        <v>15</v>
      </c>
    </row>
    <row r="189" spans="1:8" x14ac:dyDescent="0.35">
      <c r="A189">
        <v>2188</v>
      </c>
      <c r="B189" t="s">
        <v>220</v>
      </c>
      <c r="C189" t="s">
        <v>9</v>
      </c>
      <c r="D189" t="s">
        <v>27</v>
      </c>
      <c r="E189" s="1">
        <v>45817</v>
      </c>
      <c r="F189">
        <v>44842</v>
      </c>
      <c r="G189">
        <v>40342</v>
      </c>
      <c r="H189" t="s">
        <v>67</v>
      </c>
    </row>
    <row r="190" spans="1:8" x14ac:dyDescent="0.35">
      <c r="A190">
        <v>2189</v>
      </c>
      <c r="B190" t="s">
        <v>221</v>
      </c>
      <c r="C190" t="s">
        <v>24</v>
      </c>
      <c r="D190" t="s">
        <v>18</v>
      </c>
      <c r="E190" s="1">
        <v>45806</v>
      </c>
      <c r="F190">
        <v>46421</v>
      </c>
      <c r="G190">
        <v>37622</v>
      </c>
      <c r="H190" t="s">
        <v>31</v>
      </c>
    </row>
    <row r="191" spans="1:8" x14ac:dyDescent="0.35">
      <c r="A191">
        <v>2190</v>
      </c>
      <c r="B191" t="s">
        <v>222</v>
      </c>
      <c r="C191" t="s">
        <v>17</v>
      </c>
      <c r="D191" t="s">
        <v>18</v>
      </c>
      <c r="E191" s="1">
        <v>45921</v>
      </c>
      <c r="F191">
        <v>21708</v>
      </c>
      <c r="G191">
        <v>15998</v>
      </c>
      <c r="H191" t="s">
        <v>53</v>
      </c>
    </row>
    <row r="192" spans="1:8" x14ac:dyDescent="0.35">
      <c r="A192">
        <v>2191</v>
      </c>
      <c r="B192" t="s">
        <v>223</v>
      </c>
      <c r="C192" t="s">
        <v>13</v>
      </c>
      <c r="D192" t="s">
        <v>10</v>
      </c>
      <c r="E192" s="1">
        <v>45887</v>
      </c>
      <c r="F192">
        <v>23630</v>
      </c>
      <c r="G192">
        <v>13898</v>
      </c>
      <c r="H192" t="s">
        <v>38</v>
      </c>
    </row>
    <row r="193" spans="1:8" x14ac:dyDescent="0.35">
      <c r="A193">
        <v>2192</v>
      </c>
      <c r="B193" t="s">
        <v>224</v>
      </c>
      <c r="C193" t="s">
        <v>17</v>
      </c>
      <c r="D193" t="s">
        <v>27</v>
      </c>
      <c r="E193" s="1">
        <v>45857</v>
      </c>
      <c r="F193">
        <v>39595</v>
      </c>
      <c r="G193">
        <v>36720</v>
      </c>
      <c r="H193" t="s">
        <v>43</v>
      </c>
    </row>
    <row r="194" spans="1:8" x14ac:dyDescent="0.35">
      <c r="A194">
        <v>2193</v>
      </c>
      <c r="B194" t="s">
        <v>225</v>
      </c>
      <c r="C194" t="s">
        <v>9</v>
      </c>
      <c r="D194" t="s">
        <v>21</v>
      </c>
      <c r="E194" s="1">
        <v>45707</v>
      </c>
      <c r="F194">
        <v>30485</v>
      </c>
      <c r="G194">
        <v>27294</v>
      </c>
      <c r="H194" t="s">
        <v>77</v>
      </c>
    </row>
    <row r="195" spans="1:8" x14ac:dyDescent="0.35">
      <c r="A195">
        <v>2194</v>
      </c>
      <c r="B195" t="s">
        <v>226</v>
      </c>
      <c r="C195" t="s">
        <v>24</v>
      </c>
      <c r="D195" t="s">
        <v>27</v>
      </c>
      <c r="E195" s="1">
        <v>45724</v>
      </c>
      <c r="F195">
        <v>48308</v>
      </c>
      <c r="G195">
        <v>46471</v>
      </c>
      <c r="H195" t="s">
        <v>19</v>
      </c>
    </row>
    <row r="196" spans="1:8" x14ac:dyDescent="0.35">
      <c r="A196">
        <v>2195</v>
      </c>
      <c r="B196" t="s">
        <v>227</v>
      </c>
      <c r="C196" t="s">
        <v>24</v>
      </c>
      <c r="D196" t="s">
        <v>37</v>
      </c>
      <c r="E196" s="1">
        <v>45957</v>
      </c>
      <c r="F196">
        <v>46086</v>
      </c>
      <c r="G196">
        <v>45397</v>
      </c>
      <c r="H196" t="s">
        <v>22</v>
      </c>
    </row>
    <row r="197" spans="1:8" x14ac:dyDescent="0.35">
      <c r="A197">
        <v>2196</v>
      </c>
      <c r="B197" t="s">
        <v>228</v>
      </c>
      <c r="C197" t="s">
        <v>45</v>
      </c>
      <c r="D197" t="s">
        <v>37</v>
      </c>
      <c r="E197" s="1">
        <v>45715</v>
      </c>
      <c r="F197">
        <v>36859</v>
      </c>
      <c r="G197">
        <v>33100</v>
      </c>
      <c r="H197" t="s">
        <v>77</v>
      </c>
    </row>
    <row r="198" spans="1:8" x14ac:dyDescent="0.35">
      <c r="A198">
        <v>2197</v>
      </c>
      <c r="B198" t="s">
        <v>229</v>
      </c>
      <c r="C198" t="s">
        <v>13</v>
      </c>
      <c r="D198" t="s">
        <v>27</v>
      </c>
      <c r="E198" s="1">
        <v>45916</v>
      </c>
      <c r="F198">
        <v>27684</v>
      </c>
      <c r="G198">
        <v>16543</v>
      </c>
      <c r="H198" t="s">
        <v>53</v>
      </c>
    </row>
    <row r="199" spans="1:8" x14ac:dyDescent="0.35">
      <c r="A199">
        <v>2198</v>
      </c>
      <c r="B199" t="s">
        <v>230</v>
      </c>
      <c r="C199" t="s">
        <v>33</v>
      </c>
      <c r="D199" t="s">
        <v>14</v>
      </c>
      <c r="E199" s="1">
        <v>45999</v>
      </c>
      <c r="F199">
        <v>45552</v>
      </c>
      <c r="G199">
        <v>32024</v>
      </c>
      <c r="H199" t="s">
        <v>25</v>
      </c>
    </row>
    <row r="200" spans="1:8" x14ac:dyDescent="0.35">
      <c r="A200">
        <v>2199</v>
      </c>
      <c r="B200" t="s">
        <v>231</v>
      </c>
      <c r="C200" t="s">
        <v>33</v>
      </c>
      <c r="D200" t="s">
        <v>18</v>
      </c>
      <c r="E200" s="1">
        <v>45983</v>
      </c>
      <c r="F200">
        <v>21207</v>
      </c>
      <c r="G200">
        <v>19104</v>
      </c>
      <c r="H200" t="s">
        <v>29</v>
      </c>
    </row>
    <row r="201" spans="1:8" x14ac:dyDescent="0.35">
      <c r="A201">
        <v>2200</v>
      </c>
      <c r="B201" t="s">
        <v>232</v>
      </c>
      <c r="C201" t="s">
        <v>17</v>
      </c>
      <c r="D201" t="s">
        <v>37</v>
      </c>
      <c r="E201" s="1">
        <v>45787</v>
      </c>
      <c r="F201">
        <v>21960</v>
      </c>
      <c r="G201">
        <v>21595</v>
      </c>
      <c r="H201" t="s">
        <v>31</v>
      </c>
    </row>
    <row r="202" spans="1:8" x14ac:dyDescent="0.35">
      <c r="A202">
        <v>2201</v>
      </c>
      <c r="B202" t="s">
        <v>233</v>
      </c>
      <c r="C202" t="s">
        <v>45</v>
      </c>
      <c r="D202" t="s">
        <v>18</v>
      </c>
      <c r="E202" s="1">
        <v>45872</v>
      </c>
      <c r="F202">
        <v>20557</v>
      </c>
      <c r="G202">
        <v>6547</v>
      </c>
      <c r="H202" t="s">
        <v>38</v>
      </c>
    </row>
    <row r="203" spans="1:8" x14ac:dyDescent="0.35">
      <c r="A203">
        <v>2202</v>
      </c>
      <c r="B203" t="s">
        <v>234</v>
      </c>
      <c r="C203" t="s">
        <v>56</v>
      </c>
      <c r="D203" t="s">
        <v>37</v>
      </c>
      <c r="E203" s="1">
        <v>45829</v>
      </c>
      <c r="F203">
        <v>49689</v>
      </c>
      <c r="G203">
        <v>37922</v>
      </c>
      <c r="H203" t="s">
        <v>67</v>
      </c>
    </row>
    <row r="204" spans="1:8" x14ac:dyDescent="0.35">
      <c r="A204">
        <v>2203</v>
      </c>
      <c r="B204" t="s">
        <v>235</v>
      </c>
      <c r="C204" t="s">
        <v>17</v>
      </c>
      <c r="D204" t="s">
        <v>10</v>
      </c>
      <c r="E204" s="1">
        <v>45915</v>
      </c>
      <c r="F204">
        <v>33893</v>
      </c>
      <c r="G204">
        <v>25801</v>
      </c>
      <c r="H204" t="s">
        <v>53</v>
      </c>
    </row>
    <row r="205" spans="1:8" x14ac:dyDescent="0.35">
      <c r="A205">
        <v>2204</v>
      </c>
      <c r="B205" t="s">
        <v>236</v>
      </c>
      <c r="C205" t="s">
        <v>45</v>
      </c>
      <c r="D205" t="s">
        <v>21</v>
      </c>
      <c r="E205" s="1">
        <v>45759</v>
      </c>
      <c r="F205">
        <v>52272</v>
      </c>
      <c r="G205">
        <v>39530</v>
      </c>
      <c r="H205" t="s">
        <v>11</v>
      </c>
    </row>
    <row r="206" spans="1:8" x14ac:dyDescent="0.35">
      <c r="A206">
        <v>2205</v>
      </c>
      <c r="B206" t="s">
        <v>237</v>
      </c>
      <c r="C206" t="s">
        <v>13</v>
      </c>
      <c r="D206" t="s">
        <v>37</v>
      </c>
      <c r="E206" s="1">
        <v>45866</v>
      </c>
      <c r="F206">
        <v>20882</v>
      </c>
      <c r="G206">
        <v>8491</v>
      </c>
      <c r="H206" t="s">
        <v>43</v>
      </c>
    </row>
    <row r="207" spans="1:8" x14ac:dyDescent="0.35">
      <c r="A207">
        <v>2206</v>
      </c>
      <c r="B207" t="s">
        <v>238</v>
      </c>
      <c r="C207" t="s">
        <v>13</v>
      </c>
      <c r="D207" t="s">
        <v>18</v>
      </c>
      <c r="E207" s="1">
        <v>45948</v>
      </c>
      <c r="F207">
        <v>57529</v>
      </c>
      <c r="G207">
        <v>53357</v>
      </c>
      <c r="H207" t="s">
        <v>22</v>
      </c>
    </row>
    <row r="208" spans="1:8" x14ac:dyDescent="0.35">
      <c r="A208">
        <v>2207</v>
      </c>
      <c r="B208" t="s">
        <v>239</v>
      </c>
      <c r="C208" t="s">
        <v>13</v>
      </c>
      <c r="D208" t="s">
        <v>10</v>
      </c>
      <c r="E208" s="1">
        <v>46011</v>
      </c>
      <c r="F208">
        <v>58635</v>
      </c>
      <c r="G208">
        <v>46118</v>
      </c>
      <c r="H208" t="s">
        <v>25</v>
      </c>
    </row>
    <row r="209" spans="1:8" x14ac:dyDescent="0.35">
      <c r="A209">
        <v>2208</v>
      </c>
      <c r="B209" t="s">
        <v>240</v>
      </c>
      <c r="C209" t="s">
        <v>13</v>
      </c>
      <c r="D209" t="s">
        <v>37</v>
      </c>
      <c r="E209" s="1">
        <v>45943</v>
      </c>
      <c r="F209">
        <v>49535</v>
      </c>
      <c r="G209">
        <v>43502</v>
      </c>
      <c r="H209" t="s">
        <v>22</v>
      </c>
    </row>
    <row r="210" spans="1:8" x14ac:dyDescent="0.35">
      <c r="A210">
        <v>2209</v>
      </c>
      <c r="B210" t="s">
        <v>241</v>
      </c>
      <c r="C210" t="s">
        <v>13</v>
      </c>
      <c r="D210" t="s">
        <v>14</v>
      </c>
      <c r="E210" s="1">
        <v>45773</v>
      </c>
      <c r="F210">
        <v>32869</v>
      </c>
      <c r="G210">
        <v>30491</v>
      </c>
      <c r="H210" t="s">
        <v>11</v>
      </c>
    </row>
    <row r="211" spans="1:8" x14ac:dyDescent="0.35">
      <c r="A211">
        <v>2210</v>
      </c>
      <c r="B211" t="s">
        <v>242</v>
      </c>
      <c r="C211" t="s">
        <v>45</v>
      </c>
      <c r="D211" t="s">
        <v>21</v>
      </c>
      <c r="E211" s="1">
        <v>45921</v>
      </c>
      <c r="F211">
        <v>27166</v>
      </c>
      <c r="G211">
        <v>25961</v>
      </c>
      <c r="H211" t="s">
        <v>53</v>
      </c>
    </row>
    <row r="212" spans="1:8" x14ac:dyDescent="0.35">
      <c r="A212">
        <v>2211</v>
      </c>
      <c r="B212" t="s">
        <v>243</v>
      </c>
      <c r="C212" t="s">
        <v>45</v>
      </c>
      <c r="D212" t="s">
        <v>37</v>
      </c>
      <c r="E212" s="1">
        <v>45807</v>
      </c>
      <c r="F212">
        <v>32982</v>
      </c>
      <c r="G212">
        <v>27994</v>
      </c>
      <c r="H212" t="s">
        <v>31</v>
      </c>
    </row>
    <row r="213" spans="1:8" x14ac:dyDescent="0.35">
      <c r="A213">
        <v>2212</v>
      </c>
      <c r="B213" t="s">
        <v>244</v>
      </c>
      <c r="C213" t="s">
        <v>24</v>
      </c>
      <c r="D213" t="s">
        <v>10</v>
      </c>
      <c r="E213" s="1">
        <v>45957</v>
      </c>
      <c r="F213">
        <v>58115</v>
      </c>
      <c r="G213">
        <v>46084</v>
      </c>
      <c r="H213" t="s">
        <v>22</v>
      </c>
    </row>
    <row r="214" spans="1:8" x14ac:dyDescent="0.35">
      <c r="A214">
        <v>2213</v>
      </c>
      <c r="B214" t="s">
        <v>245</v>
      </c>
      <c r="C214" t="s">
        <v>33</v>
      </c>
      <c r="D214" t="s">
        <v>14</v>
      </c>
      <c r="E214" s="1">
        <v>45693</v>
      </c>
      <c r="F214">
        <v>27269</v>
      </c>
      <c r="G214">
        <v>21600</v>
      </c>
      <c r="H214" t="s">
        <v>77</v>
      </c>
    </row>
    <row r="215" spans="1:8" x14ac:dyDescent="0.35">
      <c r="A215">
        <v>2214</v>
      </c>
      <c r="B215" t="s">
        <v>246</v>
      </c>
      <c r="C215" t="s">
        <v>9</v>
      </c>
      <c r="D215" t="s">
        <v>27</v>
      </c>
      <c r="E215" s="1">
        <v>45990</v>
      </c>
      <c r="F215">
        <v>48064</v>
      </c>
      <c r="G215">
        <v>45329</v>
      </c>
      <c r="H215" t="s">
        <v>29</v>
      </c>
    </row>
    <row r="216" spans="1:8" x14ac:dyDescent="0.35">
      <c r="A216">
        <v>2215</v>
      </c>
      <c r="B216" t="s">
        <v>247</v>
      </c>
      <c r="C216" t="s">
        <v>13</v>
      </c>
      <c r="D216" t="s">
        <v>10</v>
      </c>
      <c r="E216" s="1">
        <v>45944</v>
      </c>
      <c r="F216">
        <v>33527</v>
      </c>
      <c r="G216">
        <v>19165</v>
      </c>
      <c r="H216" t="s">
        <v>22</v>
      </c>
    </row>
    <row r="217" spans="1:8" x14ac:dyDescent="0.35">
      <c r="A217">
        <v>2216</v>
      </c>
      <c r="B217" t="s">
        <v>248</v>
      </c>
      <c r="C217" t="s">
        <v>56</v>
      </c>
      <c r="D217" t="s">
        <v>10</v>
      </c>
      <c r="E217" s="1">
        <v>45960</v>
      </c>
      <c r="F217">
        <v>22454</v>
      </c>
      <c r="G217">
        <v>10915</v>
      </c>
      <c r="H217" t="s">
        <v>22</v>
      </c>
    </row>
    <row r="218" spans="1:8" x14ac:dyDescent="0.35">
      <c r="A218">
        <v>2217</v>
      </c>
      <c r="B218" t="s">
        <v>249</v>
      </c>
      <c r="C218" t="s">
        <v>9</v>
      </c>
      <c r="D218" t="s">
        <v>14</v>
      </c>
      <c r="E218" s="1">
        <v>45968</v>
      </c>
      <c r="F218">
        <v>40878</v>
      </c>
      <c r="G218">
        <v>31011</v>
      </c>
      <c r="H218" t="s">
        <v>29</v>
      </c>
    </row>
    <row r="219" spans="1:8" x14ac:dyDescent="0.35">
      <c r="A219">
        <v>2218</v>
      </c>
      <c r="B219" t="s">
        <v>250</v>
      </c>
      <c r="C219" t="s">
        <v>45</v>
      </c>
      <c r="D219" t="s">
        <v>10</v>
      </c>
      <c r="E219" s="1">
        <v>45865</v>
      </c>
      <c r="F219">
        <v>32991</v>
      </c>
      <c r="G219">
        <v>24501</v>
      </c>
      <c r="H219" t="s">
        <v>43</v>
      </c>
    </row>
    <row r="220" spans="1:8" x14ac:dyDescent="0.35">
      <c r="A220">
        <v>2219</v>
      </c>
      <c r="B220" t="s">
        <v>251</v>
      </c>
      <c r="C220" t="s">
        <v>56</v>
      </c>
      <c r="D220" t="s">
        <v>14</v>
      </c>
      <c r="E220" s="1">
        <v>45763</v>
      </c>
      <c r="F220">
        <v>22808</v>
      </c>
      <c r="G220">
        <v>21852</v>
      </c>
      <c r="H220" t="s">
        <v>11</v>
      </c>
    </row>
    <row r="221" spans="1:8" x14ac:dyDescent="0.35">
      <c r="A221">
        <v>2220</v>
      </c>
      <c r="B221" t="s">
        <v>252</v>
      </c>
      <c r="C221" t="s">
        <v>56</v>
      </c>
      <c r="D221" t="s">
        <v>37</v>
      </c>
      <c r="E221" s="1">
        <v>45815</v>
      </c>
      <c r="F221">
        <v>59410</v>
      </c>
      <c r="G221">
        <v>50104</v>
      </c>
      <c r="H221" t="s">
        <v>67</v>
      </c>
    </row>
    <row r="222" spans="1:8" x14ac:dyDescent="0.35">
      <c r="A222">
        <v>2221</v>
      </c>
      <c r="B222" t="s">
        <v>253</v>
      </c>
      <c r="C222" t="s">
        <v>56</v>
      </c>
      <c r="D222" t="s">
        <v>14</v>
      </c>
      <c r="E222" s="1">
        <v>45778</v>
      </c>
      <c r="F222">
        <v>56593</v>
      </c>
      <c r="G222">
        <v>49970</v>
      </c>
      <c r="H222" t="s">
        <v>31</v>
      </c>
    </row>
    <row r="223" spans="1:8" x14ac:dyDescent="0.35">
      <c r="A223">
        <v>2222</v>
      </c>
      <c r="B223" t="s">
        <v>254</v>
      </c>
      <c r="C223" t="s">
        <v>24</v>
      </c>
      <c r="D223" t="s">
        <v>14</v>
      </c>
      <c r="E223" s="1">
        <v>45712</v>
      </c>
      <c r="F223">
        <v>56304</v>
      </c>
      <c r="G223">
        <v>41396</v>
      </c>
      <c r="H223" t="s">
        <v>77</v>
      </c>
    </row>
    <row r="224" spans="1:8" x14ac:dyDescent="0.35">
      <c r="A224">
        <v>2223</v>
      </c>
      <c r="B224" t="s">
        <v>255</v>
      </c>
      <c r="C224" t="s">
        <v>45</v>
      </c>
      <c r="D224" t="s">
        <v>21</v>
      </c>
      <c r="E224" s="1">
        <v>45669</v>
      </c>
      <c r="F224">
        <v>50386</v>
      </c>
      <c r="G224">
        <v>39689</v>
      </c>
      <c r="H224" t="s">
        <v>15</v>
      </c>
    </row>
    <row r="225" spans="1:8" x14ac:dyDescent="0.35">
      <c r="A225">
        <v>2224</v>
      </c>
      <c r="B225" t="s">
        <v>256</v>
      </c>
      <c r="C225" t="s">
        <v>56</v>
      </c>
      <c r="D225" t="s">
        <v>14</v>
      </c>
      <c r="E225" s="1">
        <v>45802</v>
      </c>
      <c r="F225">
        <v>23802</v>
      </c>
      <c r="G225">
        <v>22328</v>
      </c>
      <c r="H225" t="s">
        <v>31</v>
      </c>
    </row>
    <row r="226" spans="1:8" x14ac:dyDescent="0.35">
      <c r="A226">
        <v>2225</v>
      </c>
      <c r="B226" t="s">
        <v>257</v>
      </c>
      <c r="C226" t="s">
        <v>13</v>
      </c>
      <c r="D226" t="s">
        <v>14</v>
      </c>
      <c r="E226" s="1">
        <v>45793</v>
      </c>
      <c r="F226">
        <v>48753</v>
      </c>
      <c r="G226">
        <v>44293</v>
      </c>
      <c r="H226" t="s">
        <v>31</v>
      </c>
    </row>
    <row r="227" spans="1:8" x14ac:dyDescent="0.35">
      <c r="A227">
        <v>2226</v>
      </c>
      <c r="B227" t="s">
        <v>258</v>
      </c>
      <c r="C227" t="s">
        <v>17</v>
      </c>
      <c r="D227" t="s">
        <v>27</v>
      </c>
      <c r="E227" s="1">
        <v>45660</v>
      </c>
      <c r="F227">
        <v>41083</v>
      </c>
      <c r="G227">
        <v>34081</v>
      </c>
      <c r="H227" t="s">
        <v>15</v>
      </c>
    </row>
    <row r="228" spans="1:8" x14ac:dyDescent="0.35">
      <c r="A228">
        <v>2227</v>
      </c>
      <c r="B228" t="s">
        <v>259</v>
      </c>
      <c r="C228" t="s">
        <v>56</v>
      </c>
      <c r="D228" t="s">
        <v>37</v>
      </c>
      <c r="E228" s="1">
        <v>45801</v>
      </c>
      <c r="F228">
        <v>38354</v>
      </c>
      <c r="G228">
        <v>24368</v>
      </c>
      <c r="H228" t="s">
        <v>31</v>
      </c>
    </row>
    <row r="229" spans="1:8" x14ac:dyDescent="0.35">
      <c r="A229">
        <v>2228</v>
      </c>
      <c r="B229" t="s">
        <v>260</v>
      </c>
      <c r="C229" t="s">
        <v>24</v>
      </c>
      <c r="D229" t="s">
        <v>21</v>
      </c>
      <c r="E229" s="1">
        <v>45687</v>
      </c>
      <c r="F229">
        <v>42190</v>
      </c>
      <c r="G229">
        <v>29552</v>
      </c>
      <c r="H229" t="s">
        <v>15</v>
      </c>
    </row>
    <row r="230" spans="1:8" x14ac:dyDescent="0.35">
      <c r="A230">
        <v>2229</v>
      </c>
      <c r="B230" t="s">
        <v>261</v>
      </c>
      <c r="C230" t="s">
        <v>9</v>
      </c>
      <c r="D230" t="s">
        <v>27</v>
      </c>
      <c r="E230" s="1">
        <v>45894</v>
      </c>
      <c r="F230">
        <v>26142</v>
      </c>
      <c r="G230">
        <v>14224</v>
      </c>
      <c r="H230" t="s">
        <v>38</v>
      </c>
    </row>
    <row r="231" spans="1:8" x14ac:dyDescent="0.35">
      <c r="A231">
        <v>2230</v>
      </c>
      <c r="B231" t="s">
        <v>262</v>
      </c>
      <c r="C231" t="s">
        <v>45</v>
      </c>
      <c r="D231" t="s">
        <v>18</v>
      </c>
      <c r="E231" s="1">
        <v>45936</v>
      </c>
      <c r="F231">
        <v>48398</v>
      </c>
      <c r="G231">
        <v>36735</v>
      </c>
      <c r="H231" t="s">
        <v>22</v>
      </c>
    </row>
    <row r="232" spans="1:8" x14ac:dyDescent="0.35">
      <c r="A232">
        <v>2231</v>
      </c>
      <c r="B232" t="s">
        <v>263</v>
      </c>
      <c r="C232" t="s">
        <v>24</v>
      </c>
      <c r="D232" t="s">
        <v>37</v>
      </c>
      <c r="E232" s="1">
        <v>46005</v>
      </c>
      <c r="F232">
        <v>53132</v>
      </c>
      <c r="G232">
        <v>46736</v>
      </c>
      <c r="H232" t="s">
        <v>25</v>
      </c>
    </row>
    <row r="233" spans="1:8" x14ac:dyDescent="0.35">
      <c r="A233">
        <v>2232</v>
      </c>
      <c r="B233" t="s">
        <v>264</v>
      </c>
      <c r="C233" t="s">
        <v>56</v>
      </c>
      <c r="D233" t="s">
        <v>37</v>
      </c>
      <c r="E233" s="1">
        <v>45772</v>
      </c>
      <c r="F233">
        <v>39503</v>
      </c>
      <c r="G233">
        <v>36675</v>
      </c>
      <c r="H233" t="s">
        <v>11</v>
      </c>
    </row>
    <row r="234" spans="1:8" x14ac:dyDescent="0.35">
      <c r="A234">
        <v>2233</v>
      </c>
      <c r="B234" t="s">
        <v>265</v>
      </c>
      <c r="C234" t="s">
        <v>45</v>
      </c>
      <c r="D234" t="s">
        <v>18</v>
      </c>
      <c r="E234" s="1">
        <v>45761</v>
      </c>
      <c r="F234">
        <v>54631</v>
      </c>
      <c r="G234">
        <v>40439</v>
      </c>
      <c r="H234" t="s">
        <v>11</v>
      </c>
    </row>
    <row r="235" spans="1:8" x14ac:dyDescent="0.35">
      <c r="A235">
        <v>2234</v>
      </c>
      <c r="B235" t="s">
        <v>266</v>
      </c>
      <c r="C235" t="s">
        <v>17</v>
      </c>
      <c r="D235" t="s">
        <v>14</v>
      </c>
      <c r="E235" s="1">
        <v>45775</v>
      </c>
      <c r="F235">
        <v>36499</v>
      </c>
      <c r="G235">
        <v>33649</v>
      </c>
      <c r="H235" t="s">
        <v>11</v>
      </c>
    </row>
    <row r="236" spans="1:8" x14ac:dyDescent="0.35">
      <c r="A236">
        <v>2235</v>
      </c>
      <c r="B236" t="s">
        <v>267</v>
      </c>
      <c r="C236" t="s">
        <v>56</v>
      </c>
      <c r="D236" t="s">
        <v>27</v>
      </c>
      <c r="E236" s="1">
        <v>45662</v>
      </c>
      <c r="F236">
        <v>59852</v>
      </c>
      <c r="G236">
        <v>46553</v>
      </c>
      <c r="H236" t="s">
        <v>15</v>
      </c>
    </row>
    <row r="237" spans="1:8" x14ac:dyDescent="0.35">
      <c r="A237">
        <v>2236</v>
      </c>
      <c r="B237" t="s">
        <v>268</v>
      </c>
      <c r="C237" t="s">
        <v>24</v>
      </c>
      <c r="D237" t="s">
        <v>10</v>
      </c>
      <c r="E237" s="1">
        <v>46017</v>
      </c>
      <c r="F237">
        <v>28016</v>
      </c>
      <c r="G237">
        <v>17318</v>
      </c>
      <c r="H237" t="s">
        <v>25</v>
      </c>
    </row>
    <row r="238" spans="1:8" x14ac:dyDescent="0.35">
      <c r="A238">
        <v>2237</v>
      </c>
      <c r="B238" t="s">
        <v>269</v>
      </c>
      <c r="C238" t="s">
        <v>33</v>
      </c>
      <c r="D238" t="s">
        <v>21</v>
      </c>
      <c r="E238" s="1">
        <v>45905</v>
      </c>
      <c r="F238">
        <v>22384</v>
      </c>
      <c r="G238">
        <v>10422</v>
      </c>
      <c r="H238" t="s">
        <v>53</v>
      </c>
    </row>
    <row r="239" spans="1:8" x14ac:dyDescent="0.35">
      <c r="A239">
        <v>2238</v>
      </c>
      <c r="B239" t="s">
        <v>270</v>
      </c>
      <c r="C239" t="s">
        <v>13</v>
      </c>
      <c r="D239" t="s">
        <v>10</v>
      </c>
      <c r="E239" s="1">
        <v>46021</v>
      </c>
      <c r="F239">
        <v>35072</v>
      </c>
      <c r="G239">
        <v>32108</v>
      </c>
      <c r="H239" t="s">
        <v>25</v>
      </c>
    </row>
    <row r="240" spans="1:8" x14ac:dyDescent="0.35">
      <c r="A240">
        <v>2239</v>
      </c>
      <c r="B240" t="s">
        <v>271</v>
      </c>
      <c r="C240" t="s">
        <v>9</v>
      </c>
      <c r="D240" t="s">
        <v>18</v>
      </c>
      <c r="E240" s="1">
        <v>45978</v>
      </c>
      <c r="F240">
        <v>56703</v>
      </c>
      <c r="G240">
        <v>52109</v>
      </c>
      <c r="H240" t="s">
        <v>29</v>
      </c>
    </row>
    <row r="241" spans="1:8" x14ac:dyDescent="0.35">
      <c r="A241">
        <v>2240</v>
      </c>
      <c r="B241" t="s">
        <v>272</v>
      </c>
      <c r="C241" t="s">
        <v>24</v>
      </c>
      <c r="D241" t="s">
        <v>37</v>
      </c>
      <c r="E241" s="1">
        <v>45778</v>
      </c>
      <c r="F241">
        <v>34482</v>
      </c>
      <c r="G241">
        <v>25341</v>
      </c>
      <c r="H241" t="s">
        <v>31</v>
      </c>
    </row>
    <row r="242" spans="1:8" x14ac:dyDescent="0.35">
      <c r="A242">
        <v>2241</v>
      </c>
      <c r="B242" t="s">
        <v>273</v>
      </c>
      <c r="C242" t="s">
        <v>45</v>
      </c>
      <c r="D242" t="s">
        <v>37</v>
      </c>
      <c r="E242" s="1">
        <v>45943</v>
      </c>
      <c r="F242">
        <v>41826</v>
      </c>
      <c r="G242">
        <v>27544</v>
      </c>
      <c r="H242" t="s">
        <v>22</v>
      </c>
    </row>
    <row r="243" spans="1:8" x14ac:dyDescent="0.35">
      <c r="A243">
        <v>2242</v>
      </c>
      <c r="B243" t="s">
        <v>274</v>
      </c>
      <c r="C243" t="s">
        <v>56</v>
      </c>
      <c r="D243" t="s">
        <v>21</v>
      </c>
      <c r="E243" s="1">
        <v>45806</v>
      </c>
      <c r="F243">
        <v>22490</v>
      </c>
      <c r="G243">
        <v>8156</v>
      </c>
      <c r="H243" t="s">
        <v>31</v>
      </c>
    </row>
    <row r="244" spans="1:8" x14ac:dyDescent="0.35">
      <c r="A244">
        <v>2243</v>
      </c>
      <c r="B244" t="s">
        <v>275</v>
      </c>
      <c r="C244" t="s">
        <v>13</v>
      </c>
      <c r="D244" t="s">
        <v>37</v>
      </c>
      <c r="E244" s="1">
        <v>45741</v>
      </c>
      <c r="F244">
        <v>45518</v>
      </c>
      <c r="G244">
        <v>32723</v>
      </c>
      <c r="H244" t="s">
        <v>19</v>
      </c>
    </row>
    <row r="245" spans="1:8" x14ac:dyDescent="0.35">
      <c r="A245">
        <v>2244</v>
      </c>
      <c r="B245" t="s">
        <v>276</v>
      </c>
      <c r="C245" t="s">
        <v>56</v>
      </c>
      <c r="D245" t="s">
        <v>37</v>
      </c>
      <c r="E245" s="1">
        <v>45888</v>
      </c>
      <c r="F245">
        <v>44045</v>
      </c>
      <c r="G245">
        <v>30430</v>
      </c>
      <c r="H245" t="s">
        <v>38</v>
      </c>
    </row>
    <row r="246" spans="1:8" x14ac:dyDescent="0.35">
      <c r="A246">
        <v>2245</v>
      </c>
      <c r="B246" t="s">
        <v>277</v>
      </c>
      <c r="C246" t="s">
        <v>45</v>
      </c>
      <c r="D246" t="s">
        <v>21</v>
      </c>
      <c r="E246" s="1">
        <v>45945</v>
      </c>
      <c r="F246">
        <v>46910</v>
      </c>
      <c r="G246">
        <v>40266</v>
      </c>
      <c r="H246" t="s">
        <v>22</v>
      </c>
    </row>
    <row r="247" spans="1:8" x14ac:dyDescent="0.35">
      <c r="A247">
        <v>2246</v>
      </c>
      <c r="B247" t="s">
        <v>278</v>
      </c>
      <c r="C247" t="s">
        <v>56</v>
      </c>
      <c r="D247" t="s">
        <v>27</v>
      </c>
      <c r="E247" s="1">
        <v>45818</v>
      </c>
      <c r="F247">
        <v>44566</v>
      </c>
      <c r="G247">
        <v>41716</v>
      </c>
      <c r="H247" t="s">
        <v>67</v>
      </c>
    </row>
    <row r="248" spans="1:8" x14ac:dyDescent="0.35">
      <c r="A248">
        <v>2247</v>
      </c>
      <c r="B248" t="s">
        <v>279</v>
      </c>
      <c r="C248" t="s">
        <v>33</v>
      </c>
      <c r="D248" t="s">
        <v>27</v>
      </c>
      <c r="E248" s="1">
        <v>45929</v>
      </c>
      <c r="F248">
        <v>53905</v>
      </c>
      <c r="G248">
        <v>38972</v>
      </c>
      <c r="H248" t="s">
        <v>53</v>
      </c>
    </row>
    <row r="249" spans="1:8" x14ac:dyDescent="0.35">
      <c r="A249">
        <v>2248</v>
      </c>
      <c r="B249" t="s">
        <v>280</v>
      </c>
      <c r="C249" t="s">
        <v>13</v>
      </c>
      <c r="D249" t="s">
        <v>21</v>
      </c>
      <c r="E249" s="1">
        <v>45695</v>
      </c>
      <c r="F249">
        <v>47103</v>
      </c>
      <c r="G249">
        <v>46938</v>
      </c>
      <c r="H249" t="s">
        <v>77</v>
      </c>
    </row>
    <row r="250" spans="1:8" x14ac:dyDescent="0.35">
      <c r="A250">
        <v>2249</v>
      </c>
      <c r="B250" t="s">
        <v>281</v>
      </c>
      <c r="C250" t="s">
        <v>13</v>
      </c>
      <c r="D250" t="s">
        <v>18</v>
      </c>
      <c r="E250" s="1">
        <v>45883</v>
      </c>
      <c r="F250">
        <v>56188</v>
      </c>
      <c r="G250">
        <v>44510</v>
      </c>
      <c r="H250" t="s">
        <v>38</v>
      </c>
    </row>
    <row r="251" spans="1:8" x14ac:dyDescent="0.35">
      <c r="A251">
        <v>2250</v>
      </c>
      <c r="B251" t="s">
        <v>282</v>
      </c>
      <c r="C251" t="s">
        <v>45</v>
      </c>
      <c r="D251" t="s">
        <v>37</v>
      </c>
      <c r="E251" s="1">
        <v>45799</v>
      </c>
      <c r="F251">
        <v>25845</v>
      </c>
      <c r="G251">
        <v>15144</v>
      </c>
      <c r="H251" t="s">
        <v>31</v>
      </c>
    </row>
    <row r="252" spans="1:8" x14ac:dyDescent="0.35">
      <c r="A252">
        <v>2251</v>
      </c>
      <c r="B252" t="s">
        <v>283</v>
      </c>
      <c r="C252" t="s">
        <v>9</v>
      </c>
      <c r="D252" t="s">
        <v>37</v>
      </c>
      <c r="E252" s="1">
        <v>45949</v>
      </c>
      <c r="F252">
        <v>41162</v>
      </c>
      <c r="G252">
        <v>40243</v>
      </c>
      <c r="H252" t="s">
        <v>22</v>
      </c>
    </row>
    <row r="253" spans="1:8" x14ac:dyDescent="0.35">
      <c r="A253">
        <v>2252</v>
      </c>
      <c r="B253" t="s">
        <v>284</v>
      </c>
      <c r="C253" t="s">
        <v>33</v>
      </c>
      <c r="D253" t="s">
        <v>18</v>
      </c>
      <c r="E253" s="1">
        <v>45808</v>
      </c>
      <c r="F253">
        <v>56674</v>
      </c>
      <c r="G253">
        <v>48369</v>
      </c>
      <c r="H253" t="s">
        <v>31</v>
      </c>
    </row>
    <row r="254" spans="1:8" x14ac:dyDescent="0.35">
      <c r="A254">
        <v>2253</v>
      </c>
      <c r="B254" t="s">
        <v>285</v>
      </c>
      <c r="C254" t="s">
        <v>24</v>
      </c>
      <c r="D254" t="s">
        <v>27</v>
      </c>
      <c r="E254" s="1">
        <v>45771</v>
      </c>
      <c r="F254">
        <v>39337</v>
      </c>
      <c r="G254">
        <v>35833</v>
      </c>
      <c r="H254" t="s">
        <v>11</v>
      </c>
    </row>
    <row r="255" spans="1:8" x14ac:dyDescent="0.35">
      <c r="A255">
        <v>2254</v>
      </c>
      <c r="B255" t="s">
        <v>286</v>
      </c>
      <c r="C255" t="s">
        <v>56</v>
      </c>
      <c r="D255" t="s">
        <v>14</v>
      </c>
      <c r="E255" s="1">
        <v>45894</v>
      </c>
      <c r="F255">
        <v>42313</v>
      </c>
      <c r="G255">
        <v>41322</v>
      </c>
      <c r="H255" t="s">
        <v>38</v>
      </c>
    </row>
    <row r="256" spans="1:8" x14ac:dyDescent="0.35">
      <c r="A256">
        <v>2255</v>
      </c>
      <c r="B256" t="s">
        <v>287</v>
      </c>
      <c r="C256" t="s">
        <v>17</v>
      </c>
      <c r="D256" t="s">
        <v>14</v>
      </c>
      <c r="E256" s="1">
        <v>45723</v>
      </c>
      <c r="F256">
        <v>46943</v>
      </c>
      <c r="G256">
        <v>40896</v>
      </c>
      <c r="H256" t="s">
        <v>19</v>
      </c>
    </row>
    <row r="257" spans="1:8" x14ac:dyDescent="0.35">
      <c r="A257">
        <v>2256</v>
      </c>
      <c r="B257" t="s">
        <v>288</v>
      </c>
      <c r="C257" t="s">
        <v>56</v>
      </c>
      <c r="D257" t="s">
        <v>14</v>
      </c>
      <c r="E257" s="1">
        <v>46018</v>
      </c>
      <c r="F257">
        <v>32413</v>
      </c>
      <c r="G257">
        <v>17871</v>
      </c>
      <c r="H257" t="s">
        <v>25</v>
      </c>
    </row>
    <row r="258" spans="1:8" x14ac:dyDescent="0.35">
      <c r="A258">
        <v>2257</v>
      </c>
      <c r="B258" t="s">
        <v>289</v>
      </c>
      <c r="C258" t="s">
        <v>56</v>
      </c>
      <c r="D258" t="s">
        <v>27</v>
      </c>
      <c r="E258" s="1">
        <v>45998</v>
      </c>
      <c r="F258">
        <v>20276</v>
      </c>
      <c r="G258">
        <v>16437</v>
      </c>
      <c r="H258" t="s">
        <v>25</v>
      </c>
    </row>
    <row r="259" spans="1:8" x14ac:dyDescent="0.35">
      <c r="A259">
        <v>2258</v>
      </c>
      <c r="B259" t="s">
        <v>290</v>
      </c>
      <c r="C259" t="s">
        <v>24</v>
      </c>
      <c r="D259" t="s">
        <v>27</v>
      </c>
      <c r="E259" s="1">
        <v>45915</v>
      </c>
      <c r="F259">
        <v>37611</v>
      </c>
      <c r="G259">
        <v>36353</v>
      </c>
      <c r="H259" t="s">
        <v>53</v>
      </c>
    </row>
    <row r="260" spans="1:8" x14ac:dyDescent="0.35">
      <c r="A260">
        <v>2259</v>
      </c>
      <c r="B260" t="s">
        <v>291</v>
      </c>
      <c r="C260" t="s">
        <v>56</v>
      </c>
      <c r="D260" t="s">
        <v>18</v>
      </c>
      <c r="E260" s="1">
        <v>45906</v>
      </c>
      <c r="F260">
        <v>59105</v>
      </c>
      <c r="G260">
        <v>51496</v>
      </c>
      <c r="H260" t="s">
        <v>53</v>
      </c>
    </row>
    <row r="261" spans="1:8" x14ac:dyDescent="0.35">
      <c r="A261">
        <v>2260</v>
      </c>
      <c r="B261" t="s">
        <v>292</v>
      </c>
      <c r="C261" t="s">
        <v>33</v>
      </c>
      <c r="D261" t="s">
        <v>37</v>
      </c>
      <c r="E261" s="1">
        <v>45988</v>
      </c>
      <c r="F261">
        <v>31944</v>
      </c>
      <c r="G261">
        <v>20326</v>
      </c>
      <c r="H261" t="s">
        <v>29</v>
      </c>
    </row>
    <row r="262" spans="1:8" x14ac:dyDescent="0.35">
      <c r="A262">
        <v>2261</v>
      </c>
      <c r="B262" t="s">
        <v>293</v>
      </c>
      <c r="C262" t="s">
        <v>33</v>
      </c>
      <c r="D262" t="s">
        <v>18</v>
      </c>
      <c r="E262" s="1">
        <v>45980</v>
      </c>
      <c r="F262">
        <v>35906</v>
      </c>
      <c r="G262">
        <v>27200</v>
      </c>
      <c r="H262" t="s">
        <v>29</v>
      </c>
    </row>
    <row r="263" spans="1:8" x14ac:dyDescent="0.35">
      <c r="A263">
        <v>2262</v>
      </c>
      <c r="B263" t="s">
        <v>294</v>
      </c>
      <c r="C263" t="s">
        <v>13</v>
      </c>
      <c r="D263" t="s">
        <v>18</v>
      </c>
      <c r="E263" s="1">
        <v>45837</v>
      </c>
      <c r="F263">
        <v>40536</v>
      </c>
      <c r="G263">
        <v>27017</v>
      </c>
      <c r="H263" t="s">
        <v>67</v>
      </c>
    </row>
    <row r="264" spans="1:8" x14ac:dyDescent="0.35">
      <c r="A264">
        <v>2263</v>
      </c>
      <c r="B264" t="s">
        <v>295</v>
      </c>
      <c r="C264" t="s">
        <v>45</v>
      </c>
      <c r="D264" t="s">
        <v>27</v>
      </c>
      <c r="E264" s="1">
        <v>45847</v>
      </c>
      <c r="F264">
        <v>47810</v>
      </c>
      <c r="G264">
        <v>43006</v>
      </c>
      <c r="H264" t="s">
        <v>43</v>
      </c>
    </row>
    <row r="265" spans="1:8" x14ac:dyDescent="0.35">
      <c r="A265">
        <v>2264</v>
      </c>
      <c r="B265" t="s">
        <v>296</v>
      </c>
      <c r="C265" t="s">
        <v>9</v>
      </c>
      <c r="D265" t="s">
        <v>14</v>
      </c>
      <c r="E265" s="1">
        <v>45811</v>
      </c>
      <c r="F265">
        <v>32306</v>
      </c>
      <c r="G265">
        <v>20918</v>
      </c>
      <c r="H265" t="s">
        <v>67</v>
      </c>
    </row>
    <row r="266" spans="1:8" x14ac:dyDescent="0.35">
      <c r="A266">
        <v>2265</v>
      </c>
      <c r="B266" t="s">
        <v>297</v>
      </c>
      <c r="C266" t="s">
        <v>17</v>
      </c>
      <c r="D266" t="s">
        <v>10</v>
      </c>
      <c r="E266" s="1">
        <v>45853</v>
      </c>
      <c r="F266">
        <v>30503</v>
      </c>
      <c r="G266">
        <v>16030</v>
      </c>
      <c r="H266" t="s">
        <v>43</v>
      </c>
    </row>
    <row r="267" spans="1:8" x14ac:dyDescent="0.35">
      <c r="A267">
        <v>2266</v>
      </c>
      <c r="B267" t="s">
        <v>298</v>
      </c>
      <c r="C267" t="s">
        <v>56</v>
      </c>
      <c r="D267" t="s">
        <v>37</v>
      </c>
      <c r="E267" s="1">
        <v>45968</v>
      </c>
      <c r="F267">
        <v>39225</v>
      </c>
      <c r="G267">
        <v>26599</v>
      </c>
      <c r="H267" t="s">
        <v>29</v>
      </c>
    </row>
    <row r="268" spans="1:8" x14ac:dyDescent="0.35">
      <c r="A268">
        <v>2267</v>
      </c>
      <c r="B268" t="s">
        <v>299</v>
      </c>
      <c r="C268" t="s">
        <v>56</v>
      </c>
      <c r="D268" t="s">
        <v>27</v>
      </c>
      <c r="E268" s="1">
        <v>45919</v>
      </c>
      <c r="F268">
        <v>56976</v>
      </c>
      <c r="G268">
        <v>46200</v>
      </c>
      <c r="H268" t="s">
        <v>53</v>
      </c>
    </row>
    <row r="269" spans="1:8" x14ac:dyDescent="0.35">
      <c r="A269">
        <v>2268</v>
      </c>
      <c r="B269" t="s">
        <v>300</v>
      </c>
      <c r="C269" t="s">
        <v>24</v>
      </c>
      <c r="D269" t="s">
        <v>14</v>
      </c>
      <c r="E269" s="1">
        <v>45800</v>
      </c>
      <c r="F269">
        <v>31590</v>
      </c>
      <c r="G269">
        <v>31523</v>
      </c>
      <c r="H269" t="s">
        <v>31</v>
      </c>
    </row>
    <row r="270" spans="1:8" x14ac:dyDescent="0.35">
      <c r="A270">
        <v>2269</v>
      </c>
      <c r="B270" t="s">
        <v>301</v>
      </c>
      <c r="C270" t="s">
        <v>45</v>
      </c>
      <c r="D270" t="s">
        <v>10</v>
      </c>
      <c r="E270" s="1">
        <v>45999</v>
      </c>
      <c r="F270">
        <v>30886</v>
      </c>
      <c r="G270">
        <v>21098</v>
      </c>
      <c r="H270" t="s">
        <v>25</v>
      </c>
    </row>
    <row r="271" spans="1:8" x14ac:dyDescent="0.35">
      <c r="A271">
        <v>2270</v>
      </c>
      <c r="B271" t="s">
        <v>302</v>
      </c>
      <c r="C271" t="s">
        <v>33</v>
      </c>
      <c r="D271" t="s">
        <v>10</v>
      </c>
      <c r="E271" s="1">
        <v>45973</v>
      </c>
      <c r="F271">
        <v>32866</v>
      </c>
      <c r="G271">
        <v>27206</v>
      </c>
      <c r="H271" t="s">
        <v>29</v>
      </c>
    </row>
    <row r="272" spans="1:8" x14ac:dyDescent="0.35">
      <c r="A272">
        <v>2271</v>
      </c>
      <c r="B272" t="s">
        <v>303</v>
      </c>
      <c r="C272" t="s">
        <v>17</v>
      </c>
      <c r="D272" t="s">
        <v>27</v>
      </c>
      <c r="E272" s="1">
        <v>45758</v>
      </c>
      <c r="F272">
        <v>21088</v>
      </c>
      <c r="G272">
        <v>16610</v>
      </c>
      <c r="H272" t="s">
        <v>11</v>
      </c>
    </row>
    <row r="273" spans="1:8" x14ac:dyDescent="0.35">
      <c r="A273">
        <v>2272</v>
      </c>
      <c r="B273" t="s">
        <v>304</v>
      </c>
      <c r="C273" t="s">
        <v>13</v>
      </c>
      <c r="D273" t="s">
        <v>21</v>
      </c>
      <c r="E273" s="1">
        <v>45901</v>
      </c>
      <c r="F273">
        <v>23363</v>
      </c>
      <c r="G273">
        <v>15153</v>
      </c>
      <c r="H273" t="s">
        <v>53</v>
      </c>
    </row>
    <row r="274" spans="1:8" x14ac:dyDescent="0.35">
      <c r="A274">
        <v>2273</v>
      </c>
      <c r="B274" t="s">
        <v>305</v>
      </c>
      <c r="C274" t="s">
        <v>33</v>
      </c>
      <c r="D274" t="s">
        <v>37</v>
      </c>
      <c r="E274" s="1">
        <v>45669</v>
      </c>
      <c r="F274">
        <v>52792</v>
      </c>
      <c r="G274">
        <v>41870</v>
      </c>
      <c r="H274" t="s">
        <v>15</v>
      </c>
    </row>
    <row r="275" spans="1:8" x14ac:dyDescent="0.35">
      <c r="A275">
        <v>2274</v>
      </c>
      <c r="B275" t="s">
        <v>306</v>
      </c>
      <c r="C275" t="s">
        <v>45</v>
      </c>
      <c r="D275" t="s">
        <v>10</v>
      </c>
      <c r="E275" s="1">
        <v>45896</v>
      </c>
      <c r="F275">
        <v>29764</v>
      </c>
      <c r="G275">
        <v>26243</v>
      </c>
      <c r="H275" t="s">
        <v>38</v>
      </c>
    </row>
    <row r="276" spans="1:8" x14ac:dyDescent="0.35">
      <c r="A276">
        <v>2275</v>
      </c>
      <c r="B276" t="s">
        <v>307</v>
      </c>
      <c r="C276" t="s">
        <v>9</v>
      </c>
      <c r="D276" t="s">
        <v>27</v>
      </c>
      <c r="E276" s="1">
        <v>45706</v>
      </c>
      <c r="F276">
        <v>40620</v>
      </c>
      <c r="G276">
        <v>26211</v>
      </c>
      <c r="H276" t="s">
        <v>77</v>
      </c>
    </row>
    <row r="277" spans="1:8" x14ac:dyDescent="0.35">
      <c r="A277">
        <v>2276</v>
      </c>
      <c r="B277" t="s">
        <v>308</v>
      </c>
      <c r="C277" t="s">
        <v>13</v>
      </c>
      <c r="D277" t="s">
        <v>27</v>
      </c>
      <c r="E277" s="1">
        <v>45699</v>
      </c>
      <c r="F277">
        <v>32935</v>
      </c>
      <c r="G277">
        <v>32363</v>
      </c>
      <c r="H277" t="s">
        <v>77</v>
      </c>
    </row>
    <row r="278" spans="1:8" x14ac:dyDescent="0.35">
      <c r="A278">
        <v>2277</v>
      </c>
      <c r="B278" t="s">
        <v>309</v>
      </c>
      <c r="C278" t="s">
        <v>9</v>
      </c>
      <c r="D278" t="s">
        <v>14</v>
      </c>
      <c r="E278" s="1">
        <v>45823</v>
      </c>
      <c r="F278">
        <v>28068</v>
      </c>
      <c r="G278">
        <v>20986</v>
      </c>
      <c r="H278" t="s">
        <v>67</v>
      </c>
    </row>
    <row r="279" spans="1:8" x14ac:dyDescent="0.35">
      <c r="A279">
        <v>2278</v>
      </c>
      <c r="B279" t="s">
        <v>310</v>
      </c>
      <c r="C279" t="s">
        <v>24</v>
      </c>
      <c r="D279" t="s">
        <v>21</v>
      </c>
      <c r="E279" s="1">
        <v>45739</v>
      </c>
      <c r="F279">
        <v>27295</v>
      </c>
      <c r="G279">
        <v>19463</v>
      </c>
      <c r="H279" t="s">
        <v>19</v>
      </c>
    </row>
    <row r="280" spans="1:8" x14ac:dyDescent="0.35">
      <c r="A280">
        <v>2279</v>
      </c>
      <c r="B280" t="s">
        <v>311</v>
      </c>
      <c r="C280" t="s">
        <v>24</v>
      </c>
      <c r="D280" t="s">
        <v>37</v>
      </c>
      <c r="E280" s="1">
        <v>45948</v>
      </c>
      <c r="F280">
        <v>31390</v>
      </c>
      <c r="G280">
        <v>25995</v>
      </c>
      <c r="H280" t="s">
        <v>22</v>
      </c>
    </row>
    <row r="281" spans="1:8" x14ac:dyDescent="0.35">
      <c r="A281">
        <v>2280</v>
      </c>
      <c r="B281" t="s">
        <v>312</v>
      </c>
      <c r="C281" t="s">
        <v>56</v>
      </c>
      <c r="D281" t="s">
        <v>18</v>
      </c>
      <c r="E281" s="1">
        <v>45815</v>
      </c>
      <c r="F281">
        <v>40131</v>
      </c>
      <c r="G281">
        <v>37873</v>
      </c>
      <c r="H281" t="s">
        <v>67</v>
      </c>
    </row>
    <row r="282" spans="1:8" x14ac:dyDescent="0.35">
      <c r="A282">
        <v>2281</v>
      </c>
      <c r="B282" t="s">
        <v>313</v>
      </c>
      <c r="C282" t="s">
        <v>9</v>
      </c>
      <c r="D282" t="s">
        <v>14</v>
      </c>
      <c r="E282" s="1">
        <v>45873</v>
      </c>
      <c r="F282">
        <v>49218</v>
      </c>
      <c r="G282">
        <v>38124</v>
      </c>
      <c r="H282" t="s">
        <v>38</v>
      </c>
    </row>
    <row r="283" spans="1:8" x14ac:dyDescent="0.35">
      <c r="A283">
        <v>2282</v>
      </c>
      <c r="B283" t="s">
        <v>314</v>
      </c>
      <c r="C283" t="s">
        <v>45</v>
      </c>
      <c r="D283" t="s">
        <v>10</v>
      </c>
      <c r="E283" s="1">
        <v>45815</v>
      </c>
      <c r="F283">
        <v>30433</v>
      </c>
      <c r="G283">
        <v>24394</v>
      </c>
      <c r="H283" t="s">
        <v>67</v>
      </c>
    </row>
    <row r="284" spans="1:8" x14ac:dyDescent="0.35">
      <c r="A284">
        <v>2283</v>
      </c>
      <c r="B284" t="s">
        <v>315</v>
      </c>
      <c r="C284" t="s">
        <v>17</v>
      </c>
      <c r="D284" t="s">
        <v>10</v>
      </c>
      <c r="E284" s="1">
        <v>45791</v>
      </c>
      <c r="F284">
        <v>35038</v>
      </c>
      <c r="G284">
        <v>34388</v>
      </c>
      <c r="H284" t="s">
        <v>31</v>
      </c>
    </row>
    <row r="285" spans="1:8" x14ac:dyDescent="0.35">
      <c r="A285">
        <v>2284</v>
      </c>
      <c r="B285" t="s">
        <v>316</v>
      </c>
      <c r="C285" t="s">
        <v>13</v>
      </c>
      <c r="D285" t="s">
        <v>14</v>
      </c>
      <c r="E285" s="1">
        <v>45724</v>
      </c>
      <c r="F285">
        <v>48182</v>
      </c>
      <c r="G285">
        <v>42441</v>
      </c>
      <c r="H285" t="s">
        <v>19</v>
      </c>
    </row>
    <row r="286" spans="1:8" x14ac:dyDescent="0.35">
      <c r="A286">
        <v>2285</v>
      </c>
      <c r="B286" t="s">
        <v>317</v>
      </c>
      <c r="C286" t="s">
        <v>33</v>
      </c>
      <c r="D286" t="s">
        <v>27</v>
      </c>
      <c r="E286" s="1">
        <v>45993</v>
      </c>
      <c r="F286">
        <v>31528</v>
      </c>
      <c r="G286">
        <v>18247</v>
      </c>
      <c r="H286" t="s">
        <v>25</v>
      </c>
    </row>
    <row r="287" spans="1:8" x14ac:dyDescent="0.35">
      <c r="A287">
        <v>2286</v>
      </c>
      <c r="B287" t="s">
        <v>318</v>
      </c>
      <c r="C287" t="s">
        <v>45</v>
      </c>
      <c r="D287" t="s">
        <v>10</v>
      </c>
      <c r="E287" s="1">
        <v>45664</v>
      </c>
      <c r="F287">
        <v>41281</v>
      </c>
      <c r="G287">
        <v>34443</v>
      </c>
      <c r="H287" t="s">
        <v>15</v>
      </c>
    </row>
    <row r="288" spans="1:8" x14ac:dyDescent="0.35">
      <c r="A288">
        <v>2287</v>
      </c>
      <c r="B288" t="s">
        <v>319</v>
      </c>
      <c r="C288" t="s">
        <v>45</v>
      </c>
      <c r="D288" t="s">
        <v>21</v>
      </c>
      <c r="E288" s="1">
        <v>45671</v>
      </c>
      <c r="F288">
        <v>28605</v>
      </c>
      <c r="G288">
        <v>26018</v>
      </c>
      <c r="H288" t="s">
        <v>15</v>
      </c>
    </row>
    <row r="289" spans="1:8" x14ac:dyDescent="0.35">
      <c r="A289">
        <v>2288</v>
      </c>
      <c r="B289" t="s">
        <v>320</v>
      </c>
      <c r="C289" t="s">
        <v>24</v>
      </c>
      <c r="D289" t="s">
        <v>37</v>
      </c>
      <c r="E289" s="1">
        <v>45730</v>
      </c>
      <c r="F289">
        <v>54782</v>
      </c>
      <c r="G289">
        <v>46906</v>
      </c>
      <c r="H289" t="s">
        <v>19</v>
      </c>
    </row>
    <row r="290" spans="1:8" x14ac:dyDescent="0.35">
      <c r="A290">
        <v>2289</v>
      </c>
      <c r="B290" t="s">
        <v>321</v>
      </c>
      <c r="C290" t="s">
        <v>9</v>
      </c>
      <c r="D290" t="s">
        <v>21</v>
      </c>
      <c r="E290" s="1">
        <v>45820</v>
      </c>
      <c r="F290">
        <v>21381</v>
      </c>
      <c r="G290">
        <v>18119</v>
      </c>
      <c r="H290" t="s">
        <v>67</v>
      </c>
    </row>
    <row r="291" spans="1:8" x14ac:dyDescent="0.35">
      <c r="A291">
        <v>2290</v>
      </c>
      <c r="B291" t="s">
        <v>322</v>
      </c>
      <c r="C291" t="s">
        <v>56</v>
      </c>
      <c r="D291" t="s">
        <v>10</v>
      </c>
      <c r="E291" s="1">
        <v>45723</v>
      </c>
      <c r="F291">
        <v>21098</v>
      </c>
      <c r="G291">
        <v>19760</v>
      </c>
      <c r="H291" t="s">
        <v>19</v>
      </c>
    </row>
    <row r="292" spans="1:8" x14ac:dyDescent="0.35">
      <c r="A292">
        <v>2291</v>
      </c>
      <c r="B292" t="s">
        <v>323</v>
      </c>
      <c r="C292" t="s">
        <v>56</v>
      </c>
      <c r="D292" t="s">
        <v>18</v>
      </c>
      <c r="E292" s="1">
        <v>46004</v>
      </c>
      <c r="F292">
        <v>39810</v>
      </c>
      <c r="G292">
        <v>34814</v>
      </c>
      <c r="H292" t="s">
        <v>25</v>
      </c>
    </row>
    <row r="293" spans="1:8" x14ac:dyDescent="0.35">
      <c r="A293">
        <v>2292</v>
      </c>
      <c r="B293" t="s">
        <v>324</v>
      </c>
      <c r="C293" t="s">
        <v>13</v>
      </c>
      <c r="D293" t="s">
        <v>37</v>
      </c>
      <c r="E293" s="1">
        <v>45787</v>
      </c>
      <c r="F293">
        <v>44322</v>
      </c>
      <c r="G293">
        <v>32496</v>
      </c>
      <c r="H293" t="s">
        <v>31</v>
      </c>
    </row>
    <row r="294" spans="1:8" x14ac:dyDescent="0.35">
      <c r="A294">
        <v>2293</v>
      </c>
      <c r="B294" t="s">
        <v>325</v>
      </c>
      <c r="C294" t="s">
        <v>24</v>
      </c>
      <c r="D294" t="s">
        <v>37</v>
      </c>
      <c r="E294" s="1">
        <v>45863</v>
      </c>
      <c r="F294">
        <v>52955</v>
      </c>
      <c r="G294">
        <v>47175</v>
      </c>
      <c r="H294" t="s">
        <v>43</v>
      </c>
    </row>
    <row r="295" spans="1:8" x14ac:dyDescent="0.35">
      <c r="A295">
        <v>2294</v>
      </c>
      <c r="B295" t="s">
        <v>326</v>
      </c>
      <c r="C295" t="s">
        <v>45</v>
      </c>
      <c r="D295" t="s">
        <v>14</v>
      </c>
      <c r="E295" s="1">
        <v>45933</v>
      </c>
      <c r="F295">
        <v>30207</v>
      </c>
      <c r="G295">
        <v>27380</v>
      </c>
      <c r="H295" t="s">
        <v>22</v>
      </c>
    </row>
    <row r="296" spans="1:8" x14ac:dyDescent="0.35">
      <c r="A296">
        <v>2295</v>
      </c>
      <c r="B296" t="s">
        <v>327</v>
      </c>
      <c r="C296" t="s">
        <v>17</v>
      </c>
      <c r="D296" t="s">
        <v>14</v>
      </c>
      <c r="E296" s="1">
        <v>45913</v>
      </c>
      <c r="F296">
        <v>41793</v>
      </c>
      <c r="G296">
        <v>27920</v>
      </c>
      <c r="H296" t="s">
        <v>53</v>
      </c>
    </row>
    <row r="297" spans="1:8" x14ac:dyDescent="0.35">
      <c r="A297">
        <v>2296</v>
      </c>
      <c r="B297" t="s">
        <v>328</v>
      </c>
      <c r="C297" t="s">
        <v>24</v>
      </c>
      <c r="D297" t="s">
        <v>18</v>
      </c>
      <c r="E297" s="1">
        <v>45923</v>
      </c>
      <c r="F297">
        <v>22092</v>
      </c>
      <c r="G297">
        <v>7881</v>
      </c>
      <c r="H297" t="s">
        <v>53</v>
      </c>
    </row>
    <row r="298" spans="1:8" x14ac:dyDescent="0.35">
      <c r="A298">
        <v>2297</v>
      </c>
      <c r="B298" t="s">
        <v>329</v>
      </c>
      <c r="C298" t="s">
        <v>13</v>
      </c>
      <c r="D298" t="s">
        <v>27</v>
      </c>
      <c r="E298" s="1">
        <v>45682</v>
      </c>
      <c r="F298">
        <v>48220</v>
      </c>
      <c r="G298">
        <v>34151</v>
      </c>
      <c r="H298" t="s">
        <v>15</v>
      </c>
    </row>
    <row r="299" spans="1:8" x14ac:dyDescent="0.35">
      <c r="A299">
        <v>2298</v>
      </c>
      <c r="B299" t="s">
        <v>330</v>
      </c>
      <c r="C299" t="s">
        <v>13</v>
      </c>
      <c r="D299" t="s">
        <v>37</v>
      </c>
      <c r="E299" s="1">
        <v>45938</v>
      </c>
      <c r="F299">
        <v>38514</v>
      </c>
      <c r="G299">
        <v>33282</v>
      </c>
      <c r="H299" t="s">
        <v>22</v>
      </c>
    </row>
    <row r="300" spans="1:8" x14ac:dyDescent="0.35">
      <c r="A300">
        <v>2299</v>
      </c>
      <c r="B300" t="s">
        <v>331</v>
      </c>
      <c r="C300" t="s">
        <v>24</v>
      </c>
      <c r="D300" t="s">
        <v>18</v>
      </c>
      <c r="E300" s="1">
        <v>45910</v>
      </c>
      <c r="F300">
        <v>58010</v>
      </c>
      <c r="G300">
        <v>55793</v>
      </c>
      <c r="H300" t="s">
        <v>53</v>
      </c>
    </row>
    <row r="301" spans="1:8" x14ac:dyDescent="0.35">
      <c r="A301">
        <v>2300</v>
      </c>
      <c r="B301" t="s">
        <v>332</v>
      </c>
      <c r="C301" t="s">
        <v>13</v>
      </c>
      <c r="D301" t="s">
        <v>14</v>
      </c>
      <c r="E301" s="1">
        <v>45967</v>
      </c>
      <c r="F301">
        <v>28549</v>
      </c>
      <c r="G301">
        <v>25010</v>
      </c>
      <c r="H301" t="s">
        <v>29</v>
      </c>
    </row>
    <row r="302" spans="1:8" x14ac:dyDescent="0.35">
      <c r="A302">
        <v>2301</v>
      </c>
      <c r="B302" t="s">
        <v>333</v>
      </c>
      <c r="C302" t="s">
        <v>24</v>
      </c>
      <c r="D302" t="s">
        <v>14</v>
      </c>
      <c r="E302" s="1">
        <v>45946</v>
      </c>
      <c r="F302">
        <v>42031</v>
      </c>
      <c r="G302">
        <v>34186</v>
      </c>
      <c r="H302" t="s">
        <v>22</v>
      </c>
    </row>
    <row r="303" spans="1:8" x14ac:dyDescent="0.35">
      <c r="A303">
        <v>2302</v>
      </c>
      <c r="B303" t="s">
        <v>334</v>
      </c>
      <c r="C303" t="s">
        <v>33</v>
      </c>
      <c r="D303" t="s">
        <v>37</v>
      </c>
      <c r="E303" s="1">
        <v>45821</v>
      </c>
      <c r="F303">
        <v>25185</v>
      </c>
      <c r="G303">
        <v>10953</v>
      </c>
      <c r="H303" t="s">
        <v>67</v>
      </c>
    </row>
    <row r="304" spans="1:8" x14ac:dyDescent="0.35">
      <c r="A304">
        <v>2303</v>
      </c>
      <c r="B304" t="s">
        <v>335</v>
      </c>
      <c r="C304" t="s">
        <v>24</v>
      </c>
      <c r="D304" t="s">
        <v>21</v>
      </c>
      <c r="E304" s="1">
        <v>45752</v>
      </c>
      <c r="F304">
        <v>35271</v>
      </c>
      <c r="G304">
        <v>26042</v>
      </c>
      <c r="H304" t="s">
        <v>11</v>
      </c>
    </row>
    <row r="305" spans="1:8" x14ac:dyDescent="0.35">
      <c r="A305">
        <v>2304</v>
      </c>
      <c r="B305" t="s">
        <v>336</v>
      </c>
      <c r="C305" t="s">
        <v>9</v>
      </c>
      <c r="D305" t="s">
        <v>10</v>
      </c>
      <c r="E305" s="1">
        <v>45927</v>
      </c>
      <c r="F305">
        <v>25776</v>
      </c>
      <c r="G305">
        <v>11750</v>
      </c>
      <c r="H305" t="s">
        <v>53</v>
      </c>
    </row>
    <row r="306" spans="1:8" x14ac:dyDescent="0.35">
      <c r="A306">
        <v>2305</v>
      </c>
      <c r="B306" t="s">
        <v>337</v>
      </c>
      <c r="C306" t="s">
        <v>24</v>
      </c>
      <c r="D306" t="s">
        <v>14</v>
      </c>
      <c r="E306" s="1">
        <v>45978</v>
      </c>
      <c r="F306">
        <v>32449</v>
      </c>
      <c r="G306">
        <v>28066</v>
      </c>
      <c r="H306" t="s">
        <v>29</v>
      </c>
    </row>
    <row r="307" spans="1:8" x14ac:dyDescent="0.35">
      <c r="A307">
        <v>2306</v>
      </c>
      <c r="B307" t="s">
        <v>338</v>
      </c>
      <c r="C307" t="s">
        <v>13</v>
      </c>
      <c r="D307" t="s">
        <v>27</v>
      </c>
      <c r="E307" s="1">
        <v>45767</v>
      </c>
      <c r="F307">
        <v>44297</v>
      </c>
      <c r="G307">
        <v>32127</v>
      </c>
      <c r="H307" t="s">
        <v>11</v>
      </c>
    </row>
    <row r="308" spans="1:8" x14ac:dyDescent="0.35">
      <c r="A308">
        <v>2307</v>
      </c>
      <c r="B308" t="s">
        <v>339</v>
      </c>
      <c r="C308" t="s">
        <v>9</v>
      </c>
      <c r="D308" t="s">
        <v>27</v>
      </c>
      <c r="E308" s="1">
        <v>45993</v>
      </c>
      <c r="F308">
        <v>35717</v>
      </c>
      <c r="G308">
        <v>21193</v>
      </c>
      <c r="H308" t="s">
        <v>25</v>
      </c>
    </row>
    <row r="309" spans="1:8" x14ac:dyDescent="0.35">
      <c r="A309">
        <v>2308</v>
      </c>
      <c r="B309" t="s">
        <v>340</v>
      </c>
      <c r="C309" t="s">
        <v>13</v>
      </c>
      <c r="D309" t="s">
        <v>14</v>
      </c>
      <c r="E309" s="1">
        <v>45967</v>
      </c>
      <c r="F309">
        <v>59233</v>
      </c>
      <c r="G309">
        <v>56272</v>
      </c>
      <c r="H309" t="s">
        <v>29</v>
      </c>
    </row>
    <row r="310" spans="1:8" x14ac:dyDescent="0.35">
      <c r="A310">
        <v>2309</v>
      </c>
      <c r="B310" t="s">
        <v>341</v>
      </c>
      <c r="C310" t="s">
        <v>56</v>
      </c>
      <c r="D310" t="s">
        <v>21</v>
      </c>
      <c r="E310" s="1">
        <v>45895</v>
      </c>
      <c r="F310">
        <v>30350</v>
      </c>
      <c r="G310">
        <v>27124</v>
      </c>
      <c r="H310" t="s">
        <v>38</v>
      </c>
    </row>
    <row r="311" spans="1:8" x14ac:dyDescent="0.35">
      <c r="A311">
        <v>2310</v>
      </c>
      <c r="B311" t="s">
        <v>342</v>
      </c>
      <c r="C311" t="s">
        <v>56</v>
      </c>
      <c r="D311" t="s">
        <v>21</v>
      </c>
      <c r="E311" s="1">
        <v>45682</v>
      </c>
      <c r="F311">
        <v>50622</v>
      </c>
      <c r="G311">
        <v>36744</v>
      </c>
      <c r="H311" t="s">
        <v>15</v>
      </c>
    </row>
    <row r="312" spans="1:8" x14ac:dyDescent="0.35">
      <c r="A312">
        <v>2311</v>
      </c>
      <c r="B312" t="s">
        <v>343</v>
      </c>
      <c r="C312" t="s">
        <v>9</v>
      </c>
      <c r="D312" t="s">
        <v>18</v>
      </c>
      <c r="E312" s="1">
        <v>45798</v>
      </c>
      <c r="F312">
        <v>55323</v>
      </c>
      <c r="G312">
        <v>48486</v>
      </c>
      <c r="H312" t="s">
        <v>31</v>
      </c>
    </row>
    <row r="313" spans="1:8" x14ac:dyDescent="0.35">
      <c r="A313">
        <v>2312</v>
      </c>
      <c r="B313" t="s">
        <v>344</v>
      </c>
      <c r="C313" t="s">
        <v>33</v>
      </c>
      <c r="D313" t="s">
        <v>27</v>
      </c>
      <c r="E313" s="1">
        <v>45774</v>
      </c>
      <c r="F313">
        <v>22951</v>
      </c>
      <c r="G313">
        <v>8918</v>
      </c>
      <c r="H313" t="s">
        <v>11</v>
      </c>
    </row>
    <row r="314" spans="1:8" x14ac:dyDescent="0.35">
      <c r="A314">
        <v>2313</v>
      </c>
      <c r="B314" t="s">
        <v>345</v>
      </c>
      <c r="C314" t="s">
        <v>56</v>
      </c>
      <c r="D314" t="s">
        <v>18</v>
      </c>
      <c r="E314" s="1">
        <v>45682</v>
      </c>
      <c r="F314">
        <v>37622</v>
      </c>
      <c r="G314">
        <v>30591</v>
      </c>
      <c r="H314" t="s">
        <v>15</v>
      </c>
    </row>
    <row r="315" spans="1:8" x14ac:dyDescent="0.35">
      <c r="A315">
        <v>2314</v>
      </c>
      <c r="B315" t="s">
        <v>346</v>
      </c>
      <c r="C315" t="s">
        <v>24</v>
      </c>
      <c r="D315" t="s">
        <v>27</v>
      </c>
      <c r="E315" s="1">
        <v>45736</v>
      </c>
      <c r="F315">
        <v>24727</v>
      </c>
      <c r="G315">
        <v>9921</v>
      </c>
      <c r="H315" t="s">
        <v>19</v>
      </c>
    </row>
    <row r="316" spans="1:8" x14ac:dyDescent="0.35">
      <c r="A316">
        <v>2315</v>
      </c>
      <c r="B316" t="s">
        <v>347</v>
      </c>
      <c r="C316" t="s">
        <v>13</v>
      </c>
      <c r="D316" t="s">
        <v>10</v>
      </c>
      <c r="E316" s="1">
        <v>45725</v>
      </c>
      <c r="F316">
        <v>58454</v>
      </c>
      <c r="G316">
        <v>49164</v>
      </c>
      <c r="H316" t="s">
        <v>19</v>
      </c>
    </row>
    <row r="317" spans="1:8" x14ac:dyDescent="0.35">
      <c r="A317">
        <v>2316</v>
      </c>
      <c r="B317" t="s">
        <v>348</v>
      </c>
      <c r="C317" t="s">
        <v>56</v>
      </c>
      <c r="D317" t="s">
        <v>10</v>
      </c>
      <c r="E317" s="1">
        <v>45830</v>
      </c>
      <c r="F317">
        <v>56469</v>
      </c>
      <c r="G317">
        <v>45953</v>
      </c>
      <c r="H317" t="s">
        <v>67</v>
      </c>
    </row>
    <row r="318" spans="1:8" x14ac:dyDescent="0.35">
      <c r="A318">
        <v>2317</v>
      </c>
      <c r="B318" t="s">
        <v>349</v>
      </c>
      <c r="C318" t="s">
        <v>56</v>
      </c>
      <c r="D318" t="s">
        <v>37</v>
      </c>
      <c r="E318" s="1">
        <v>45669</v>
      </c>
      <c r="F318">
        <v>55548</v>
      </c>
      <c r="G318">
        <v>46417</v>
      </c>
      <c r="H318" t="s">
        <v>15</v>
      </c>
    </row>
    <row r="319" spans="1:8" x14ac:dyDescent="0.35">
      <c r="A319">
        <v>2318</v>
      </c>
      <c r="B319" t="s">
        <v>350</v>
      </c>
      <c r="C319" t="s">
        <v>33</v>
      </c>
      <c r="D319" t="s">
        <v>18</v>
      </c>
      <c r="E319" s="1">
        <v>45945</v>
      </c>
      <c r="F319">
        <v>43782</v>
      </c>
      <c r="G319">
        <v>40066</v>
      </c>
      <c r="H319" t="s">
        <v>22</v>
      </c>
    </row>
    <row r="320" spans="1:8" x14ac:dyDescent="0.35">
      <c r="A320">
        <v>2319</v>
      </c>
      <c r="B320" t="s">
        <v>351</v>
      </c>
      <c r="C320" t="s">
        <v>9</v>
      </c>
      <c r="D320" t="s">
        <v>14</v>
      </c>
      <c r="E320" s="1">
        <v>45785</v>
      </c>
      <c r="F320">
        <v>48454</v>
      </c>
      <c r="G320">
        <v>45040</v>
      </c>
      <c r="H320" t="s">
        <v>31</v>
      </c>
    </row>
    <row r="321" spans="1:8" x14ac:dyDescent="0.35">
      <c r="A321">
        <v>2320</v>
      </c>
      <c r="B321" t="s">
        <v>352</v>
      </c>
      <c r="C321" t="s">
        <v>9</v>
      </c>
      <c r="D321" t="s">
        <v>18</v>
      </c>
      <c r="E321" s="1">
        <v>45753</v>
      </c>
      <c r="F321">
        <v>22368</v>
      </c>
      <c r="G321">
        <v>20920</v>
      </c>
      <c r="H321" t="s">
        <v>11</v>
      </c>
    </row>
    <row r="322" spans="1:8" x14ac:dyDescent="0.35">
      <c r="A322">
        <v>2321</v>
      </c>
      <c r="B322" t="s">
        <v>353</v>
      </c>
      <c r="C322" t="s">
        <v>45</v>
      </c>
      <c r="D322" t="s">
        <v>14</v>
      </c>
      <c r="E322" s="1">
        <v>45749</v>
      </c>
      <c r="F322">
        <v>35592</v>
      </c>
      <c r="G322">
        <v>35022</v>
      </c>
      <c r="H322" t="s">
        <v>11</v>
      </c>
    </row>
    <row r="323" spans="1:8" x14ac:dyDescent="0.35">
      <c r="A323">
        <v>2322</v>
      </c>
      <c r="B323" t="s">
        <v>354</v>
      </c>
      <c r="C323" t="s">
        <v>33</v>
      </c>
      <c r="D323" t="s">
        <v>21</v>
      </c>
      <c r="E323" s="1">
        <v>45798</v>
      </c>
      <c r="F323">
        <v>42173</v>
      </c>
      <c r="G323">
        <v>39269</v>
      </c>
      <c r="H323" t="s">
        <v>31</v>
      </c>
    </row>
    <row r="324" spans="1:8" x14ac:dyDescent="0.35">
      <c r="A324">
        <v>2323</v>
      </c>
      <c r="B324" t="s">
        <v>355</v>
      </c>
      <c r="C324" t="s">
        <v>24</v>
      </c>
      <c r="D324" t="s">
        <v>18</v>
      </c>
      <c r="E324" s="1">
        <v>45688</v>
      </c>
      <c r="F324">
        <v>53204</v>
      </c>
      <c r="G324">
        <v>39916</v>
      </c>
      <c r="H324" t="s">
        <v>15</v>
      </c>
    </row>
    <row r="325" spans="1:8" x14ac:dyDescent="0.35">
      <c r="A325">
        <v>2324</v>
      </c>
      <c r="B325" t="s">
        <v>356</v>
      </c>
      <c r="C325" t="s">
        <v>9</v>
      </c>
      <c r="D325" t="s">
        <v>21</v>
      </c>
      <c r="E325" s="1">
        <v>45991</v>
      </c>
      <c r="F325">
        <v>55596</v>
      </c>
      <c r="G325">
        <v>42103</v>
      </c>
      <c r="H325" t="s">
        <v>29</v>
      </c>
    </row>
    <row r="326" spans="1:8" x14ac:dyDescent="0.35">
      <c r="A326">
        <v>2325</v>
      </c>
      <c r="B326" t="s">
        <v>357</v>
      </c>
      <c r="C326" t="s">
        <v>13</v>
      </c>
      <c r="D326" t="s">
        <v>10</v>
      </c>
      <c r="E326" s="1">
        <v>45677</v>
      </c>
      <c r="F326">
        <v>54324</v>
      </c>
      <c r="G326">
        <v>51819</v>
      </c>
      <c r="H326" t="s">
        <v>15</v>
      </c>
    </row>
    <row r="327" spans="1:8" x14ac:dyDescent="0.35">
      <c r="A327">
        <v>2326</v>
      </c>
      <c r="B327" t="s">
        <v>358</v>
      </c>
      <c r="C327" t="s">
        <v>33</v>
      </c>
      <c r="D327" t="s">
        <v>10</v>
      </c>
      <c r="E327" s="1">
        <v>45803</v>
      </c>
      <c r="F327">
        <v>43864</v>
      </c>
      <c r="G327">
        <v>42947</v>
      </c>
      <c r="H327" t="s">
        <v>31</v>
      </c>
    </row>
    <row r="328" spans="1:8" x14ac:dyDescent="0.35">
      <c r="A328">
        <v>2327</v>
      </c>
      <c r="B328" t="s">
        <v>359</v>
      </c>
      <c r="C328" t="s">
        <v>56</v>
      </c>
      <c r="D328" t="s">
        <v>37</v>
      </c>
      <c r="E328" s="1">
        <v>45973</v>
      </c>
      <c r="F328">
        <v>50750</v>
      </c>
      <c r="G328">
        <v>40684</v>
      </c>
      <c r="H328" t="s">
        <v>29</v>
      </c>
    </row>
    <row r="329" spans="1:8" x14ac:dyDescent="0.35">
      <c r="A329">
        <v>2328</v>
      </c>
      <c r="B329" t="s">
        <v>360</v>
      </c>
      <c r="C329" t="s">
        <v>13</v>
      </c>
      <c r="D329" t="s">
        <v>18</v>
      </c>
      <c r="E329" s="1">
        <v>45817</v>
      </c>
      <c r="F329">
        <v>30576</v>
      </c>
      <c r="G329">
        <v>17456</v>
      </c>
      <c r="H329" t="s">
        <v>67</v>
      </c>
    </row>
    <row r="330" spans="1:8" x14ac:dyDescent="0.35">
      <c r="A330">
        <v>2329</v>
      </c>
      <c r="B330" t="s">
        <v>361</v>
      </c>
      <c r="C330" t="s">
        <v>13</v>
      </c>
      <c r="D330" t="s">
        <v>21</v>
      </c>
      <c r="E330" s="1">
        <v>46006</v>
      </c>
      <c r="F330">
        <v>36566</v>
      </c>
      <c r="G330">
        <v>29584</v>
      </c>
      <c r="H330" t="s">
        <v>25</v>
      </c>
    </row>
    <row r="331" spans="1:8" x14ac:dyDescent="0.35">
      <c r="A331">
        <v>2330</v>
      </c>
      <c r="B331" t="s">
        <v>362</v>
      </c>
      <c r="C331" t="s">
        <v>56</v>
      </c>
      <c r="D331" t="s">
        <v>14</v>
      </c>
      <c r="E331" s="1">
        <v>45700</v>
      </c>
      <c r="F331">
        <v>27190</v>
      </c>
      <c r="G331">
        <v>19763</v>
      </c>
      <c r="H331" t="s">
        <v>77</v>
      </c>
    </row>
    <row r="332" spans="1:8" x14ac:dyDescent="0.35">
      <c r="A332">
        <v>2331</v>
      </c>
      <c r="B332" t="s">
        <v>363</v>
      </c>
      <c r="C332" t="s">
        <v>33</v>
      </c>
      <c r="D332" t="s">
        <v>10</v>
      </c>
      <c r="E332" s="1">
        <v>45911</v>
      </c>
      <c r="F332">
        <v>43071</v>
      </c>
      <c r="G332">
        <v>36735</v>
      </c>
      <c r="H332" t="s">
        <v>53</v>
      </c>
    </row>
    <row r="333" spans="1:8" x14ac:dyDescent="0.35">
      <c r="A333">
        <v>2332</v>
      </c>
      <c r="B333" t="s">
        <v>364</v>
      </c>
      <c r="C333" t="s">
        <v>56</v>
      </c>
      <c r="D333" t="s">
        <v>10</v>
      </c>
      <c r="E333" s="1">
        <v>45787</v>
      </c>
      <c r="F333">
        <v>58333</v>
      </c>
      <c r="G333">
        <v>56655</v>
      </c>
      <c r="H333" t="s">
        <v>31</v>
      </c>
    </row>
    <row r="334" spans="1:8" x14ac:dyDescent="0.35">
      <c r="A334">
        <v>2333</v>
      </c>
      <c r="B334" t="s">
        <v>365</v>
      </c>
      <c r="C334" t="s">
        <v>45</v>
      </c>
      <c r="D334" t="s">
        <v>14</v>
      </c>
      <c r="E334" s="1">
        <v>45717</v>
      </c>
      <c r="F334">
        <v>35369</v>
      </c>
      <c r="G334">
        <v>34754</v>
      </c>
      <c r="H334" t="s">
        <v>19</v>
      </c>
    </row>
    <row r="335" spans="1:8" x14ac:dyDescent="0.35">
      <c r="A335">
        <v>2334</v>
      </c>
      <c r="B335" t="s">
        <v>366</v>
      </c>
      <c r="C335" t="s">
        <v>13</v>
      </c>
      <c r="D335" t="s">
        <v>21</v>
      </c>
      <c r="E335" s="1">
        <v>45808</v>
      </c>
      <c r="F335">
        <v>44035</v>
      </c>
      <c r="G335">
        <v>31342</v>
      </c>
      <c r="H335" t="s">
        <v>31</v>
      </c>
    </row>
    <row r="336" spans="1:8" x14ac:dyDescent="0.35">
      <c r="A336">
        <v>2335</v>
      </c>
      <c r="B336" t="s">
        <v>367</v>
      </c>
      <c r="C336" t="s">
        <v>17</v>
      </c>
      <c r="D336" t="s">
        <v>21</v>
      </c>
      <c r="E336" s="1">
        <v>45944</v>
      </c>
      <c r="F336">
        <v>21589</v>
      </c>
      <c r="G336">
        <v>11648</v>
      </c>
      <c r="H336" t="s">
        <v>22</v>
      </c>
    </row>
    <row r="337" spans="1:8" x14ac:dyDescent="0.35">
      <c r="A337">
        <v>2336</v>
      </c>
      <c r="B337" t="s">
        <v>368</v>
      </c>
      <c r="C337" t="s">
        <v>17</v>
      </c>
      <c r="D337" t="s">
        <v>18</v>
      </c>
      <c r="E337" s="1">
        <v>45662</v>
      </c>
      <c r="F337">
        <v>45235</v>
      </c>
      <c r="G337">
        <v>33218</v>
      </c>
      <c r="H337" t="s">
        <v>15</v>
      </c>
    </row>
    <row r="338" spans="1:8" x14ac:dyDescent="0.35">
      <c r="A338">
        <v>2337</v>
      </c>
      <c r="B338" t="s">
        <v>369</v>
      </c>
      <c r="C338" t="s">
        <v>24</v>
      </c>
      <c r="D338" t="s">
        <v>18</v>
      </c>
      <c r="E338" s="1">
        <v>45923</v>
      </c>
      <c r="F338">
        <v>20159</v>
      </c>
      <c r="G338">
        <v>13073</v>
      </c>
      <c r="H338" t="s">
        <v>53</v>
      </c>
    </row>
    <row r="339" spans="1:8" x14ac:dyDescent="0.35">
      <c r="A339">
        <v>2338</v>
      </c>
      <c r="B339" t="s">
        <v>370</v>
      </c>
      <c r="C339" t="s">
        <v>9</v>
      </c>
      <c r="D339" t="s">
        <v>27</v>
      </c>
      <c r="E339" s="1">
        <v>46002</v>
      </c>
      <c r="F339">
        <v>32145</v>
      </c>
      <c r="G339">
        <v>19765</v>
      </c>
      <c r="H339" t="s">
        <v>25</v>
      </c>
    </row>
    <row r="340" spans="1:8" x14ac:dyDescent="0.35">
      <c r="A340">
        <v>2339</v>
      </c>
      <c r="B340" t="s">
        <v>371</v>
      </c>
      <c r="C340" t="s">
        <v>56</v>
      </c>
      <c r="D340" t="s">
        <v>27</v>
      </c>
      <c r="E340" s="1">
        <v>45787</v>
      </c>
      <c r="F340">
        <v>35373</v>
      </c>
      <c r="G340">
        <v>24704</v>
      </c>
      <c r="H340" t="s">
        <v>31</v>
      </c>
    </row>
    <row r="341" spans="1:8" x14ac:dyDescent="0.35">
      <c r="A341">
        <v>2340</v>
      </c>
      <c r="B341" t="s">
        <v>372</v>
      </c>
      <c r="C341" t="s">
        <v>56</v>
      </c>
      <c r="D341" t="s">
        <v>37</v>
      </c>
      <c r="E341" s="1">
        <v>45924</v>
      </c>
      <c r="F341">
        <v>51921</v>
      </c>
      <c r="G341">
        <v>47172</v>
      </c>
      <c r="H341" t="s">
        <v>53</v>
      </c>
    </row>
    <row r="342" spans="1:8" x14ac:dyDescent="0.35">
      <c r="A342">
        <v>2341</v>
      </c>
      <c r="B342" t="s">
        <v>373</v>
      </c>
      <c r="C342" t="s">
        <v>24</v>
      </c>
      <c r="D342" t="s">
        <v>10</v>
      </c>
      <c r="E342" s="1">
        <v>45835</v>
      </c>
      <c r="F342">
        <v>59323</v>
      </c>
      <c r="G342">
        <v>55818</v>
      </c>
      <c r="H342" t="s">
        <v>67</v>
      </c>
    </row>
    <row r="343" spans="1:8" x14ac:dyDescent="0.35">
      <c r="A343">
        <v>2342</v>
      </c>
      <c r="B343" t="s">
        <v>374</v>
      </c>
      <c r="C343" t="s">
        <v>24</v>
      </c>
      <c r="D343" t="s">
        <v>18</v>
      </c>
      <c r="E343" s="1">
        <v>45910</v>
      </c>
      <c r="F343">
        <v>36237</v>
      </c>
      <c r="G343">
        <v>24570</v>
      </c>
      <c r="H343" t="s">
        <v>53</v>
      </c>
    </row>
    <row r="344" spans="1:8" x14ac:dyDescent="0.35">
      <c r="A344">
        <v>2343</v>
      </c>
      <c r="B344" t="s">
        <v>375</v>
      </c>
      <c r="C344" t="s">
        <v>24</v>
      </c>
      <c r="D344" t="s">
        <v>21</v>
      </c>
      <c r="E344" s="1">
        <v>45713</v>
      </c>
      <c r="F344">
        <v>28244</v>
      </c>
      <c r="G344">
        <v>23715</v>
      </c>
      <c r="H344" t="s">
        <v>77</v>
      </c>
    </row>
    <row r="345" spans="1:8" x14ac:dyDescent="0.35">
      <c r="A345">
        <v>2344</v>
      </c>
      <c r="B345" t="s">
        <v>376</v>
      </c>
      <c r="C345" t="s">
        <v>13</v>
      </c>
      <c r="D345" t="s">
        <v>14</v>
      </c>
      <c r="E345" s="1">
        <v>45740</v>
      </c>
      <c r="F345">
        <v>34743</v>
      </c>
      <c r="G345">
        <v>33608</v>
      </c>
      <c r="H345" t="s">
        <v>19</v>
      </c>
    </row>
    <row r="346" spans="1:8" x14ac:dyDescent="0.35">
      <c r="A346">
        <v>2345</v>
      </c>
      <c r="B346" t="s">
        <v>377</v>
      </c>
      <c r="C346" t="s">
        <v>45</v>
      </c>
      <c r="D346" t="s">
        <v>21</v>
      </c>
      <c r="E346" s="1">
        <v>45756</v>
      </c>
      <c r="F346">
        <v>51566</v>
      </c>
      <c r="G346">
        <v>39374</v>
      </c>
      <c r="H346" t="s">
        <v>11</v>
      </c>
    </row>
    <row r="347" spans="1:8" x14ac:dyDescent="0.35">
      <c r="A347">
        <v>2346</v>
      </c>
      <c r="B347" t="s">
        <v>378</v>
      </c>
      <c r="C347" t="s">
        <v>56</v>
      </c>
      <c r="D347" t="s">
        <v>10</v>
      </c>
      <c r="E347" s="1">
        <v>45806</v>
      </c>
      <c r="F347">
        <v>38691</v>
      </c>
      <c r="G347">
        <v>30125</v>
      </c>
      <c r="H347" t="s">
        <v>31</v>
      </c>
    </row>
    <row r="348" spans="1:8" x14ac:dyDescent="0.35">
      <c r="A348">
        <v>2347</v>
      </c>
      <c r="B348" t="s">
        <v>379</v>
      </c>
      <c r="C348" t="s">
        <v>13</v>
      </c>
      <c r="D348" t="s">
        <v>27</v>
      </c>
      <c r="E348" s="1">
        <v>45986</v>
      </c>
      <c r="F348">
        <v>53996</v>
      </c>
      <c r="G348">
        <v>46770</v>
      </c>
      <c r="H348" t="s">
        <v>29</v>
      </c>
    </row>
    <row r="349" spans="1:8" x14ac:dyDescent="0.35">
      <c r="A349">
        <v>2348</v>
      </c>
      <c r="B349" t="s">
        <v>380</v>
      </c>
      <c r="C349" t="s">
        <v>24</v>
      </c>
      <c r="D349" t="s">
        <v>21</v>
      </c>
      <c r="E349" s="1">
        <v>45813</v>
      </c>
      <c r="F349">
        <v>25590</v>
      </c>
      <c r="G349">
        <v>20428</v>
      </c>
      <c r="H349" t="s">
        <v>67</v>
      </c>
    </row>
    <row r="350" spans="1:8" x14ac:dyDescent="0.35">
      <c r="A350">
        <v>2349</v>
      </c>
      <c r="B350" t="s">
        <v>381</v>
      </c>
      <c r="C350" t="s">
        <v>56</v>
      </c>
      <c r="D350" t="s">
        <v>37</v>
      </c>
      <c r="E350" s="1">
        <v>45847</v>
      </c>
      <c r="F350">
        <v>25585</v>
      </c>
      <c r="G350">
        <v>25379</v>
      </c>
      <c r="H350" t="s">
        <v>43</v>
      </c>
    </row>
    <row r="351" spans="1:8" x14ac:dyDescent="0.35">
      <c r="A351">
        <v>2350</v>
      </c>
      <c r="B351" t="s">
        <v>382</v>
      </c>
      <c r="C351" t="s">
        <v>13</v>
      </c>
      <c r="D351" t="s">
        <v>10</v>
      </c>
      <c r="E351" s="1">
        <v>45920</v>
      </c>
      <c r="F351">
        <v>29227</v>
      </c>
      <c r="G351">
        <v>24352</v>
      </c>
      <c r="H351" t="s">
        <v>53</v>
      </c>
    </row>
    <row r="352" spans="1:8" x14ac:dyDescent="0.35">
      <c r="A352">
        <v>2351</v>
      </c>
      <c r="B352" t="s">
        <v>383</v>
      </c>
      <c r="C352" t="s">
        <v>45</v>
      </c>
      <c r="D352" t="s">
        <v>27</v>
      </c>
      <c r="E352" s="1">
        <v>45737</v>
      </c>
      <c r="F352">
        <v>48278</v>
      </c>
      <c r="G352">
        <v>46959</v>
      </c>
      <c r="H352" t="s">
        <v>19</v>
      </c>
    </row>
    <row r="353" spans="1:8" x14ac:dyDescent="0.35">
      <c r="A353">
        <v>2352</v>
      </c>
      <c r="B353" t="s">
        <v>384</v>
      </c>
      <c r="C353" t="s">
        <v>13</v>
      </c>
      <c r="D353" t="s">
        <v>14</v>
      </c>
      <c r="E353" s="1">
        <v>45909</v>
      </c>
      <c r="F353">
        <v>58814</v>
      </c>
      <c r="G353">
        <v>57673</v>
      </c>
      <c r="H353" t="s">
        <v>53</v>
      </c>
    </row>
    <row r="354" spans="1:8" x14ac:dyDescent="0.35">
      <c r="A354">
        <v>2353</v>
      </c>
      <c r="B354" t="s">
        <v>385</v>
      </c>
      <c r="C354" t="s">
        <v>45</v>
      </c>
      <c r="D354" t="s">
        <v>27</v>
      </c>
      <c r="E354" s="1">
        <v>45754</v>
      </c>
      <c r="F354">
        <v>32237</v>
      </c>
      <c r="G354">
        <v>27610</v>
      </c>
      <c r="H354" t="s">
        <v>11</v>
      </c>
    </row>
    <row r="355" spans="1:8" x14ac:dyDescent="0.35">
      <c r="A355">
        <v>2354</v>
      </c>
      <c r="B355" t="s">
        <v>386</v>
      </c>
      <c r="C355" t="s">
        <v>24</v>
      </c>
      <c r="D355" t="s">
        <v>37</v>
      </c>
      <c r="E355" s="1">
        <v>45917</v>
      </c>
      <c r="F355">
        <v>35649</v>
      </c>
      <c r="G355">
        <v>28260</v>
      </c>
      <c r="H355" t="s">
        <v>53</v>
      </c>
    </row>
    <row r="356" spans="1:8" x14ac:dyDescent="0.35">
      <c r="A356">
        <v>2355</v>
      </c>
      <c r="B356" t="s">
        <v>387</v>
      </c>
      <c r="C356" t="s">
        <v>45</v>
      </c>
      <c r="D356" t="s">
        <v>10</v>
      </c>
      <c r="E356" s="1">
        <v>45917</v>
      </c>
      <c r="F356">
        <v>57713</v>
      </c>
      <c r="G356">
        <v>43212</v>
      </c>
      <c r="H356" t="s">
        <v>53</v>
      </c>
    </row>
    <row r="357" spans="1:8" x14ac:dyDescent="0.35">
      <c r="A357">
        <v>2356</v>
      </c>
      <c r="B357" t="s">
        <v>388</v>
      </c>
      <c r="C357" t="s">
        <v>56</v>
      </c>
      <c r="D357" t="s">
        <v>14</v>
      </c>
      <c r="E357" s="1">
        <v>45760</v>
      </c>
      <c r="F357">
        <v>27927</v>
      </c>
      <c r="G357">
        <v>25237</v>
      </c>
      <c r="H357" t="s">
        <v>11</v>
      </c>
    </row>
    <row r="358" spans="1:8" x14ac:dyDescent="0.35">
      <c r="A358">
        <v>2357</v>
      </c>
      <c r="B358" t="s">
        <v>389</v>
      </c>
      <c r="C358" t="s">
        <v>24</v>
      </c>
      <c r="D358" t="s">
        <v>37</v>
      </c>
      <c r="E358" s="1">
        <v>45697</v>
      </c>
      <c r="F358">
        <v>27016</v>
      </c>
      <c r="G358">
        <v>19693</v>
      </c>
      <c r="H358" t="s">
        <v>77</v>
      </c>
    </row>
    <row r="359" spans="1:8" x14ac:dyDescent="0.35">
      <c r="A359">
        <v>2358</v>
      </c>
      <c r="B359" t="s">
        <v>390</v>
      </c>
      <c r="C359" t="s">
        <v>56</v>
      </c>
      <c r="D359" t="s">
        <v>27</v>
      </c>
      <c r="E359" s="1">
        <v>45930</v>
      </c>
      <c r="F359">
        <v>34027</v>
      </c>
      <c r="G359">
        <v>30772</v>
      </c>
      <c r="H359" t="s">
        <v>53</v>
      </c>
    </row>
    <row r="360" spans="1:8" x14ac:dyDescent="0.35">
      <c r="A360">
        <v>2359</v>
      </c>
      <c r="B360" t="s">
        <v>391</v>
      </c>
      <c r="C360" t="s">
        <v>17</v>
      </c>
      <c r="D360" t="s">
        <v>37</v>
      </c>
      <c r="E360" s="1">
        <v>45758</v>
      </c>
      <c r="F360">
        <v>44142</v>
      </c>
      <c r="G360">
        <v>35861</v>
      </c>
      <c r="H360" t="s">
        <v>11</v>
      </c>
    </row>
    <row r="361" spans="1:8" x14ac:dyDescent="0.35">
      <c r="A361">
        <v>2360</v>
      </c>
      <c r="B361" t="s">
        <v>392</v>
      </c>
      <c r="C361" t="s">
        <v>33</v>
      </c>
      <c r="D361" t="s">
        <v>10</v>
      </c>
      <c r="E361" s="1">
        <v>46016</v>
      </c>
      <c r="F361">
        <v>43545</v>
      </c>
      <c r="G361">
        <v>38332</v>
      </c>
      <c r="H361" t="s">
        <v>25</v>
      </c>
    </row>
    <row r="362" spans="1:8" x14ac:dyDescent="0.35">
      <c r="A362">
        <v>2361</v>
      </c>
      <c r="B362" t="s">
        <v>393</v>
      </c>
      <c r="C362" t="s">
        <v>45</v>
      </c>
      <c r="D362" t="s">
        <v>18</v>
      </c>
      <c r="E362" s="1">
        <v>45965</v>
      </c>
      <c r="F362">
        <v>51897</v>
      </c>
      <c r="G362">
        <v>47789</v>
      </c>
      <c r="H362" t="s">
        <v>29</v>
      </c>
    </row>
    <row r="363" spans="1:8" x14ac:dyDescent="0.35">
      <c r="A363">
        <v>2362</v>
      </c>
      <c r="B363" t="s">
        <v>394</v>
      </c>
      <c r="C363" t="s">
        <v>33</v>
      </c>
      <c r="D363" t="s">
        <v>37</v>
      </c>
      <c r="E363" s="1">
        <v>45878</v>
      </c>
      <c r="F363">
        <v>23167</v>
      </c>
      <c r="G363">
        <v>20147</v>
      </c>
      <c r="H363" t="s">
        <v>38</v>
      </c>
    </row>
    <row r="364" spans="1:8" x14ac:dyDescent="0.35">
      <c r="A364">
        <v>2363</v>
      </c>
      <c r="B364" t="s">
        <v>395</v>
      </c>
      <c r="C364" t="s">
        <v>33</v>
      </c>
      <c r="D364" t="s">
        <v>37</v>
      </c>
      <c r="E364" s="1">
        <v>45965</v>
      </c>
      <c r="F364">
        <v>46917</v>
      </c>
      <c r="G364">
        <v>45060</v>
      </c>
      <c r="H364" t="s">
        <v>29</v>
      </c>
    </row>
    <row r="365" spans="1:8" x14ac:dyDescent="0.35">
      <c r="A365">
        <v>2364</v>
      </c>
      <c r="B365" t="s">
        <v>396</v>
      </c>
      <c r="C365" t="s">
        <v>45</v>
      </c>
      <c r="D365" t="s">
        <v>27</v>
      </c>
      <c r="E365" s="1">
        <v>45781</v>
      </c>
      <c r="F365">
        <v>42736</v>
      </c>
      <c r="G365">
        <v>33740</v>
      </c>
      <c r="H365" t="s">
        <v>31</v>
      </c>
    </row>
    <row r="366" spans="1:8" x14ac:dyDescent="0.35">
      <c r="A366">
        <v>2365</v>
      </c>
      <c r="B366" t="s">
        <v>397</v>
      </c>
      <c r="C366" t="s">
        <v>24</v>
      </c>
      <c r="D366" t="s">
        <v>27</v>
      </c>
      <c r="E366" s="1">
        <v>45888</v>
      </c>
      <c r="F366">
        <v>47990</v>
      </c>
      <c r="G366">
        <v>38854</v>
      </c>
      <c r="H366" t="s">
        <v>38</v>
      </c>
    </row>
    <row r="367" spans="1:8" x14ac:dyDescent="0.35">
      <c r="A367">
        <v>2366</v>
      </c>
      <c r="B367" t="s">
        <v>398</v>
      </c>
      <c r="C367" t="s">
        <v>17</v>
      </c>
      <c r="D367" t="s">
        <v>14</v>
      </c>
      <c r="E367" s="1">
        <v>45835</v>
      </c>
      <c r="F367">
        <v>34087</v>
      </c>
      <c r="G367">
        <v>31298</v>
      </c>
      <c r="H367" t="s">
        <v>67</v>
      </c>
    </row>
    <row r="368" spans="1:8" x14ac:dyDescent="0.35">
      <c r="A368">
        <v>2367</v>
      </c>
      <c r="B368" t="s">
        <v>399</v>
      </c>
      <c r="C368" t="s">
        <v>56</v>
      </c>
      <c r="D368" t="s">
        <v>27</v>
      </c>
      <c r="E368" s="1">
        <v>45720</v>
      </c>
      <c r="F368">
        <v>42440</v>
      </c>
      <c r="G368">
        <v>28295</v>
      </c>
      <c r="H368" t="s">
        <v>19</v>
      </c>
    </row>
    <row r="369" spans="1:8" x14ac:dyDescent="0.35">
      <c r="A369">
        <v>2368</v>
      </c>
      <c r="B369" t="s">
        <v>400</v>
      </c>
      <c r="C369" t="s">
        <v>13</v>
      </c>
      <c r="D369" t="s">
        <v>21</v>
      </c>
      <c r="E369" s="1">
        <v>45773</v>
      </c>
      <c r="F369">
        <v>55205</v>
      </c>
      <c r="G369">
        <v>51330</v>
      </c>
      <c r="H369" t="s">
        <v>11</v>
      </c>
    </row>
    <row r="370" spans="1:8" x14ac:dyDescent="0.35">
      <c r="A370">
        <v>2369</v>
      </c>
      <c r="B370" t="s">
        <v>401</v>
      </c>
      <c r="C370" t="s">
        <v>56</v>
      </c>
      <c r="D370" t="s">
        <v>10</v>
      </c>
      <c r="E370" s="1">
        <v>45848</v>
      </c>
      <c r="F370">
        <v>35275</v>
      </c>
      <c r="G370">
        <v>27670</v>
      </c>
      <c r="H370" t="s">
        <v>43</v>
      </c>
    </row>
    <row r="371" spans="1:8" x14ac:dyDescent="0.35">
      <c r="A371">
        <v>2370</v>
      </c>
      <c r="B371" t="s">
        <v>402</v>
      </c>
      <c r="C371" t="s">
        <v>13</v>
      </c>
      <c r="D371" t="s">
        <v>10</v>
      </c>
      <c r="E371" s="1">
        <v>45719</v>
      </c>
      <c r="F371">
        <v>25276</v>
      </c>
      <c r="G371">
        <v>15474</v>
      </c>
      <c r="H371" t="s">
        <v>19</v>
      </c>
    </row>
    <row r="372" spans="1:8" x14ac:dyDescent="0.35">
      <c r="A372">
        <v>2371</v>
      </c>
      <c r="B372" t="s">
        <v>403</v>
      </c>
      <c r="C372" t="s">
        <v>56</v>
      </c>
      <c r="D372" t="s">
        <v>18</v>
      </c>
      <c r="E372" s="1">
        <v>45913</v>
      </c>
      <c r="F372">
        <v>57496</v>
      </c>
      <c r="G372">
        <v>49361</v>
      </c>
      <c r="H372" t="s">
        <v>53</v>
      </c>
    </row>
    <row r="373" spans="1:8" x14ac:dyDescent="0.35">
      <c r="A373">
        <v>2372</v>
      </c>
      <c r="B373" t="s">
        <v>404</v>
      </c>
      <c r="C373" t="s">
        <v>45</v>
      </c>
      <c r="D373" t="s">
        <v>18</v>
      </c>
      <c r="E373" s="1">
        <v>45664</v>
      </c>
      <c r="F373">
        <v>39008</v>
      </c>
      <c r="G373">
        <v>27893</v>
      </c>
      <c r="H373" t="s">
        <v>15</v>
      </c>
    </row>
    <row r="374" spans="1:8" x14ac:dyDescent="0.35">
      <c r="A374">
        <v>2373</v>
      </c>
      <c r="B374" t="s">
        <v>405</v>
      </c>
      <c r="C374" t="s">
        <v>17</v>
      </c>
      <c r="D374" t="s">
        <v>10</v>
      </c>
      <c r="E374" s="1">
        <v>45812</v>
      </c>
      <c r="F374">
        <v>25738</v>
      </c>
      <c r="G374">
        <v>19683</v>
      </c>
      <c r="H374" t="s">
        <v>67</v>
      </c>
    </row>
    <row r="375" spans="1:8" x14ac:dyDescent="0.35">
      <c r="A375">
        <v>2374</v>
      </c>
      <c r="B375" t="s">
        <v>406</v>
      </c>
      <c r="C375" t="s">
        <v>13</v>
      </c>
      <c r="D375" t="s">
        <v>18</v>
      </c>
      <c r="E375" s="1">
        <v>45749</v>
      </c>
      <c r="F375">
        <v>52402</v>
      </c>
      <c r="G375">
        <v>48520</v>
      </c>
      <c r="H375" t="s">
        <v>11</v>
      </c>
    </row>
    <row r="376" spans="1:8" x14ac:dyDescent="0.35">
      <c r="A376">
        <v>2375</v>
      </c>
      <c r="B376" t="s">
        <v>407</v>
      </c>
      <c r="C376" t="s">
        <v>9</v>
      </c>
      <c r="D376" t="s">
        <v>14</v>
      </c>
      <c r="E376" s="1">
        <v>45671</v>
      </c>
      <c r="F376">
        <v>25793</v>
      </c>
      <c r="G376">
        <v>14380</v>
      </c>
      <c r="H376" t="s">
        <v>15</v>
      </c>
    </row>
    <row r="377" spans="1:8" x14ac:dyDescent="0.35">
      <c r="A377">
        <v>2376</v>
      </c>
      <c r="B377" t="s">
        <v>408</v>
      </c>
      <c r="C377" t="s">
        <v>24</v>
      </c>
      <c r="D377" t="s">
        <v>27</v>
      </c>
      <c r="E377" s="1">
        <v>45886</v>
      </c>
      <c r="F377">
        <v>57291</v>
      </c>
      <c r="G377">
        <v>42296</v>
      </c>
      <c r="H377" t="s">
        <v>38</v>
      </c>
    </row>
    <row r="378" spans="1:8" x14ac:dyDescent="0.35">
      <c r="A378">
        <v>2377</v>
      </c>
      <c r="B378" t="s">
        <v>409</v>
      </c>
      <c r="C378" t="s">
        <v>56</v>
      </c>
      <c r="D378" t="s">
        <v>10</v>
      </c>
      <c r="E378" s="1">
        <v>45743</v>
      </c>
      <c r="F378">
        <v>25571</v>
      </c>
      <c r="G378">
        <v>18396</v>
      </c>
      <c r="H378" t="s">
        <v>19</v>
      </c>
    </row>
    <row r="379" spans="1:8" x14ac:dyDescent="0.35">
      <c r="A379">
        <v>2378</v>
      </c>
      <c r="B379" t="s">
        <v>410</v>
      </c>
      <c r="C379" t="s">
        <v>56</v>
      </c>
      <c r="D379" t="s">
        <v>18</v>
      </c>
      <c r="E379" s="1">
        <v>45790</v>
      </c>
      <c r="F379">
        <v>51331</v>
      </c>
      <c r="G379">
        <v>37991</v>
      </c>
      <c r="H379" t="s">
        <v>31</v>
      </c>
    </row>
    <row r="380" spans="1:8" x14ac:dyDescent="0.35">
      <c r="A380">
        <v>2379</v>
      </c>
      <c r="B380" t="s">
        <v>411</v>
      </c>
      <c r="C380" t="s">
        <v>13</v>
      </c>
      <c r="D380" t="s">
        <v>10</v>
      </c>
      <c r="E380" s="1">
        <v>45840</v>
      </c>
      <c r="F380">
        <v>36209</v>
      </c>
      <c r="G380">
        <v>23626</v>
      </c>
      <c r="H380" t="s">
        <v>43</v>
      </c>
    </row>
    <row r="381" spans="1:8" x14ac:dyDescent="0.35">
      <c r="A381">
        <v>2380</v>
      </c>
      <c r="B381" t="s">
        <v>412</v>
      </c>
      <c r="C381" t="s">
        <v>24</v>
      </c>
      <c r="D381" t="s">
        <v>21</v>
      </c>
      <c r="E381" s="1">
        <v>45719</v>
      </c>
      <c r="F381">
        <v>45394</v>
      </c>
      <c r="G381">
        <v>38265</v>
      </c>
      <c r="H381" t="s">
        <v>19</v>
      </c>
    </row>
    <row r="382" spans="1:8" x14ac:dyDescent="0.35">
      <c r="A382">
        <v>2381</v>
      </c>
      <c r="B382" t="s">
        <v>413</v>
      </c>
      <c r="C382" t="s">
        <v>24</v>
      </c>
      <c r="D382" t="s">
        <v>37</v>
      </c>
      <c r="E382" s="1">
        <v>45876</v>
      </c>
      <c r="F382">
        <v>45682</v>
      </c>
      <c r="G382">
        <v>40661</v>
      </c>
      <c r="H382" t="s">
        <v>38</v>
      </c>
    </row>
    <row r="383" spans="1:8" x14ac:dyDescent="0.35">
      <c r="A383">
        <v>2382</v>
      </c>
      <c r="B383" t="s">
        <v>414</v>
      </c>
      <c r="C383" t="s">
        <v>45</v>
      </c>
      <c r="D383" t="s">
        <v>27</v>
      </c>
      <c r="E383" s="1">
        <v>45903</v>
      </c>
      <c r="F383">
        <v>22224</v>
      </c>
      <c r="G383">
        <v>17489</v>
      </c>
      <c r="H383" t="s">
        <v>53</v>
      </c>
    </row>
    <row r="384" spans="1:8" x14ac:dyDescent="0.35">
      <c r="A384">
        <v>2383</v>
      </c>
      <c r="B384" t="s">
        <v>415</v>
      </c>
      <c r="C384" t="s">
        <v>9</v>
      </c>
      <c r="D384" t="s">
        <v>10</v>
      </c>
      <c r="E384" s="1">
        <v>45887</v>
      </c>
      <c r="F384">
        <v>52441</v>
      </c>
      <c r="G384">
        <v>50054</v>
      </c>
      <c r="H384" t="s">
        <v>38</v>
      </c>
    </row>
    <row r="385" spans="1:8" x14ac:dyDescent="0.35">
      <c r="A385">
        <v>2384</v>
      </c>
      <c r="B385" t="s">
        <v>416</v>
      </c>
      <c r="C385" t="s">
        <v>45</v>
      </c>
      <c r="D385" t="s">
        <v>37</v>
      </c>
      <c r="E385" s="1">
        <v>45736</v>
      </c>
      <c r="F385">
        <v>59129</v>
      </c>
      <c r="G385">
        <v>46214</v>
      </c>
      <c r="H385" t="s">
        <v>19</v>
      </c>
    </row>
    <row r="386" spans="1:8" x14ac:dyDescent="0.35">
      <c r="A386">
        <v>2385</v>
      </c>
      <c r="B386" t="s">
        <v>417</v>
      </c>
      <c r="C386" t="s">
        <v>45</v>
      </c>
      <c r="D386" t="s">
        <v>18</v>
      </c>
      <c r="E386" s="1">
        <v>45806</v>
      </c>
      <c r="F386">
        <v>54716</v>
      </c>
      <c r="G386">
        <v>48134</v>
      </c>
      <c r="H386" t="s">
        <v>31</v>
      </c>
    </row>
    <row r="387" spans="1:8" x14ac:dyDescent="0.35">
      <c r="A387">
        <v>2386</v>
      </c>
      <c r="B387" t="s">
        <v>418</v>
      </c>
      <c r="C387" t="s">
        <v>45</v>
      </c>
      <c r="D387" t="s">
        <v>37</v>
      </c>
      <c r="E387" s="1">
        <v>45795</v>
      </c>
      <c r="F387">
        <v>46586</v>
      </c>
      <c r="G387">
        <v>33131</v>
      </c>
      <c r="H387" t="s">
        <v>31</v>
      </c>
    </row>
    <row r="388" spans="1:8" x14ac:dyDescent="0.35">
      <c r="A388">
        <v>2387</v>
      </c>
      <c r="B388" t="s">
        <v>419</v>
      </c>
      <c r="C388" t="s">
        <v>45</v>
      </c>
      <c r="D388" t="s">
        <v>27</v>
      </c>
      <c r="E388" s="1">
        <v>45971</v>
      </c>
      <c r="F388">
        <v>43478</v>
      </c>
      <c r="G388">
        <v>34345</v>
      </c>
      <c r="H388" t="s">
        <v>29</v>
      </c>
    </row>
    <row r="389" spans="1:8" x14ac:dyDescent="0.35">
      <c r="A389">
        <v>2388</v>
      </c>
      <c r="B389" t="s">
        <v>420</v>
      </c>
      <c r="C389" t="s">
        <v>45</v>
      </c>
      <c r="D389" t="s">
        <v>10</v>
      </c>
      <c r="E389" s="1">
        <v>45722</v>
      </c>
      <c r="F389">
        <v>26318</v>
      </c>
      <c r="G389">
        <v>13201</v>
      </c>
      <c r="H389" t="s">
        <v>19</v>
      </c>
    </row>
    <row r="390" spans="1:8" x14ac:dyDescent="0.35">
      <c r="A390">
        <v>2389</v>
      </c>
      <c r="B390" t="s">
        <v>421</v>
      </c>
      <c r="C390" t="s">
        <v>17</v>
      </c>
      <c r="D390" t="s">
        <v>21</v>
      </c>
      <c r="E390" s="1">
        <v>45670</v>
      </c>
      <c r="F390">
        <v>48694</v>
      </c>
      <c r="G390">
        <v>42828</v>
      </c>
      <c r="H390" t="s">
        <v>15</v>
      </c>
    </row>
    <row r="391" spans="1:8" x14ac:dyDescent="0.35">
      <c r="A391">
        <v>2390</v>
      </c>
      <c r="B391" t="s">
        <v>422</v>
      </c>
      <c r="C391" t="s">
        <v>24</v>
      </c>
      <c r="D391" t="s">
        <v>18</v>
      </c>
      <c r="E391" s="1">
        <v>45870</v>
      </c>
      <c r="F391">
        <v>40180</v>
      </c>
      <c r="G391">
        <v>37614</v>
      </c>
      <c r="H391" t="s">
        <v>38</v>
      </c>
    </row>
    <row r="392" spans="1:8" x14ac:dyDescent="0.35">
      <c r="A392">
        <v>2391</v>
      </c>
      <c r="B392" t="s">
        <v>423</v>
      </c>
      <c r="C392" t="s">
        <v>45</v>
      </c>
      <c r="D392" t="s">
        <v>10</v>
      </c>
      <c r="E392" s="1">
        <v>45899</v>
      </c>
      <c r="F392">
        <v>32180</v>
      </c>
      <c r="G392">
        <v>31205</v>
      </c>
      <c r="H392" t="s">
        <v>38</v>
      </c>
    </row>
    <row r="393" spans="1:8" x14ac:dyDescent="0.35">
      <c r="A393">
        <v>2392</v>
      </c>
      <c r="B393" t="s">
        <v>424</v>
      </c>
      <c r="C393" t="s">
        <v>24</v>
      </c>
      <c r="D393" t="s">
        <v>27</v>
      </c>
      <c r="E393" s="1">
        <v>45870</v>
      </c>
      <c r="F393">
        <v>53002</v>
      </c>
      <c r="G393">
        <v>45790</v>
      </c>
      <c r="H393" t="s">
        <v>38</v>
      </c>
    </row>
    <row r="394" spans="1:8" x14ac:dyDescent="0.35">
      <c r="A394">
        <v>2393</v>
      </c>
      <c r="B394" t="s">
        <v>425</v>
      </c>
      <c r="C394" t="s">
        <v>24</v>
      </c>
      <c r="D394" t="s">
        <v>18</v>
      </c>
      <c r="E394" s="1">
        <v>45838</v>
      </c>
      <c r="F394">
        <v>35372</v>
      </c>
      <c r="G394">
        <v>26226</v>
      </c>
      <c r="H394" t="s">
        <v>67</v>
      </c>
    </row>
    <row r="395" spans="1:8" x14ac:dyDescent="0.35">
      <c r="A395">
        <v>2394</v>
      </c>
      <c r="B395" t="s">
        <v>426</v>
      </c>
      <c r="C395" t="s">
        <v>33</v>
      </c>
      <c r="D395" t="s">
        <v>14</v>
      </c>
      <c r="E395" s="1">
        <v>45995</v>
      </c>
      <c r="F395">
        <v>49796</v>
      </c>
      <c r="G395">
        <v>48534</v>
      </c>
      <c r="H395" t="s">
        <v>25</v>
      </c>
    </row>
    <row r="396" spans="1:8" x14ac:dyDescent="0.35">
      <c r="A396">
        <v>2395</v>
      </c>
      <c r="B396" t="s">
        <v>427</v>
      </c>
      <c r="C396" t="s">
        <v>17</v>
      </c>
      <c r="D396" t="s">
        <v>37</v>
      </c>
      <c r="E396" s="1">
        <v>45830</v>
      </c>
      <c r="F396">
        <v>44427</v>
      </c>
      <c r="G396">
        <v>39380</v>
      </c>
      <c r="H396" t="s">
        <v>67</v>
      </c>
    </row>
    <row r="397" spans="1:8" x14ac:dyDescent="0.35">
      <c r="A397">
        <v>2396</v>
      </c>
      <c r="B397" t="s">
        <v>428</v>
      </c>
      <c r="C397" t="s">
        <v>45</v>
      </c>
      <c r="D397" t="s">
        <v>27</v>
      </c>
      <c r="E397" s="1">
        <v>45817</v>
      </c>
      <c r="F397">
        <v>53290</v>
      </c>
      <c r="G397">
        <v>44155</v>
      </c>
      <c r="H397" t="s">
        <v>67</v>
      </c>
    </row>
    <row r="398" spans="1:8" x14ac:dyDescent="0.35">
      <c r="A398">
        <v>2397</v>
      </c>
      <c r="B398" t="s">
        <v>429</v>
      </c>
      <c r="C398" t="s">
        <v>56</v>
      </c>
      <c r="D398" t="s">
        <v>14</v>
      </c>
      <c r="E398" s="1">
        <v>45821</v>
      </c>
      <c r="F398">
        <v>48099</v>
      </c>
      <c r="G398">
        <v>37705</v>
      </c>
      <c r="H398" t="s">
        <v>67</v>
      </c>
    </row>
    <row r="399" spans="1:8" x14ac:dyDescent="0.35">
      <c r="A399">
        <v>2398</v>
      </c>
      <c r="B399" t="s">
        <v>430</v>
      </c>
      <c r="C399" t="s">
        <v>13</v>
      </c>
      <c r="D399" t="s">
        <v>10</v>
      </c>
      <c r="E399" s="1">
        <v>45845</v>
      </c>
      <c r="F399">
        <v>29821</v>
      </c>
      <c r="G399">
        <v>16329</v>
      </c>
      <c r="H399" t="s">
        <v>43</v>
      </c>
    </row>
    <row r="400" spans="1:8" x14ac:dyDescent="0.35">
      <c r="A400">
        <v>2399</v>
      </c>
      <c r="B400" t="s">
        <v>431</v>
      </c>
      <c r="C400" t="s">
        <v>9</v>
      </c>
      <c r="D400" t="s">
        <v>21</v>
      </c>
      <c r="E400" s="1">
        <v>45848</v>
      </c>
      <c r="F400">
        <v>25832</v>
      </c>
      <c r="G400">
        <v>18450</v>
      </c>
      <c r="H400" t="s">
        <v>43</v>
      </c>
    </row>
    <row r="401" spans="1:8" x14ac:dyDescent="0.35">
      <c r="A401">
        <v>2400</v>
      </c>
      <c r="B401" t="s">
        <v>432</v>
      </c>
      <c r="C401" t="s">
        <v>56</v>
      </c>
      <c r="D401" t="s">
        <v>18</v>
      </c>
      <c r="E401" s="1">
        <v>45965</v>
      </c>
      <c r="F401">
        <v>32820</v>
      </c>
      <c r="G401">
        <v>26589</v>
      </c>
      <c r="H401" t="s">
        <v>29</v>
      </c>
    </row>
    <row r="402" spans="1:8" x14ac:dyDescent="0.35">
      <c r="A402">
        <v>2401</v>
      </c>
      <c r="B402" t="s">
        <v>433</v>
      </c>
      <c r="C402" t="s">
        <v>17</v>
      </c>
      <c r="D402" t="s">
        <v>37</v>
      </c>
      <c r="E402" s="1">
        <v>45913</v>
      </c>
      <c r="F402">
        <v>36211</v>
      </c>
      <c r="G402">
        <v>32884</v>
      </c>
      <c r="H402" t="s">
        <v>53</v>
      </c>
    </row>
    <row r="403" spans="1:8" x14ac:dyDescent="0.35">
      <c r="A403">
        <v>2402</v>
      </c>
      <c r="B403" t="s">
        <v>434</v>
      </c>
      <c r="C403" t="s">
        <v>13</v>
      </c>
      <c r="D403" t="s">
        <v>18</v>
      </c>
      <c r="E403" s="1">
        <v>45840</v>
      </c>
      <c r="F403">
        <v>59890</v>
      </c>
      <c r="G403">
        <v>54260</v>
      </c>
      <c r="H403" t="s">
        <v>43</v>
      </c>
    </row>
    <row r="404" spans="1:8" x14ac:dyDescent="0.35">
      <c r="A404">
        <v>2403</v>
      </c>
      <c r="B404" t="s">
        <v>435</v>
      </c>
      <c r="C404" t="s">
        <v>17</v>
      </c>
      <c r="D404" t="s">
        <v>10</v>
      </c>
      <c r="E404" s="1">
        <v>45774</v>
      </c>
      <c r="F404">
        <v>25842</v>
      </c>
      <c r="G404">
        <v>12458</v>
      </c>
      <c r="H404" t="s">
        <v>11</v>
      </c>
    </row>
    <row r="405" spans="1:8" x14ac:dyDescent="0.35">
      <c r="A405">
        <v>2404</v>
      </c>
      <c r="B405" t="s">
        <v>436</v>
      </c>
      <c r="C405" t="s">
        <v>24</v>
      </c>
      <c r="D405" t="s">
        <v>18</v>
      </c>
      <c r="E405" s="1">
        <v>45939</v>
      </c>
      <c r="F405">
        <v>21316</v>
      </c>
      <c r="G405">
        <v>8850</v>
      </c>
      <c r="H405" t="s">
        <v>22</v>
      </c>
    </row>
    <row r="406" spans="1:8" x14ac:dyDescent="0.35">
      <c r="A406">
        <v>2405</v>
      </c>
      <c r="B406" t="s">
        <v>437</v>
      </c>
      <c r="C406" t="s">
        <v>13</v>
      </c>
      <c r="D406" t="s">
        <v>37</v>
      </c>
      <c r="E406" s="1">
        <v>45853</v>
      </c>
      <c r="F406">
        <v>37508</v>
      </c>
      <c r="G406">
        <v>35249</v>
      </c>
      <c r="H406" t="s">
        <v>43</v>
      </c>
    </row>
    <row r="407" spans="1:8" x14ac:dyDescent="0.35">
      <c r="A407">
        <v>2406</v>
      </c>
      <c r="B407" t="s">
        <v>438</v>
      </c>
      <c r="C407" t="s">
        <v>24</v>
      </c>
      <c r="D407" t="s">
        <v>10</v>
      </c>
      <c r="E407" s="1">
        <v>45691</v>
      </c>
      <c r="F407">
        <v>42005</v>
      </c>
      <c r="G407">
        <v>31985</v>
      </c>
      <c r="H407" t="s">
        <v>77</v>
      </c>
    </row>
    <row r="408" spans="1:8" x14ac:dyDescent="0.35">
      <c r="A408">
        <v>2407</v>
      </c>
      <c r="B408" t="s">
        <v>439</v>
      </c>
      <c r="C408" t="s">
        <v>56</v>
      </c>
      <c r="D408" t="s">
        <v>18</v>
      </c>
      <c r="E408" s="1">
        <v>45709</v>
      </c>
      <c r="F408">
        <v>35206</v>
      </c>
      <c r="G408">
        <v>33949</v>
      </c>
      <c r="H408" t="s">
        <v>77</v>
      </c>
    </row>
    <row r="409" spans="1:8" x14ac:dyDescent="0.35">
      <c r="A409">
        <v>2408</v>
      </c>
      <c r="B409" t="s">
        <v>440</v>
      </c>
      <c r="C409" t="s">
        <v>56</v>
      </c>
      <c r="D409" t="s">
        <v>21</v>
      </c>
      <c r="E409" s="1">
        <v>45769</v>
      </c>
      <c r="F409">
        <v>38971</v>
      </c>
      <c r="G409">
        <v>38507</v>
      </c>
      <c r="H409" t="s">
        <v>11</v>
      </c>
    </row>
    <row r="410" spans="1:8" x14ac:dyDescent="0.35">
      <c r="A410">
        <v>2409</v>
      </c>
      <c r="B410" t="s">
        <v>441</v>
      </c>
      <c r="C410" t="s">
        <v>13</v>
      </c>
      <c r="D410" t="s">
        <v>27</v>
      </c>
      <c r="E410" s="1">
        <v>45909</v>
      </c>
      <c r="F410">
        <v>45599</v>
      </c>
      <c r="G410">
        <v>31537</v>
      </c>
      <c r="H410" t="s">
        <v>53</v>
      </c>
    </row>
    <row r="411" spans="1:8" x14ac:dyDescent="0.35">
      <c r="A411">
        <v>2410</v>
      </c>
      <c r="B411" t="s">
        <v>442</v>
      </c>
      <c r="C411" t="s">
        <v>13</v>
      </c>
      <c r="D411" t="s">
        <v>10</v>
      </c>
      <c r="E411" s="1">
        <v>45739</v>
      </c>
      <c r="F411">
        <v>42056</v>
      </c>
      <c r="G411">
        <v>38762</v>
      </c>
      <c r="H411" t="s">
        <v>19</v>
      </c>
    </row>
    <row r="412" spans="1:8" x14ac:dyDescent="0.35">
      <c r="A412">
        <v>2411</v>
      </c>
      <c r="B412" t="s">
        <v>443</v>
      </c>
      <c r="C412" t="s">
        <v>45</v>
      </c>
      <c r="D412" t="s">
        <v>27</v>
      </c>
      <c r="E412" s="1">
        <v>45889</v>
      </c>
      <c r="F412">
        <v>21378</v>
      </c>
      <c r="G412">
        <v>14604</v>
      </c>
      <c r="H412" t="s">
        <v>38</v>
      </c>
    </row>
    <row r="413" spans="1:8" x14ac:dyDescent="0.35">
      <c r="A413">
        <v>2412</v>
      </c>
      <c r="B413" t="s">
        <v>444</v>
      </c>
      <c r="C413" t="s">
        <v>17</v>
      </c>
      <c r="D413" t="s">
        <v>10</v>
      </c>
      <c r="E413" s="1">
        <v>45884</v>
      </c>
      <c r="F413">
        <v>21519</v>
      </c>
      <c r="G413">
        <v>14088</v>
      </c>
      <c r="H413" t="s">
        <v>38</v>
      </c>
    </row>
    <row r="414" spans="1:8" x14ac:dyDescent="0.35">
      <c r="A414">
        <v>2413</v>
      </c>
      <c r="B414" t="s">
        <v>445</v>
      </c>
      <c r="C414" t="s">
        <v>45</v>
      </c>
      <c r="D414" t="s">
        <v>21</v>
      </c>
      <c r="E414" s="1">
        <v>45890</v>
      </c>
      <c r="F414">
        <v>42161</v>
      </c>
      <c r="G414">
        <v>40931</v>
      </c>
      <c r="H414" t="s">
        <v>38</v>
      </c>
    </row>
    <row r="415" spans="1:8" x14ac:dyDescent="0.35">
      <c r="A415">
        <v>2414</v>
      </c>
      <c r="B415" t="s">
        <v>446</v>
      </c>
      <c r="C415" t="s">
        <v>17</v>
      </c>
      <c r="D415" t="s">
        <v>27</v>
      </c>
      <c r="E415" s="1">
        <v>45878</v>
      </c>
      <c r="F415">
        <v>58861</v>
      </c>
      <c r="G415">
        <v>48015</v>
      </c>
      <c r="H415" t="s">
        <v>38</v>
      </c>
    </row>
    <row r="416" spans="1:8" x14ac:dyDescent="0.35">
      <c r="A416">
        <v>2415</v>
      </c>
      <c r="B416" t="s">
        <v>447</v>
      </c>
      <c r="C416" t="s">
        <v>45</v>
      </c>
      <c r="D416" t="s">
        <v>14</v>
      </c>
      <c r="E416" s="1">
        <v>45699</v>
      </c>
      <c r="F416">
        <v>25355</v>
      </c>
      <c r="G416">
        <v>16279</v>
      </c>
      <c r="H416" t="s">
        <v>77</v>
      </c>
    </row>
    <row r="417" spans="1:8" x14ac:dyDescent="0.35">
      <c r="A417">
        <v>2416</v>
      </c>
      <c r="B417" t="s">
        <v>448</v>
      </c>
      <c r="C417" t="s">
        <v>24</v>
      </c>
      <c r="D417" t="s">
        <v>37</v>
      </c>
      <c r="E417" s="1">
        <v>45678</v>
      </c>
      <c r="F417">
        <v>29083</v>
      </c>
      <c r="G417">
        <v>25278</v>
      </c>
      <c r="H417" t="s">
        <v>15</v>
      </c>
    </row>
    <row r="418" spans="1:8" x14ac:dyDescent="0.35">
      <c r="A418">
        <v>2417</v>
      </c>
      <c r="B418" t="s">
        <v>449</v>
      </c>
      <c r="C418" t="s">
        <v>13</v>
      </c>
      <c r="D418" t="s">
        <v>14</v>
      </c>
      <c r="E418" s="1">
        <v>45699</v>
      </c>
      <c r="F418">
        <v>58342</v>
      </c>
      <c r="G418">
        <v>43641</v>
      </c>
      <c r="H418" t="s">
        <v>77</v>
      </c>
    </row>
    <row r="419" spans="1:8" x14ac:dyDescent="0.35">
      <c r="A419">
        <v>2418</v>
      </c>
      <c r="B419" t="s">
        <v>450</v>
      </c>
      <c r="C419" t="s">
        <v>56</v>
      </c>
      <c r="D419" t="s">
        <v>18</v>
      </c>
      <c r="E419" s="1">
        <v>45770</v>
      </c>
      <c r="F419">
        <v>40456</v>
      </c>
      <c r="G419">
        <v>34037</v>
      </c>
      <c r="H419" t="s">
        <v>11</v>
      </c>
    </row>
    <row r="420" spans="1:8" x14ac:dyDescent="0.35">
      <c r="A420">
        <v>2419</v>
      </c>
      <c r="B420" t="s">
        <v>451</v>
      </c>
      <c r="C420" t="s">
        <v>17</v>
      </c>
      <c r="D420" t="s">
        <v>21</v>
      </c>
      <c r="E420" s="1">
        <v>45762</v>
      </c>
      <c r="F420">
        <v>33324</v>
      </c>
      <c r="G420">
        <v>18609</v>
      </c>
      <c r="H420" t="s">
        <v>11</v>
      </c>
    </row>
    <row r="421" spans="1:8" x14ac:dyDescent="0.35">
      <c r="A421">
        <v>2420</v>
      </c>
      <c r="B421" t="s">
        <v>452</v>
      </c>
      <c r="C421" t="s">
        <v>17</v>
      </c>
      <c r="D421" t="s">
        <v>14</v>
      </c>
      <c r="E421" s="1">
        <v>45849</v>
      </c>
      <c r="F421">
        <v>22257</v>
      </c>
      <c r="G421">
        <v>8637</v>
      </c>
      <c r="H421" t="s">
        <v>43</v>
      </c>
    </row>
    <row r="422" spans="1:8" x14ac:dyDescent="0.35">
      <c r="A422">
        <v>2421</v>
      </c>
      <c r="B422" t="s">
        <v>453</v>
      </c>
      <c r="C422" t="s">
        <v>56</v>
      </c>
      <c r="D422" t="s">
        <v>10</v>
      </c>
      <c r="E422" s="1">
        <v>45674</v>
      </c>
      <c r="F422">
        <v>47364</v>
      </c>
      <c r="G422">
        <v>41614</v>
      </c>
      <c r="H422" t="s">
        <v>15</v>
      </c>
    </row>
    <row r="423" spans="1:8" x14ac:dyDescent="0.35">
      <c r="A423">
        <v>2422</v>
      </c>
      <c r="B423" t="s">
        <v>454</v>
      </c>
      <c r="C423" t="s">
        <v>45</v>
      </c>
      <c r="D423" t="s">
        <v>18</v>
      </c>
      <c r="E423" s="1">
        <v>45777</v>
      </c>
      <c r="F423">
        <v>44972</v>
      </c>
      <c r="G423">
        <v>31740</v>
      </c>
      <c r="H423" t="s">
        <v>11</v>
      </c>
    </row>
    <row r="424" spans="1:8" x14ac:dyDescent="0.35">
      <c r="A424">
        <v>2423</v>
      </c>
      <c r="B424" t="s">
        <v>455</v>
      </c>
      <c r="C424" t="s">
        <v>17</v>
      </c>
      <c r="D424" t="s">
        <v>18</v>
      </c>
      <c r="E424" s="1">
        <v>45786</v>
      </c>
      <c r="F424">
        <v>46654</v>
      </c>
      <c r="G424">
        <v>42798</v>
      </c>
      <c r="H424" t="s">
        <v>31</v>
      </c>
    </row>
    <row r="425" spans="1:8" x14ac:dyDescent="0.35">
      <c r="A425">
        <v>2424</v>
      </c>
      <c r="B425" t="s">
        <v>456</v>
      </c>
      <c r="C425" t="s">
        <v>9</v>
      </c>
      <c r="D425" t="s">
        <v>14</v>
      </c>
      <c r="E425" s="1">
        <v>45787</v>
      </c>
      <c r="F425">
        <v>35233</v>
      </c>
      <c r="G425">
        <v>32098</v>
      </c>
      <c r="H425" t="s">
        <v>31</v>
      </c>
    </row>
    <row r="426" spans="1:8" x14ac:dyDescent="0.35">
      <c r="A426">
        <v>2425</v>
      </c>
      <c r="B426" t="s">
        <v>457</v>
      </c>
      <c r="C426" t="s">
        <v>24</v>
      </c>
      <c r="D426" t="s">
        <v>14</v>
      </c>
      <c r="E426" s="1">
        <v>45717</v>
      </c>
      <c r="F426">
        <v>35887</v>
      </c>
      <c r="G426">
        <v>28934</v>
      </c>
      <c r="H426" t="s">
        <v>19</v>
      </c>
    </row>
    <row r="427" spans="1:8" x14ac:dyDescent="0.35">
      <c r="A427">
        <v>2426</v>
      </c>
      <c r="B427" t="s">
        <v>458</v>
      </c>
      <c r="C427" t="s">
        <v>13</v>
      </c>
      <c r="D427" t="s">
        <v>21</v>
      </c>
      <c r="E427" s="1">
        <v>45705</v>
      </c>
      <c r="F427">
        <v>49320</v>
      </c>
      <c r="G427">
        <v>40204</v>
      </c>
      <c r="H427" t="s">
        <v>77</v>
      </c>
    </row>
    <row r="428" spans="1:8" x14ac:dyDescent="0.35">
      <c r="A428">
        <v>2427</v>
      </c>
      <c r="B428" t="s">
        <v>459</v>
      </c>
      <c r="C428" t="s">
        <v>56</v>
      </c>
      <c r="D428" t="s">
        <v>37</v>
      </c>
      <c r="E428" s="1">
        <v>45686</v>
      </c>
      <c r="F428">
        <v>40808</v>
      </c>
      <c r="G428">
        <v>34774</v>
      </c>
      <c r="H428" t="s">
        <v>15</v>
      </c>
    </row>
    <row r="429" spans="1:8" x14ac:dyDescent="0.35">
      <c r="A429">
        <v>2428</v>
      </c>
      <c r="B429" t="s">
        <v>460</v>
      </c>
      <c r="C429" t="s">
        <v>13</v>
      </c>
      <c r="D429" t="s">
        <v>14</v>
      </c>
      <c r="E429" s="1">
        <v>45754</v>
      </c>
      <c r="F429">
        <v>50154</v>
      </c>
      <c r="G429">
        <v>45565</v>
      </c>
      <c r="H429" t="s">
        <v>11</v>
      </c>
    </row>
    <row r="430" spans="1:8" x14ac:dyDescent="0.35">
      <c r="A430">
        <v>2429</v>
      </c>
      <c r="B430" t="s">
        <v>461</v>
      </c>
      <c r="C430" t="s">
        <v>9</v>
      </c>
      <c r="D430" t="s">
        <v>14</v>
      </c>
      <c r="E430" s="1">
        <v>45667</v>
      </c>
      <c r="F430">
        <v>54773</v>
      </c>
      <c r="G430">
        <v>53227</v>
      </c>
      <c r="H430" t="s">
        <v>15</v>
      </c>
    </row>
    <row r="431" spans="1:8" x14ac:dyDescent="0.35">
      <c r="A431">
        <v>2430</v>
      </c>
      <c r="B431" t="s">
        <v>462</v>
      </c>
      <c r="C431" t="s">
        <v>17</v>
      </c>
      <c r="D431" t="s">
        <v>27</v>
      </c>
      <c r="E431" s="1">
        <v>45899</v>
      </c>
      <c r="F431">
        <v>47747</v>
      </c>
      <c r="G431">
        <v>41682</v>
      </c>
      <c r="H431" t="s">
        <v>38</v>
      </c>
    </row>
    <row r="432" spans="1:8" x14ac:dyDescent="0.35">
      <c r="A432">
        <v>2431</v>
      </c>
      <c r="B432" t="s">
        <v>463</v>
      </c>
      <c r="C432" t="s">
        <v>17</v>
      </c>
      <c r="D432" t="s">
        <v>10</v>
      </c>
      <c r="E432" s="1">
        <v>45971</v>
      </c>
      <c r="F432">
        <v>30860</v>
      </c>
      <c r="G432">
        <v>29766</v>
      </c>
      <c r="H432" t="s">
        <v>29</v>
      </c>
    </row>
    <row r="433" spans="1:8" x14ac:dyDescent="0.35">
      <c r="A433">
        <v>2432</v>
      </c>
      <c r="B433" t="s">
        <v>464</v>
      </c>
      <c r="C433" t="s">
        <v>9</v>
      </c>
      <c r="D433" t="s">
        <v>27</v>
      </c>
      <c r="E433" s="1">
        <v>45889</v>
      </c>
      <c r="F433">
        <v>38156</v>
      </c>
      <c r="G433">
        <v>35745</v>
      </c>
      <c r="H433" t="s">
        <v>38</v>
      </c>
    </row>
    <row r="434" spans="1:8" x14ac:dyDescent="0.35">
      <c r="A434">
        <v>2433</v>
      </c>
      <c r="B434" t="s">
        <v>465</v>
      </c>
      <c r="C434" t="s">
        <v>56</v>
      </c>
      <c r="D434" t="s">
        <v>27</v>
      </c>
      <c r="E434" s="1">
        <v>45934</v>
      </c>
      <c r="F434">
        <v>40360</v>
      </c>
      <c r="G434">
        <v>37743</v>
      </c>
      <c r="H434" t="s">
        <v>22</v>
      </c>
    </row>
    <row r="435" spans="1:8" x14ac:dyDescent="0.35">
      <c r="A435">
        <v>2434</v>
      </c>
      <c r="B435" t="s">
        <v>466</v>
      </c>
      <c r="C435" t="s">
        <v>24</v>
      </c>
      <c r="D435" t="s">
        <v>18</v>
      </c>
      <c r="E435" s="1">
        <v>45941</v>
      </c>
      <c r="F435">
        <v>38135</v>
      </c>
      <c r="G435">
        <v>24022</v>
      </c>
      <c r="H435" t="s">
        <v>22</v>
      </c>
    </row>
    <row r="436" spans="1:8" x14ac:dyDescent="0.35">
      <c r="A436">
        <v>2435</v>
      </c>
      <c r="B436" t="s">
        <v>467</v>
      </c>
      <c r="C436" t="s">
        <v>33</v>
      </c>
      <c r="D436" t="s">
        <v>37</v>
      </c>
      <c r="E436" s="1">
        <v>45860</v>
      </c>
      <c r="F436">
        <v>45351</v>
      </c>
      <c r="G436">
        <v>36397</v>
      </c>
      <c r="H436" t="s">
        <v>43</v>
      </c>
    </row>
    <row r="437" spans="1:8" x14ac:dyDescent="0.35">
      <c r="A437">
        <v>2436</v>
      </c>
      <c r="B437" t="s">
        <v>468</v>
      </c>
      <c r="C437" t="s">
        <v>56</v>
      </c>
      <c r="D437" t="s">
        <v>10</v>
      </c>
      <c r="E437" s="1">
        <v>45904</v>
      </c>
      <c r="F437">
        <v>50499</v>
      </c>
      <c r="G437">
        <v>39984</v>
      </c>
      <c r="H437" t="s">
        <v>53</v>
      </c>
    </row>
    <row r="438" spans="1:8" x14ac:dyDescent="0.35">
      <c r="A438">
        <v>2437</v>
      </c>
      <c r="B438" t="s">
        <v>469</v>
      </c>
      <c r="C438" t="s">
        <v>33</v>
      </c>
      <c r="D438" t="s">
        <v>21</v>
      </c>
      <c r="E438" s="1">
        <v>45947</v>
      </c>
      <c r="F438">
        <v>43554</v>
      </c>
      <c r="G438">
        <v>39409</v>
      </c>
      <c r="H438" t="s">
        <v>22</v>
      </c>
    </row>
    <row r="439" spans="1:8" x14ac:dyDescent="0.35">
      <c r="A439">
        <v>2438</v>
      </c>
      <c r="B439" t="s">
        <v>470</v>
      </c>
      <c r="C439" t="s">
        <v>9</v>
      </c>
      <c r="D439" t="s">
        <v>21</v>
      </c>
      <c r="E439" s="1">
        <v>45921</v>
      </c>
      <c r="F439">
        <v>39604</v>
      </c>
      <c r="G439">
        <v>36829</v>
      </c>
      <c r="H439" t="s">
        <v>53</v>
      </c>
    </row>
    <row r="440" spans="1:8" x14ac:dyDescent="0.35">
      <c r="A440">
        <v>2439</v>
      </c>
      <c r="B440" t="s">
        <v>471</v>
      </c>
      <c r="C440" t="s">
        <v>45</v>
      </c>
      <c r="D440" t="s">
        <v>14</v>
      </c>
      <c r="E440" s="1">
        <v>45871</v>
      </c>
      <c r="F440">
        <v>36923</v>
      </c>
      <c r="G440">
        <v>23730</v>
      </c>
      <c r="H440" t="s">
        <v>38</v>
      </c>
    </row>
    <row r="441" spans="1:8" x14ac:dyDescent="0.35">
      <c r="A441">
        <v>2440</v>
      </c>
      <c r="B441" t="s">
        <v>472</v>
      </c>
      <c r="C441" t="s">
        <v>33</v>
      </c>
      <c r="D441" t="s">
        <v>14</v>
      </c>
      <c r="E441" s="1">
        <v>45857</v>
      </c>
      <c r="F441">
        <v>28547</v>
      </c>
      <c r="G441">
        <v>15696</v>
      </c>
      <c r="H441" t="s">
        <v>43</v>
      </c>
    </row>
    <row r="442" spans="1:8" x14ac:dyDescent="0.35">
      <c r="A442">
        <v>2441</v>
      </c>
      <c r="B442" t="s">
        <v>473</v>
      </c>
      <c r="C442" t="s">
        <v>24</v>
      </c>
      <c r="D442" t="s">
        <v>21</v>
      </c>
      <c r="E442" s="1">
        <v>45736</v>
      </c>
      <c r="F442">
        <v>53002</v>
      </c>
      <c r="G442">
        <v>39932</v>
      </c>
      <c r="H442" t="s">
        <v>19</v>
      </c>
    </row>
    <row r="443" spans="1:8" x14ac:dyDescent="0.35">
      <c r="A443">
        <v>2442</v>
      </c>
      <c r="B443" t="s">
        <v>474</v>
      </c>
      <c r="C443" t="s">
        <v>45</v>
      </c>
      <c r="D443" t="s">
        <v>14</v>
      </c>
      <c r="E443" s="1">
        <v>46000</v>
      </c>
      <c r="F443">
        <v>34562</v>
      </c>
      <c r="G443">
        <v>27934</v>
      </c>
      <c r="H443" t="s">
        <v>25</v>
      </c>
    </row>
    <row r="444" spans="1:8" x14ac:dyDescent="0.35">
      <c r="A444">
        <v>2443</v>
      </c>
      <c r="B444" t="s">
        <v>475</v>
      </c>
      <c r="C444" t="s">
        <v>33</v>
      </c>
      <c r="D444" t="s">
        <v>37</v>
      </c>
      <c r="E444" s="1">
        <v>46001</v>
      </c>
      <c r="F444">
        <v>27480</v>
      </c>
      <c r="G444">
        <v>24325</v>
      </c>
      <c r="H444" t="s">
        <v>25</v>
      </c>
    </row>
    <row r="445" spans="1:8" x14ac:dyDescent="0.35">
      <c r="A445">
        <v>2444</v>
      </c>
      <c r="B445" t="s">
        <v>476</v>
      </c>
      <c r="C445" t="s">
        <v>9</v>
      </c>
      <c r="D445" t="s">
        <v>27</v>
      </c>
      <c r="E445" s="1">
        <v>45830</v>
      </c>
      <c r="F445">
        <v>46672</v>
      </c>
      <c r="G445">
        <v>42702</v>
      </c>
      <c r="H445" t="s">
        <v>67</v>
      </c>
    </row>
    <row r="446" spans="1:8" x14ac:dyDescent="0.35">
      <c r="A446">
        <v>2445</v>
      </c>
      <c r="B446" t="s">
        <v>477</v>
      </c>
      <c r="C446" t="s">
        <v>45</v>
      </c>
      <c r="D446" t="s">
        <v>14</v>
      </c>
      <c r="E446" s="1">
        <v>45726</v>
      </c>
      <c r="F446">
        <v>24213</v>
      </c>
      <c r="G446">
        <v>16241</v>
      </c>
      <c r="H446" t="s">
        <v>19</v>
      </c>
    </row>
    <row r="447" spans="1:8" x14ac:dyDescent="0.35">
      <c r="A447">
        <v>2446</v>
      </c>
      <c r="B447" t="s">
        <v>478</v>
      </c>
      <c r="C447" t="s">
        <v>9</v>
      </c>
      <c r="D447" t="s">
        <v>18</v>
      </c>
      <c r="E447" s="1">
        <v>45744</v>
      </c>
      <c r="F447">
        <v>30293</v>
      </c>
      <c r="G447">
        <v>20061</v>
      </c>
      <c r="H447" t="s">
        <v>19</v>
      </c>
    </row>
    <row r="448" spans="1:8" x14ac:dyDescent="0.35">
      <c r="A448">
        <v>2447</v>
      </c>
      <c r="B448" t="s">
        <v>479</v>
      </c>
      <c r="C448" t="s">
        <v>33</v>
      </c>
      <c r="D448" t="s">
        <v>14</v>
      </c>
      <c r="E448" s="1">
        <v>45758</v>
      </c>
      <c r="F448">
        <v>54441</v>
      </c>
      <c r="G448">
        <v>40322</v>
      </c>
      <c r="H448" t="s">
        <v>11</v>
      </c>
    </row>
    <row r="449" spans="1:8" x14ac:dyDescent="0.35">
      <c r="A449">
        <v>2448</v>
      </c>
      <c r="B449" t="s">
        <v>480</v>
      </c>
      <c r="C449" t="s">
        <v>9</v>
      </c>
      <c r="D449" t="s">
        <v>10</v>
      </c>
      <c r="E449" s="1">
        <v>45665</v>
      </c>
      <c r="F449">
        <v>22100</v>
      </c>
      <c r="G449">
        <v>13325</v>
      </c>
      <c r="H449" t="s">
        <v>15</v>
      </c>
    </row>
    <row r="450" spans="1:8" x14ac:dyDescent="0.35">
      <c r="A450">
        <v>2449</v>
      </c>
      <c r="B450" t="s">
        <v>481</v>
      </c>
      <c r="C450" t="s">
        <v>24</v>
      </c>
      <c r="D450" t="s">
        <v>37</v>
      </c>
      <c r="E450" s="1">
        <v>45990</v>
      </c>
      <c r="F450">
        <v>48172</v>
      </c>
      <c r="G450">
        <v>42757</v>
      </c>
      <c r="H450" t="s">
        <v>29</v>
      </c>
    </row>
    <row r="451" spans="1:8" x14ac:dyDescent="0.35">
      <c r="A451">
        <v>2450</v>
      </c>
      <c r="B451" t="s">
        <v>482</v>
      </c>
      <c r="C451" t="s">
        <v>33</v>
      </c>
      <c r="D451" t="s">
        <v>10</v>
      </c>
      <c r="E451" s="1">
        <v>45857</v>
      </c>
      <c r="F451">
        <v>40132</v>
      </c>
      <c r="G451">
        <v>35801</v>
      </c>
      <c r="H451" t="s">
        <v>43</v>
      </c>
    </row>
    <row r="452" spans="1:8" x14ac:dyDescent="0.35">
      <c r="A452">
        <v>2451</v>
      </c>
      <c r="B452" t="s">
        <v>483</v>
      </c>
      <c r="C452" t="s">
        <v>33</v>
      </c>
      <c r="D452" t="s">
        <v>10</v>
      </c>
      <c r="E452" s="1">
        <v>45744</v>
      </c>
      <c r="F452">
        <v>38199</v>
      </c>
      <c r="G452">
        <v>27904</v>
      </c>
      <c r="H452" t="s">
        <v>19</v>
      </c>
    </row>
    <row r="453" spans="1:8" x14ac:dyDescent="0.35">
      <c r="A453">
        <v>2452</v>
      </c>
      <c r="B453" t="s">
        <v>484</v>
      </c>
      <c r="C453" t="s">
        <v>33</v>
      </c>
      <c r="D453" t="s">
        <v>18</v>
      </c>
      <c r="E453" s="1">
        <v>45700</v>
      </c>
      <c r="F453">
        <v>56609</v>
      </c>
      <c r="G453">
        <v>54667</v>
      </c>
      <c r="H453" t="s">
        <v>77</v>
      </c>
    </row>
    <row r="454" spans="1:8" x14ac:dyDescent="0.35">
      <c r="A454">
        <v>2453</v>
      </c>
      <c r="B454" t="s">
        <v>485</v>
      </c>
      <c r="C454" t="s">
        <v>56</v>
      </c>
      <c r="D454" t="s">
        <v>37</v>
      </c>
      <c r="E454" s="1">
        <v>45766</v>
      </c>
      <c r="F454">
        <v>28016</v>
      </c>
      <c r="G454">
        <v>15369</v>
      </c>
      <c r="H454" t="s">
        <v>11</v>
      </c>
    </row>
    <row r="455" spans="1:8" x14ac:dyDescent="0.35">
      <c r="A455">
        <v>2454</v>
      </c>
      <c r="B455" t="s">
        <v>486</v>
      </c>
      <c r="C455" t="s">
        <v>56</v>
      </c>
      <c r="D455" t="s">
        <v>37</v>
      </c>
      <c r="E455" s="1">
        <v>45809</v>
      </c>
      <c r="F455">
        <v>59779</v>
      </c>
      <c r="G455">
        <v>53753</v>
      </c>
      <c r="H455" t="s">
        <v>67</v>
      </c>
    </row>
    <row r="456" spans="1:8" x14ac:dyDescent="0.35">
      <c r="A456">
        <v>2455</v>
      </c>
      <c r="B456" t="s">
        <v>487</v>
      </c>
      <c r="C456" t="s">
        <v>56</v>
      </c>
      <c r="D456" t="s">
        <v>37</v>
      </c>
      <c r="E456" s="1">
        <v>45674</v>
      </c>
      <c r="F456">
        <v>57261</v>
      </c>
      <c r="G456">
        <v>48960</v>
      </c>
      <c r="H456" t="s">
        <v>15</v>
      </c>
    </row>
    <row r="457" spans="1:8" x14ac:dyDescent="0.35">
      <c r="A457">
        <v>2456</v>
      </c>
      <c r="B457" t="s">
        <v>488</v>
      </c>
      <c r="C457" t="s">
        <v>24</v>
      </c>
      <c r="D457" t="s">
        <v>37</v>
      </c>
      <c r="E457" s="1">
        <v>45790</v>
      </c>
      <c r="F457">
        <v>51881</v>
      </c>
      <c r="G457">
        <v>51690</v>
      </c>
      <c r="H457" t="s">
        <v>31</v>
      </c>
    </row>
    <row r="458" spans="1:8" x14ac:dyDescent="0.35">
      <c r="A458">
        <v>2457</v>
      </c>
      <c r="B458" t="s">
        <v>489</v>
      </c>
      <c r="C458" t="s">
        <v>45</v>
      </c>
      <c r="D458" t="s">
        <v>37</v>
      </c>
      <c r="E458" s="1">
        <v>45805</v>
      </c>
      <c r="F458">
        <v>37058</v>
      </c>
      <c r="G458">
        <v>27963</v>
      </c>
      <c r="H458" t="s">
        <v>31</v>
      </c>
    </row>
    <row r="459" spans="1:8" x14ac:dyDescent="0.35">
      <c r="A459">
        <v>2458</v>
      </c>
      <c r="B459" t="s">
        <v>490</v>
      </c>
      <c r="C459" t="s">
        <v>9</v>
      </c>
      <c r="D459" t="s">
        <v>18</v>
      </c>
      <c r="E459" s="1">
        <v>45934</v>
      </c>
      <c r="F459">
        <v>44472</v>
      </c>
      <c r="G459">
        <v>31068</v>
      </c>
      <c r="H459" t="s">
        <v>22</v>
      </c>
    </row>
    <row r="460" spans="1:8" x14ac:dyDescent="0.35">
      <c r="A460">
        <v>2459</v>
      </c>
      <c r="B460" t="s">
        <v>491</v>
      </c>
      <c r="C460" t="s">
        <v>17</v>
      </c>
      <c r="D460" t="s">
        <v>14</v>
      </c>
      <c r="E460" s="1">
        <v>45889</v>
      </c>
      <c r="F460">
        <v>54926</v>
      </c>
      <c r="G460">
        <v>54065</v>
      </c>
      <c r="H460" t="s">
        <v>38</v>
      </c>
    </row>
    <row r="461" spans="1:8" x14ac:dyDescent="0.35">
      <c r="A461">
        <v>2460</v>
      </c>
      <c r="B461" t="s">
        <v>492</v>
      </c>
      <c r="C461" t="s">
        <v>33</v>
      </c>
      <c r="D461" t="s">
        <v>10</v>
      </c>
      <c r="E461" s="1">
        <v>45971</v>
      </c>
      <c r="F461">
        <v>54832</v>
      </c>
      <c r="G461">
        <v>48121</v>
      </c>
      <c r="H461" t="s">
        <v>29</v>
      </c>
    </row>
    <row r="462" spans="1:8" x14ac:dyDescent="0.35">
      <c r="A462">
        <v>2461</v>
      </c>
      <c r="B462" t="s">
        <v>493</v>
      </c>
      <c r="C462" t="s">
        <v>9</v>
      </c>
      <c r="D462" t="s">
        <v>37</v>
      </c>
      <c r="E462" s="1">
        <v>45885</v>
      </c>
      <c r="F462">
        <v>56021</v>
      </c>
      <c r="G462">
        <v>46746</v>
      </c>
      <c r="H462" t="s">
        <v>38</v>
      </c>
    </row>
    <row r="463" spans="1:8" x14ac:dyDescent="0.35">
      <c r="A463">
        <v>2462</v>
      </c>
      <c r="B463" t="s">
        <v>494</v>
      </c>
      <c r="C463" t="s">
        <v>33</v>
      </c>
      <c r="D463" t="s">
        <v>14</v>
      </c>
      <c r="E463" s="1">
        <v>45796</v>
      </c>
      <c r="F463">
        <v>44087</v>
      </c>
      <c r="G463">
        <v>43438</v>
      </c>
      <c r="H463" t="s">
        <v>31</v>
      </c>
    </row>
    <row r="464" spans="1:8" x14ac:dyDescent="0.35">
      <c r="A464">
        <v>2463</v>
      </c>
      <c r="B464" t="s">
        <v>495</v>
      </c>
      <c r="C464" t="s">
        <v>24</v>
      </c>
      <c r="D464" t="s">
        <v>14</v>
      </c>
      <c r="E464" s="1">
        <v>45868</v>
      </c>
      <c r="F464">
        <v>32828</v>
      </c>
      <c r="G464">
        <v>28694</v>
      </c>
      <c r="H464" t="s">
        <v>43</v>
      </c>
    </row>
    <row r="465" spans="1:8" x14ac:dyDescent="0.35">
      <c r="A465">
        <v>2464</v>
      </c>
      <c r="B465" t="s">
        <v>496</v>
      </c>
      <c r="C465" t="s">
        <v>33</v>
      </c>
      <c r="D465" t="s">
        <v>10</v>
      </c>
      <c r="E465" s="1">
        <v>45685</v>
      </c>
      <c r="F465">
        <v>51128</v>
      </c>
      <c r="G465">
        <v>39325</v>
      </c>
      <c r="H465" t="s">
        <v>15</v>
      </c>
    </row>
    <row r="466" spans="1:8" x14ac:dyDescent="0.35">
      <c r="A466">
        <v>2465</v>
      </c>
      <c r="B466" t="s">
        <v>497</v>
      </c>
      <c r="C466" t="s">
        <v>56</v>
      </c>
      <c r="D466" t="s">
        <v>18</v>
      </c>
      <c r="E466" s="1">
        <v>45708</v>
      </c>
      <c r="F466">
        <v>21401</v>
      </c>
      <c r="G466">
        <v>13814</v>
      </c>
      <c r="H466" t="s">
        <v>77</v>
      </c>
    </row>
    <row r="467" spans="1:8" x14ac:dyDescent="0.35">
      <c r="A467">
        <v>2466</v>
      </c>
      <c r="B467" t="s">
        <v>498</v>
      </c>
      <c r="C467" t="s">
        <v>17</v>
      </c>
      <c r="D467" t="s">
        <v>21</v>
      </c>
      <c r="E467" s="1">
        <v>45918</v>
      </c>
      <c r="F467">
        <v>39643</v>
      </c>
      <c r="G467">
        <v>30815</v>
      </c>
      <c r="H467" t="s">
        <v>53</v>
      </c>
    </row>
    <row r="468" spans="1:8" x14ac:dyDescent="0.35">
      <c r="A468">
        <v>2467</v>
      </c>
      <c r="B468" t="s">
        <v>499</v>
      </c>
      <c r="C468" t="s">
        <v>13</v>
      </c>
      <c r="D468" t="s">
        <v>21</v>
      </c>
      <c r="E468" s="1">
        <v>45918</v>
      </c>
      <c r="F468">
        <v>35193</v>
      </c>
      <c r="G468">
        <v>34157</v>
      </c>
      <c r="H468" t="s">
        <v>53</v>
      </c>
    </row>
    <row r="469" spans="1:8" x14ac:dyDescent="0.35">
      <c r="A469">
        <v>2468</v>
      </c>
      <c r="B469" t="s">
        <v>500</v>
      </c>
      <c r="C469" t="s">
        <v>33</v>
      </c>
      <c r="D469" t="s">
        <v>14</v>
      </c>
      <c r="E469" s="1">
        <v>46007</v>
      </c>
      <c r="F469">
        <v>46853</v>
      </c>
      <c r="G469">
        <v>42722</v>
      </c>
      <c r="H469" t="s">
        <v>25</v>
      </c>
    </row>
    <row r="470" spans="1:8" x14ac:dyDescent="0.35">
      <c r="A470">
        <v>2469</v>
      </c>
      <c r="B470" t="s">
        <v>501</v>
      </c>
      <c r="C470" t="s">
        <v>9</v>
      </c>
      <c r="D470" t="s">
        <v>27</v>
      </c>
      <c r="E470" s="1">
        <v>46009</v>
      </c>
      <c r="F470">
        <v>40307</v>
      </c>
      <c r="G470">
        <v>38159</v>
      </c>
      <c r="H470" t="s">
        <v>25</v>
      </c>
    </row>
    <row r="471" spans="1:8" x14ac:dyDescent="0.35">
      <c r="A471">
        <v>2470</v>
      </c>
      <c r="B471" t="s">
        <v>502</v>
      </c>
      <c r="C471" t="s">
        <v>56</v>
      </c>
      <c r="D471" t="s">
        <v>27</v>
      </c>
      <c r="E471" s="1">
        <v>45665</v>
      </c>
      <c r="F471">
        <v>56982</v>
      </c>
      <c r="G471">
        <v>44925</v>
      </c>
      <c r="H471" t="s">
        <v>15</v>
      </c>
    </row>
    <row r="472" spans="1:8" x14ac:dyDescent="0.35">
      <c r="A472">
        <v>2471</v>
      </c>
      <c r="B472" t="s">
        <v>503</v>
      </c>
      <c r="C472" t="s">
        <v>13</v>
      </c>
      <c r="D472" t="s">
        <v>10</v>
      </c>
      <c r="E472" s="1">
        <v>45977</v>
      </c>
      <c r="F472">
        <v>39611</v>
      </c>
      <c r="G472">
        <v>28262</v>
      </c>
      <c r="H472" t="s">
        <v>29</v>
      </c>
    </row>
    <row r="473" spans="1:8" x14ac:dyDescent="0.35">
      <c r="A473">
        <v>2472</v>
      </c>
      <c r="B473" t="s">
        <v>504</v>
      </c>
      <c r="C473" t="s">
        <v>17</v>
      </c>
      <c r="D473" t="s">
        <v>21</v>
      </c>
      <c r="E473" s="1">
        <v>45795</v>
      </c>
      <c r="F473">
        <v>31950</v>
      </c>
      <c r="G473">
        <v>20171</v>
      </c>
      <c r="H473" t="s">
        <v>31</v>
      </c>
    </row>
    <row r="474" spans="1:8" x14ac:dyDescent="0.35">
      <c r="A474">
        <v>2473</v>
      </c>
      <c r="B474" t="s">
        <v>505</v>
      </c>
      <c r="C474" t="s">
        <v>13</v>
      </c>
      <c r="D474" t="s">
        <v>14</v>
      </c>
      <c r="E474" s="1">
        <v>45695</v>
      </c>
      <c r="F474">
        <v>30704</v>
      </c>
      <c r="G474">
        <v>19218</v>
      </c>
      <c r="H474" t="s">
        <v>77</v>
      </c>
    </row>
    <row r="475" spans="1:8" x14ac:dyDescent="0.35">
      <c r="A475">
        <v>2474</v>
      </c>
      <c r="B475" t="s">
        <v>506</v>
      </c>
      <c r="C475" t="s">
        <v>56</v>
      </c>
      <c r="D475" t="s">
        <v>18</v>
      </c>
      <c r="E475" s="1">
        <v>45768</v>
      </c>
      <c r="F475">
        <v>31867</v>
      </c>
      <c r="G475">
        <v>26410</v>
      </c>
      <c r="H475" t="s">
        <v>11</v>
      </c>
    </row>
    <row r="476" spans="1:8" x14ac:dyDescent="0.35">
      <c r="A476">
        <v>2475</v>
      </c>
      <c r="B476" t="s">
        <v>507</v>
      </c>
      <c r="C476" t="s">
        <v>45</v>
      </c>
      <c r="D476" t="s">
        <v>21</v>
      </c>
      <c r="E476" s="1">
        <v>45877</v>
      </c>
      <c r="F476">
        <v>22745</v>
      </c>
      <c r="G476">
        <v>16666</v>
      </c>
      <c r="H476" t="s">
        <v>38</v>
      </c>
    </row>
    <row r="477" spans="1:8" x14ac:dyDescent="0.35">
      <c r="A477">
        <v>2476</v>
      </c>
      <c r="B477" t="s">
        <v>508</v>
      </c>
      <c r="C477" t="s">
        <v>45</v>
      </c>
      <c r="D477" t="s">
        <v>14</v>
      </c>
      <c r="E477" s="1">
        <v>45994</v>
      </c>
      <c r="F477">
        <v>23866</v>
      </c>
      <c r="G477">
        <v>11413</v>
      </c>
      <c r="H477" t="s">
        <v>25</v>
      </c>
    </row>
    <row r="478" spans="1:8" x14ac:dyDescent="0.35">
      <c r="A478">
        <v>2477</v>
      </c>
      <c r="B478" t="s">
        <v>509</v>
      </c>
      <c r="C478" t="s">
        <v>13</v>
      </c>
      <c r="D478" t="s">
        <v>14</v>
      </c>
      <c r="E478" s="1">
        <v>45880</v>
      </c>
      <c r="F478">
        <v>52245</v>
      </c>
      <c r="G478">
        <v>49815</v>
      </c>
      <c r="H478" t="s">
        <v>38</v>
      </c>
    </row>
    <row r="479" spans="1:8" x14ac:dyDescent="0.35">
      <c r="A479">
        <v>2478</v>
      </c>
      <c r="B479" t="s">
        <v>510</v>
      </c>
      <c r="C479" t="s">
        <v>24</v>
      </c>
      <c r="D479" t="s">
        <v>37</v>
      </c>
      <c r="E479" s="1">
        <v>45793</v>
      </c>
      <c r="F479">
        <v>25818</v>
      </c>
      <c r="G479">
        <v>23939</v>
      </c>
      <c r="H479" t="s">
        <v>31</v>
      </c>
    </row>
    <row r="480" spans="1:8" x14ac:dyDescent="0.35">
      <c r="A480">
        <v>2479</v>
      </c>
      <c r="B480" t="s">
        <v>511</v>
      </c>
      <c r="C480" t="s">
        <v>9</v>
      </c>
      <c r="D480" t="s">
        <v>18</v>
      </c>
      <c r="E480" s="1">
        <v>45913</v>
      </c>
      <c r="F480">
        <v>50116</v>
      </c>
      <c r="G480">
        <v>37958</v>
      </c>
      <c r="H480" t="s">
        <v>53</v>
      </c>
    </row>
    <row r="481" spans="1:8" x14ac:dyDescent="0.35">
      <c r="A481">
        <v>2480</v>
      </c>
      <c r="B481" t="s">
        <v>512</v>
      </c>
      <c r="C481" t="s">
        <v>9</v>
      </c>
      <c r="D481" t="s">
        <v>37</v>
      </c>
      <c r="E481" s="1">
        <v>46017</v>
      </c>
      <c r="F481">
        <v>35493</v>
      </c>
      <c r="G481">
        <v>23588</v>
      </c>
      <c r="H481" t="s">
        <v>25</v>
      </c>
    </row>
    <row r="482" spans="1:8" x14ac:dyDescent="0.35">
      <c r="A482">
        <v>2481</v>
      </c>
      <c r="B482" t="s">
        <v>513</v>
      </c>
      <c r="C482" t="s">
        <v>13</v>
      </c>
      <c r="D482" t="s">
        <v>10</v>
      </c>
      <c r="E482" s="1">
        <v>45986</v>
      </c>
      <c r="F482">
        <v>48038</v>
      </c>
      <c r="G482">
        <v>35720</v>
      </c>
      <c r="H482" t="s">
        <v>29</v>
      </c>
    </row>
    <row r="483" spans="1:8" x14ac:dyDescent="0.35">
      <c r="A483">
        <v>2482</v>
      </c>
      <c r="B483" t="s">
        <v>514</v>
      </c>
      <c r="C483" t="s">
        <v>33</v>
      </c>
      <c r="D483" t="s">
        <v>37</v>
      </c>
      <c r="E483" s="1">
        <v>45706</v>
      </c>
      <c r="F483">
        <v>40447</v>
      </c>
      <c r="G483">
        <v>32905</v>
      </c>
      <c r="H483" t="s">
        <v>77</v>
      </c>
    </row>
    <row r="484" spans="1:8" x14ac:dyDescent="0.35">
      <c r="A484">
        <v>2483</v>
      </c>
      <c r="B484" t="s">
        <v>515</v>
      </c>
      <c r="C484" t="s">
        <v>33</v>
      </c>
      <c r="D484" t="s">
        <v>37</v>
      </c>
      <c r="E484" s="1">
        <v>45949</v>
      </c>
      <c r="F484">
        <v>50431</v>
      </c>
      <c r="G484">
        <v>38133</v>
      </c>
      <c r="H484" t="s">
        <v>22</v>
      </c>
    </row>
    <row r="485" spans="1:8" x14ac:dyDescent="0.35">
      <c r="A485">
        <v>2484</v>
      </c>
      <c r="B485" t="s">
        <v>516</v>
      </c>
      <c r="C485" t="s">
        <v>9</v>
      </c>
      <c r="D485" t="s">
        <v>21</v>
      </c>
      <c r="E485" s="1">
        <v>45981</v>
      </c>
      <c r="F485">
        <v>37908</v>
      </c>
      <c r="G485">
        <v>35897</v>
      </c>
      <c r="H485" t="s">
        <v>29</v>
      </c>
    </row>
    <row r="486" spans="1:8" x14ac:dyDescent="0.35">
      <c r="A486">
        <v>2485</v>
      </c>
      <c r="B486" t="s">
        <v>517</v>
      </c>
      <c r="C486" t="s">
        <v>9</v>
      </c>
      <c r="D486" t="s">
        <v>27</v>
      </c>
      <c r="E486" s="1">
        <v>45735</v>
      </c>
      <c r="F486">
        <v>49336</v>
      </c>
      <c r="G486">
        <v>45963</v>
      </c>
      <c r="H486" t="s">
        <v>19</v>
      </c>
    </row>
    <row r="487" spans="1:8" x14ac:dyDescent="0.35">
      <c r="A487">
        <v>2486</v>
      </c>
      <c r="B487" t="s">
        <v>518</v>
      </c>
      <c r="C487" t="s">
        <v>45</v>
      </c>
      <c r="D487" t="s">
        <v>14</v>
      </c>
      <c r="E487" s="1">
        <v>45762</v>
      </c>
      <c r="F487">
        <v>24025</v>
      </c>
      <c r="G487">
        <v>13690</v>
      </c>
      <c r="H487" t="s">
        <v>11</v>
      </c>
    </row>
    <row r="488" spans="1:8" x14ac:dyDescent="0.35">
      <c r="A488">
        <v>2487</v>
      </c>
      <c r="B488" t="s">
        <v>519</v>
      </c>
      <c r="C488" t="s">
        <v>24</v>
      </c>
      <c r="D488" t="s">
        <v>18</v>
      </c>
      <c r="E488" s="1">
        <v>45826</v>
      </c>
      <c r="F488">
        <v>40093</v>
      </c>
      <c r="G488">
        <v>32736</v>
      </c>
      <c r="H488" t="s">
        <v>67</v>
      </c>
    </row>
    <row r="489" spans="1:8" x14ac:dyDescent="0.35">
      <c r="A489">
        <v>2488</v>
      </c>
      <c r="B489" t="s">
        <v>520</v>
      </c>
      <c r="C489" t="s">
        <v>56</v>
      </c>
      <c r="D489" t="s">
        <v>37</v>
      </c>
      <c r="E489" s="1">
        <v>45874</v>
      </c>
      <c r="F489">
        <v>26155</v>
      </c>
      <c r="G489">
        <v>15463</v>
      </c>
      <c r="H489" t="s">
        <v>38</v>
      </c>
    </row>
    <row r="490" spans="1:8" x14ac:dyDescent="0.35">
      <c r="A490">
        <v>2489</v>
      </c>
      <c r="B490" t="s">
        <v>521</v>
      </c>
      <c r="C490" t="s">
        <v>33</v>
      </c>
      <c r="D490" t="s">
        <v>18</v>
      </c>
      <c r="E490" s="1">
        <v>45776</v>
      </c>
      <c r="F490">
        <v>53487</v>
      </c>
      <c r="G490">
        <v>38960</v>
      </c>
      <c r="H490" t="s">
        <v>11</v>
      </c>
    </row>
    <row r="491" spans="1:8" x14ac:dyDescent="0.35">
      <c r="A491">
        <v>2490</v>
      </c>
      <c r="B491" t="s">
        <v>522</v>
      </c>
      <c r="C491" t="s">
        <v>9</v>
      </c>
      <c r="D491" t="s">
        <v>27</v>
      </c>
      <c r="E491" s="1">
        <v>45847</v>
      </c>
      <c r="F491">
        <v>40963</v>
      </c>
      <c r="G491">
        <v>28190</v>
      </c>
      <c r="H491" t="s">
        <v>43</v>
      </c>
    </row>
    <row r="492" spans="1:8" x14ac:dyDescent="0.35">
      <c r="A492">
        <v>2491</v>
      </c>
      <c r="B492" t="s">
        <v>523</v>
      </c>
      <c r="C492" t="s">
        <v>45</v>
      </c>
      <c r="D492" t="s">
        <v>27</v>
      </c>
      <c r="E492" s="1">
        <v>45912</v>
      </c>
      <c r="F492">
        <v>40936</v>
      </c>
      <c r="G492">
        <v>39647</v>
      </c>
      <c r="H492" t="s">
        <v>53</v>
      </c>
    </row>
    <row r="493" spans="1:8" x14ac:dyDescent="0.35">
      <c r="A493">
        <v>2492</v>
      </c>
      <c r="B493" t="s">
        <v>524</v>
      </c>
      <c r="C493" t="s">
        <v>17</v>
      </c>
      <c r="D493" t="s">
        <v>37</v>
      </c>
      <c r="E493" s="1">
        <v>45923</v>
      </c>
      <c r="F493">
        <v>24426</v>
      </c>
      <c r="G493">
        <v>22979</v>
      </c>
      <c r="H493" t="s">
        <v>53</v>
      </c>
    </row>
    <row r="494" spans="1:8" x14ac:dyDescent="0.35">
      <c r="A494">
        <v>2493</v>
      </c>
      <c r="B494" t="s">
        <v>525</v>
      </c>
      <c r="C494" t="s">
        <v>45</v>
      </c>
      <c r="D494" t="s">
        <v>10</v>
      </c>
      <c r="E494" s="1">
        <v>45806</v>
      </c>
      <c r="F494">
        <v>43303</v>
      </c>
      <c r="G494">
        <v>40104</v>
      </c>
      <c r="H494" t="s">
        <v>31</v>
      </c>
    </row>
    <row r="495" spans="1:8" x14ac:dyDescent="0.35">
      <c r="A495">
        <v>2494</v>
      </c>
      <c r="B495" t="s">
        <v>526</v>
      </c>
      <c r="C495" t="s">
        <v>33</v>
      </c>
      <c r="D495" t="s">
        <v>37</v>
      </c>
      <c r="E495" s="1">
        <v>45821</v>
      </c>
      <c r="F495">
        <v>47606</v>
      </c>
      <c r="G495">
        <v>41225</v>
      </c>
      <c r="H495" t="s">
        <v>67</v>
      </c>
    </row>
    <row r="496" spans="1:8" x14ac:dyDescent="0.35">
      <c r="A496">
        <v>2495</v>
      </c>
      <c r="B496" t="s">
        <v>527</v>
      </c>
      <c r="C496" t="s">
        <v>33</v>
      </c>
      <c r="D496" t="s">
        <v>21</v>
      </c>
      <c r="E496" s="1">
        <v>45797</v>
      </c>
      <c r="F496">
        <v>48151</v>
      </c>
      <c r="G496">
        <v>38016</v>
      </c>
      <c r="H496" t="s">
        <v>31</v>
      </c>
    </row>
    <row r="497" spans="1:8" x14ac:dyDescent="0.35">
      <c r="A497">
        <v>2496</v>
      </c>
      <c r="B497" t="s">
        <v>528</v>
      </c>
      <c r="C497" t="s">
        <v>45</v>
      </c>
      <c r="D497" t="s">
        <v>14</v>
      </c>
      <c r="E497" s="1">
        <v>46004</v>
      </c>
      <c r="F497">
        <v>33767</v>
      </c>
      <c r="G497">
        <v>26245</v>
      </c>
      <c r="H497" t="s">
        <v>25</v>
      </c>
    </row>
    <row r="498" spans="1:8" x14ac:dyDescent="0.35">
      <c r="A498">
        <v>2497</v>
      </c>
      <c r="B498" t="s">
        <v>529</v>
      </c>
      <c r="C498" t="s">
        <v>56</v>
      </c>
      <c r="D498" t="s">
        <v>10</v>
      </c>
      <c r="E498" s="1">
        <v>45915</v>
      </c>
      <c r="F498">
        <v>31308</v>
      </c>
      <c r="G498">
        <v>25249</v>
      </c>
      <c r="H498" t="s">
        <v>53</v>
      </c>
    </row>
    <row r="499" spans="1:8" x14ac:dyDescent="0.35">
      <c r="A499">
        <v>2498</v>
      </c>
      <c r="B499" t="s">
        <v>530</v>
      </c>
      <c r="C499" t="s">
        <v>13</v>
      </c>
      <c r="D499" t="s">
        <v>37</v>
      </c>
      <c r="E499" s="1">
        <v>45926</v>
      </c>
      <c r="F499">
        <v>44770</v>
      </c>
      <c r="G499">
        <v>41587</v>
      </c>
      <c r="H499" t="s">
        <v>53</v>
      </c>
    </row>
    <row r="500" spans="1:8" x14ac:dyDescent="0.35">
      <c r="A500">
        <v>2499</v>
      </c>
      <c r="B500" t="s">
        <v>531</v>
      </c>
      <c r="C500" t="s">
        <v>33</v>
      </c>
      <c r="D500" t="s">
        <v>18</v>
      </c>
      <c r="E500" s="1">
        <v>45838</v>
      </c>
      <c r="F500">
        <v>48572</v>
      </c>
      <c r="G500">
        <v>34433</v>
      </c>
      <c r="H500" t="s">
        <v>67</v>
      </c>
    </row>
    <row r="501" spans="1:8" x14ac:dyDescent="0.35">
      <c r="A501">
        <v>2500</v>
      </c>
      <c r="B501" t="s">
        <v>532</v>
      </c>
      <c r="C501" t="s">
        <v>45</v>
      </c>
      <c r="D501" t="s">
        <v>10</v>
      </c>
      <c r="E501" s="1">
        <v>45817</v>
      </c>
      <c r="F501">
        <v>22204</v>
      </c>
      <c r="G501">
        <v>8447</v>
      </c>
      <c r="H501" t="s">
        <v>67</v>
      </c>
    </row>
    <row r="502" spans="1:8" x14ac:dyDescent="0.35">
      <c r="A502">
        <v>2501</v>
      </c>
      <c r="B502" t="s">
        <v>533</v>
      </c>
      <c r="C502" t="s">
        <v>9</v>
      </c>
      <c r="D502" t="s">
        <v>10</v>
      </c>
      <c r="E502" s="1">
        <v>46008</v>
      </c>
      <c r="F502">
        <v>47233</v>
      </c>
      <c r="G502">
        <v>41771</v>
      </c>
      <c r="H502" t="s">
        <v>25</v>
      </c>
    </row>
    <row r="503" spans="1:8" x14ac:dyDescent="0.35">
      <c r="A503">
        <v>2502</v>
      </c>
      <c r="B503" t="s">
        <v>534</v>
      </c>
      <c r="C503" t="s">
        <v>45</v>
      </c>
      <c r="D503" t="s">
        <v>37</v>
      </c>
      <c r="E503" s="1">
        <v>45945</v>
      </c>
      <c r="F503">
        <v>41729</v>
      </c>
      <c r="G503">
        <v>38513</v>
      </c>
      <c r="H503" t="s">
        <v>22</v>
      </c>
    </row>
    <row r="504" spans="1:8" x14ac:dyDescent="0.35">
      <c r="A504">
        <v>2503</v>
      </c>
      <c r="B504" t="s">
        <v>535</v>
      </c>
      <c r="C504" t="s">
        <v>24</v>
      </c>
      <c r="D504" t="s">
        <v>10</v>
      </c>
      <c r="E504" s="1">
        <v>45945</v>
      </c>
      <c r="F504">
        <v>51131</v>
      </c>
      <c r="G504">
        <v>47995</v>
      </c>
      <c r="H504" t="s">
        <v>22</v>
      </c>
    </row>
    <row r="505" spans="1:8" x14ac:dyDescent="0.35">
      <c r="A505">
        <v>2504</v>
      </c>
      <c r="B505" t="s">
        <v>536</v>
      </c>
      <c r="C505" t="s">
        <v>13</v>
      </c>
      <c r="D505" t="s">
        <v>18</v>
      </c>
      <c r="E505" s="1">
        <v>45883</v>
      </c>
      <c r="F505">
        <v>53870</v>
      </c>
      <c r="G505">
        <v>50552</v>
      </c>
      <c r="H505" t="s">
        <v>38</v>
      </c>
    </row>
    <row r="506" spans="1:8" x14ac:dyDescent="0.35">
      <c r="A506">
        <v>2505</v>
      </c>
      <c r="B506" t="s">
        <v>537</v>
      </c>
      <c r="C506" t="s">
        <v>17</v>
      </c>
      <c r="D506" t="s">
        <v>27</v>
      </c>
      <c r="E506" s="1">
        <v>45668</v>
      </c>
      <c r="F506">
        <v>58011</v>
      </c>
      <c r="G506">
        <v>55229</v>
      </c>
      <c r="H506" t="s">
        <v>15</v>
      </c>
    </row>
    <row r="507" spans="1:8" x14ac:dyDescent="0.35">
      <c r="A507">
        <v>2506</v>
      </c>
      <c r="B507" t="s">
        <v>538</v>
      </c>
      <c r="C507" t="s">
        <v>56</v>
      </c>
      <c r="D507" t="s">
        <v>10</v>
      </c>
      <c r="E507" s="1">
        <v>45667</v>
      </c>
      <c r="F507">
        <v>59382</v>
      </c>
      <c r="G507">
        <v>50200</v>
      </c>
      <c r="H507" t="s">
        <v>15</v>
      </c>
    </row>
    <row r="508" spans="1:8" x14ac:dyDescent="0.35">
      <c r="A508">
        <v>2507</v>
      </c>
      <c r="B508" t="s">
        <v>539</v>
      </c>
      <c r="C508" t="s">
        <v>17</v>
      </c>
      <c r="D508" t="s">
        <v>27</v>
      </c>
      <c r="E508" s="1">
        <v>45928</v>
      </c>
      <c r="F508">
        <v>41607</v>
      </c>
      <c r="G508">
        <v>33950</v>
      </c>
      <c r="H508" t="s">
        <v>53</v>
      </c>
    </row>
    <row r="509" spans="1:8" x14ac:dyDescent="0.35">
      <c r="A509">
        <v>2508</v>
      </c>
      <c r="B509" t="s">
        <v>540</v>
      </c>
      <c r="C509" t="s">
        <v>13</v>
      </c>
      <c r="D509" t="s">
        <v>18</v>
      </c>
      <c r="E509" s="1">
        <v>45930</v>
      </c>
      <c r="F509">
        <v>44968</v>
      </c>
      <c r="G509">
        <v>40048</v>
      </c>
      <c r="H509" t="s">
        <v>53</v>
      </c>
    </row>
    <row r="510" spans="1:8" x14ac:dyDescent="0.35">
      <c r="A510">
        <v>2509</v>
      </c>
      <c r="B510" t="s">
        <v>541</v>
      </c>
      <c r="C510" t="s">
        <v>13</v>
      </c>
      <c r="D510" t="s">
        <v>37</v>
      </c>
      <c r="E510" s="1">
        <v>45840</v>
      </c>
      <c r="F510">
        <v>53398</v>
      </c>
      <c r="G510">
        <v>39648</v>
      </c>
      <c r="H510" t="s">
        <v>43</v>
      </c>
    </row>
    <row r="511" spans="1:8" x14ac:dyDescent="0.35">
      <c r="A511">
        <v>2510</v>
      </c>
      <c r="B511" t="s">
        <v>542</v>
      </c>
      <c r="C511" t="s">
        <v>13</v>
      </c>
      <c r="D511" t="s">
        <v>14</v>
      </c>
      <c r="E511" s="1">
        <v>45810</v>
      </c>
      <c r="F511">
        <v>31908</v>
      </c>
      <c r="G511">
        <v>21563</v>
      </c>
      <c r="H511" t="s">
        <v>67</v>
      </c>
    </row>
    <row r="512" spans="1:8" x14ac:dyDescent="0.35">
      <c r="A512">
        <v>2511</v>
      </c>
      <c r="B512" t="s">
        <v>543</v>
      </c>
      <c r="C512" t="s">
        <v>17</v>
      </c>
      <c r="D512" t="s">
        <v>10</v>
      </c>
      <c r="E512" s="1">
        <v>45972</v>
      </c>
      <c r="F512">
        <v>46423</v>
      </c>
      <c r="G512">
        <v>40099</v>
      </c>
      <c r="H512" t="s">
        <v>29</v>
      </c>
    </row>
    <row r="513" spans="1:8" x14ac:dyDescent="0.35">
      <c r="A513">
        <v>2512</v>
      </c>
      <c r="B513" t="s">
        <v>544</v>
      </c>
      <c r="C513" t="s">
        <v>9</v>
      </c>
      <c r="D513" t="s">
        <v>14</v>
      </c>
      <c r="E513" s="1">
        <v>45991</v>
      </c>
      <c r="F513">
        <v>29171</v>
      </c>
      <c r="G513">
        <v>22844</v>
      </c>
      <c r="H513" t="s">
        <v>29</v>
      </c>
    </row>
    <row r="514" spans="1:8" x14ac:dyDescent="0.35">
      <c r="A514">
        <v>2513</v>
      </c>
      <c r="B514" t="s">
        <v>545</v>
      </c>
      <c r="C514" t="s">
        <v>13</v>
      </c>
      <c r="D514" t="s">
        <v>18</v>
      </c>
      <c r="E514" s="1">
        <v>45781</v>
      </c>
      <c r="F514">
        <v>32721</v>
      </c>
      <c r="G514">
        <v>24304</v>
      </c>
      <c r="H514" t="s">
        <v>31</v>
      </c>
    </row>
    <row r="515" spans="1:8" x14ac:dyDescent="0.35">
      <c r="A515">
        <v>2514</v>
      </c>
      <c r="B515" t="s">
        <v>546</v>
      </c>
      <c r="C515" t="s">
        <v>45</v>
      </c>
      <c r="D515" t="s">
        <v>10</v>
      </c>
      <c r="E515" s="1">
        <v>45771</v>
      </c>
      <c r="F515">
        <v>36616</v>
      </c>
      <c r="G515">
        <v>35840</v>
      </c>
      <c r="H515" t="s">
        <v>11</v>
      </c>
    </row>
    <row r="516" spans="1:8" x14ac:dyDescent="0.35">
      <c r="A516">
        <v>2515</v>
      </c>
      <c r="B516" t="s">
        <v>547</v>
      </c>
      <c r="C516" t="s">
        <v>17</v>
      </c>
      <c r="D516" t="s">
        <v>27</v>
      </c>
      <c r="E516" s="1">
        <v>45935</v>
      </c>
      <c r="F516">
        <v>58458</v>
      </c>
      <c r="G516">
        <v>47429</v>
      </c>
      <c r="H516" t="s">
        <v>22</v>
      </c>
    </row>
    <row r="517" spans="1:8" x14ac:dyDescent="0.35">
      <c r="A517">
        <v>2516</v>
      </c>
      <c r="B517" t="s">
        <v>548</v>
      </c>
      <c r="C517" t="s">
        <v>13</v>
      </c>
      <c r="D517" t="s">
        <v>21</v>
      </c>
      <c r="E517" s="1">
        <v>45870</v>
      </c>
      <c r="F517">
        <v>27659</v>
      </c>
      <c r="G517">
        <v>22451</v>
      </c>
      <c r="H517" t="s">
        <v>38</v>
      </c>
    </row>
    <row r="518" spans="1:8" x14ac:dyDescent="0.35">
      <c r="A518">
        <v>2517</v>
      </c>
      <c r="B518" t="s">
        <v>549</v>
      </c>
      <c r="C518" t="s">
        <v>45</v>
      </c>
      <c r="D518" t="s">
        <v>14</v>
      </c>
      <c r="E518" s="1">
        <v>45829</v>
      </c>
      <c r="F518">
        <v>31704</v>
      </c>
      <c r="G518">
        <v>31017</v>
      </c>
      <c r="H518" t="s">
        <v>67</v>
      </c>
    </row>
    <row r="519" spans="1:8" x14ac:dyDescent="0.35">
      <c r="A519">
        <v>2518</v>
      </c>
      <c r="B519" t="s">
        <v>550</v>
      </c>
      <c r="C519" t="s">
        <v>9</v>
      </c>
      <c r="D519" t="s">
        <v>10</v>
      </c>
      <c r="E519" s="1">
        <v>45945</v>
      </c>
      <c r="F519">
        <v>52793</v>
      </c>
      <c r="G519">
        <v>52264</v>
      </c>
      <c r="H519" t="s">
        <v>22</v>
      </c>
    </row>
    <row r="520" spans="1:8" x14ac:dyDescent="0.35">
      <c r="A520">
        <v>2519</v>
      </c>
      <c r="B520" t="s">
        <v>551</v>
      </c>
      <c r="C520" t="s">
        <v>24</v>
      </c>
      <c r="D520" t="s">
        <v>14</v>
      </c>
      <c r="E520" s="1">
        <v>45831</v>
      </c>
      <c r="F520">
        <v>51226</v>
      </c>
      <c r="G520">
        <v>39592</v>
      </c>
      <c r="H520" t="s">
        <v>67</v>
      </c>
    </row>
    <row r="521" spans="1:8" x14ac:dyDescent="0.35">
      <c r="A521">
        <v>2520</v>
      </c>
      <c r="B521" t="s">
        <v>552</v>
      </c>
      <c r="C521" t="s">
        <v>9</v>
      </c>
      <c r="D521" t="s">
        <v>10</v>
      </c>
      <c r="E521" s="1">
        <v>45770</v>
      </c>
      <c r="F521">
        <v>43852</v>
      </c>
      <c r="G521">
        <v>38785</v>
      </c>
      <c r="H521" t="s">
        <v>11</v>
      </c>
    </row>
    <row r="522" spans="1:8" x14ac:dyDescent="0.35">
      <c r="A522">
        <v>2521</v>
      </c>
      <c r="B522" t="s">
        <v>553</v>
      </c>
      <c r="C522" t="s">
        <v>13</v>
      </c>
      <c r="D522" t="s">
        <v>37</v>
      </c>
      <c r="E522" s="1">
        <v>45779</v>
      </c>
      <c r="F522">
        <v>52082</v>
      </c>
      <c r="G522">
        <v>38859</v>
      </c>
      <c r="H522" t="s">
        <v>31</v>
      </c>
    </row>
    <row r="523" spans="1:8" x14ac:dyDescent="0.35">
      <c r="A523">
        <v>2522</v>
      </c>
      <c r="B523" t="s">
        <v>554</v>
      </c>
      <c r="C523" t="s">
        <v>17</v>
      </c>
      <c r="D523" t="s">
        <v>27</v>
      </c>
      <c r="E523" s="1">
        <v>45689</v>
      </c>
      <c r="F523">
        <v>42794</v>
      </c>
      <c r="G523">
        <v>34714</v>
      </c>
      <c r="H523" t="s">
        <v>77</v>
      </c>
    </row>
    <row r="524" spans="1:8" x14ac:dyDescent="0.35">
      <c r="A524">
        <v>2523</v>
      </c>
      <c r="B524" t="s">
        <v>555</v>
      </c>
      <c r="C524" t="s">
        <v>33</v>
      </c>
      <c r="D524" t="s">
        <v>14</v>
      </c>
      <c r="E524" s="1">
        <v>45879</v>
      </c>
      <c r="F524">
        <v>33379</v>
      </c>
      <c r="G524">
        <v>27861</v>
      </c>
      <c r="H524" t="s">
        <v>38</v>
      </c>
    </row>
    <row r="525" spans="1:8" x14ac:dyDescent="0.35">
      <c r="A525">
        <v>2524</v>
      </c>
      <c r="B525" t="s">
        <v>556</v>
      </c>
      <c r="C525" t="s">
        <v>13</v>
      </c>
      <c r="D525" t="s">
        <v>21</v>
      </c>
      <c r="E525" s="1">
        <v>45776</v>
      </c>
      <c r="F525">
        <v>27006</v>
      </c>
      <c r="G525">
        <v>24853</v>
      </c>
      <c r="H525" t="s">
        <v>11</v>
      </c>
    </row>
    <row r="526" spans="1:8" x14ac:dyDescent="0.35">
      <c r="A526">
        <v>2525</v>
      </c>
      <c r="B526" t="s">
        <v>557</v>
      </c>
      <c r="C526" t="s">
        <v>33</v>
      </c>
      <c r="D526" t="s">
        <v>21</v>
      </c>
      <c r="E526" s="1">
        <v>45696</v>
      </c>
      <c r="F526">
        <v>28682</v>
      </c>
      <c r="G526">
        <v>19196</v>
      </c>
      <c r="H526" t="s">
        <v>77</v>
      </c>
    </row>
    <row r="527" spans="1:8" x14ac:dyDescent="0.35">
      <c r="A527">
        <v>2526</v>
      </c>
      <c r="B527" t="s">
        <v>558</v>
      </c>
      <c r="C527" t="s">
        <v>45</v>
      </c>
      <c r="D527" t="s">
        <v>18</v>
      </c>
      <c r="E527" s="1">
        <v>45925</v>
      </c>
      <c r="F527">
        <v>53840</v>
      </c>
      <c r="G527">
        <v>47746</v>
      </c>
      <c r="H527" t="s">
        <v>53</v>
      </c>
    </row>
    <row r="528" spans="1:8" x14ac:dyDescent="0.35">
      <c r="A528">
        <v>2527</v>
      </c>
      <c r="B528" t="s">
        <v>559</v>
      </c>
      <c r="C528" t="s">
        <v>24</v>
      </c>
      <c r="D528" t="s">
        <v>10</v>
      </c>
      <c r="E528" s="1">
        <v>45890</v>
      </c>
      <c r="F528">
        <v>52430</v>
      </c>
      <c r="G528">
        <v>45456</v>
      </c>
      <c r="H528" t="s">
        <v>38</v>
      </c>
    </row>
    <row r="529" spans="1:8" x14ac:dyDescent="0.35">
      <c r="A529">
        <v>2528</v>
      </c>
      <c r="B529" t="s">
        <v>560</v>
      </c>
      <c r="C529" t="s">
        <v>56</v>
      </c>
      <c r="D529" t="s">
        <v>14</v>
      </c>
      <c r="E529" s="1">
        <v>45675</v>
      </c>
      <c r="F529">
        <v>43091</v>
      </c>
      <c r="G529">
        <v>33373</v>
      </c>
      <c r="H529" t="s">
        <v>15</v>
      </c>
    </row>
    <row r="530" spans="1:8" x14ac:dyDescent="0.35">
      <c r="A530">
        <v>2529</v>
      </c>
      <c r="B530" t="s">
        <v>561</v>
      </c>
      <c r="C530" t="s">
        <v>9</v>
      </c>
      <c r="D530" t="s">
        <v>18</v>
      </c>
      <c r="E530" s="1">
        <v>45806</v>
      </c>
      <c r="F530">
        <v>52983</v>
      </c>
      <c r="G530">
        <v>48209</v>
      </c>
      <c r="H530" t="s">
        <v>31</v>
      </c>
    </row>
    <row r="531" spans="1:8" x14ac:dyDescent="0.35">
      <c r="A531">
        <v>2530</v>
      </c>
      <c r="B531" t="s">
        <v>562</v>
      </c>
      <c r="C531" t="s">
        <v>24</v>
      </c>
      <c r="D531" t="s">
        <v>14</v>
      </c>
      <c r="E531" s="1">
        <v>45806</v>
      </c>
      <c r="F531">
        <v>43989</v>
      </c>
      <c r="G531">
        <v>36297</v>
      </c>
      <c r="H531" t="s">
        <v>31</v>
      </c>
    </row>
    <row r="532" spans="1:8" x14ac:dyDescent="0.35">
      <c r="A532">
        <v>2531</v>
      </c>
      <c r="B532" t="s">
        <v>563</v>
      </c>
      <c r="C532" t="s">
        <v>13</v>
      </c>
      <c r="D532" t="s">
        <v>10</v>
      </c>
      <c r="E532" s="1">
        <v>45783</v>
      </c>
      <c r="F532">
        <v>29915</v>
      </c>
      <c r="G532">
        <v>18827</v>
      </c>
      <c r="H532" t="s">
        <v>31</v>
      </c>
    </row>
    <row r="533" spans="1:8" x14ac:dyDescent="0.35">
      <c r="A533">
        <v>2532</v>
      </c>
      <c r="B533" t="s">
        <v>564</v>
      </c>
      <c r="C533" t="s">
        <v>33</v>
      </c>
      <c r="D533" t="s">
        <v>21</v>
      </c>
      <c r="E533" s="1">
        <v>45959</v>
      </c>
      <c r="F533">
        <v>38990</v>
      </c>
      <c r="G533">
        <v>35887</v>
      </c>
      <c r="H533" t="s">
        <v>22</v>
      </c>
    </row>
    <row r="534" spans="1:8" x14ac:dyDescent="0.35">
      <c r="A534">
        <v>2533</v>
      </c>
      <c r="B534" t="s">
        <v>565</v>
      </c>
      <c r="C534" t="s">
        <v>9</v>
      </c>
      <c r="D534" t="s">
        <v>37</v>
      </c>
      <c r="E534" s="1">
        <v>46017</v>
      </c>
      <c r="F534">
        <v>44734</v>
      </c>
      <c r="G534">
        <v>42294</v>
      </c>
      <c r="H534" t="s">
        <v>25</v>
      </c>
    </row>
    <row r="535" spans="1:8" x14ac:dyDescent="0.35">
      <c r="A535">
        <v>2534</v>
      </c>
      <c r="B535" t="s">
        <v>566</v>
      </c>
      <c r="C535" t="s">
        <v>33</v>
      </c>
      <c r="D535" t="s">
        <v>21</v>
      </c>
      <c r="E535" s="1">
        <v>45895</v>
      </c>
      <c r="F535">
        <v>34824</v>
      </c>
      <c r="G535">
        <v>30689</v>
      </c>
      <c r="H535" t="s">
        <v>38</v>
      </c>
    </row>
    <row r="536" spans="1:8" x14ac:dyDescent="0.35">
      <c r="A536">
        <v>2535</v>
      </c>
      <c r="B536" t="s">
        <v>567</v>
      </c>
      <c r="C536" t="s">
        <v>17</v>
      </c>
      <c r="D536" t="s">
        <v>18</v>
      </c>
      <c r="E536" s="1">
        <v>45792</v>
      </c>
      <c r="F536">
        <v>56081</v>
      </c>
      <c r="G536">
        <v>41086</v>
      </c>
      <c r="H536" t="s">
        <v>31</v>
      </c>
    </row>
    <row r="537" spans="1:8" x14ac:dyDescent="0.35">
      <c r="A537">
        <v>2536</v>
      </c>
      <c r="B537" t="s">
        <v>568</v>
      </c>
      <c r="C537" t="s">
        <v>33</v>
      </c>
      <c r="D537" t="s">
        <v>27</v>
      </c>
      <c r="E537" s="1">
        <v>45808</v>
      </c>
      <c r="F537">
        <v>31033</v>
      </c>
      <c r="G537">
        <v>19039</v>
      </c>
      <c r="H537" t="s">
        <v>31</v>
      </c>
    </row>
    <row r="538" spans="1:8" x14ac:dyDescent="0.35">
      <c r="A538">
        <v>2537</v>
      </c>
      <c r="B538" t="s">
        <v>569</v>
      </c>
      <c r="C538" t="s">
        <v>17</v>
      </c>
      <c r="D538" t="s">
        <v>37</v>
      </c>
      <c r="E538" s="1">
        <v>45893</v>
      </c>
      <c r="F538">
        <v>36241</v>
      </c>
      <c r="G538">
        <v>29117</v>
      </c>
      <c r="H538" t="s">
        <v>38</v>
      </c>
    </row>
    <row r="539" spans="1:8" x14ac:dyDescent="0.35">
      <c r="A539">
        <v>2538</v>
      </c>
      <c r="B539" t="s">
        <v>570</v>
      </c>
      <c r="C539" t="s">
        <v>45</v>
      </c>
      <c r="D539" t="s">
        <v>18</v>
      </c>
      <c r="E539" s="1">
        <v>45881</v>
      </c>
      <c r="F539">
        <v>25939</v>
      </c>
      <c r="G539">
        <v>20738</v>
      </c>
      <c r="H539" t="s">
        <v>38</v>
      </c>
    </row>
    <row r="540" spans="1:8" x14ac:dyDescent="0.35">
      <c r="A540">
        <v>2539</v>
      </c>
      <c r="B540" t="s">
        <v>571</v>
      </c>
      <c r="C540" t="s">
        <v>9</v>
      </c>
      <c r="D540" t="s">
        <v>10</v>
      </c>
      <c r="E540" s="1">
        <v>45860</v>
      </c>
      <c r="F540">
        <v>55063</v>
      </c>
      <c r="G540">
        <v>54219</v>
      </c>
      <c r="H540" t="s">
        <v>43</v>
      </c>
    </row>
    <row r="541" spans="1:8" x14ac:dyDescent="0.35">
      <c r="A541">
        <v>2540</v>
      </c>
      <c r="B541" t="s">
        <v>572</v>
      </c>
      <c r="C541" t="s">
        <v>9</v>
      </c>
      <c r="D541" t="s">
        <v>37</v>
      </c>
      <c r="E541" s="1">
        <v>45913</v>
      </c>
      <c r="F541">
        <v>54464</v>
      </c>
      <c r="G541">
        <v>40433</v>
      </c>
      <c r="H541" t="s">
        <v>53</v>
      </c>
    </row>
    <row r="542" spans="1:8" x14ac:dyDescent="0.35">
      <c r="A542">
        <v>2541</v>
      </c>
      <c r="B542" t="s">
        <v>573</v>
      </c>
      <c r="C542" t="s">
        <v>56</v>
      </c>
      <c r="D542" t="s">
        <v>18</v>
      </c>
      <c r="E542" s="1">
        <v>45743</v>
      </c>
      <c r="F542">
        <v>31185</v>
      </c>
      <c r="G542">
        <v>16649</v>
      </c>
      <c r="H542" t="s">
        <v>19</v>
      </c>
    </row>
    <row r="543" spans="1:8" x14ac:dyDescent="0.35">
      <c r="A543">
        <v>2542</v>
      </c>
      <c r="B543" t="s">
        <v>574</v>
      </c>
      <c r="C543" t="s">
        <v>13</v>
      </c>
      <c r="D543" t="s">
        <v>10</v>
      </c>
      <c r="E543" s="1">
        <v>45807</v>
      </c>
      <c r="F543">
        <v>47045</v>
      </c>
      <c r="G543">
        <v>46599</v>
      </c>
      <c r="H543" t="s">
        <v>31</v>
      </c>
    </row>
    <row r="544" spans="1:8" x14ac:dyDescent="0.35">
      <c r="A544">
        <v>2543</v>
      </c>
      <c r="B544" t="s">
        <v>575</v>
      </c>
      <c r="C544" t="s">
        <v>17</v>
      </c>
      <c r="D544" t="s">
        <v>21</v>
      </c>
      <c r="E544" s="1">
        <v>45892</v>
      </c>
      <c r="F544">
        <v>39167</v>
      </c>
      <c r="G544">
        <v>35252</v>
      </c>
      <c r="H544" t="s">
        <v>38</v>
      </c>
    </row>
    <row r="545" spans="1:8" x14ac:dyDescent="0.35">
      <c r="A545">
        <v>2544</v>
      </c>
      <c r="B545" t="s">
        <v>576</v>
      </c>
      <c r="C545" t="s">
        <v>56</v>
      </c>
      <c r="D545" t="s">
        <v>27</v>
      </c>
      <c r="E545" s="1">
        <v>46002</v>
      </c>
      <c r="F545">
        <v>56412</v>
      </c>
      <c r="G545">
        <v>53303</v>
      </c>
      <c r="H545" t="s">
        <v>25</v>
      </c>
    </row>
    <row r="546" spans="1:8" x14ac:dyDescent="0.35">
      <c r="A546">
        <v>2545</v>
      </c>
      <c r="B546" t="s">
        <v>577</v>
      </c>
      <c r="C546" t="s">
        <v>33</v>
      </c>
      <c r="D546" t="s">
        <v>10</v>
      </c>
      <c r="E546" s="1">
        <v>45679</v>
      </c>
      <c r="F546">
        <v>41625</v>
      </c>
      <c r="G546">
        <v>40391</v>
      </c>
      <c r="H546" t="s">
        <v>15</v>
      </c>
    </row>
    <row r="547" spans="1:8" x14ac:dyDescent="0.35">
      <c r="A547">
        <v>2546</v>
      </c>
      <c r="B547" t="s">
        <v>578</v>
      </c>
      <c r="C547" t="s">
        <v>33</v>
      </c>
      <c r="D547" t="s">
        <v>14</v>
      </c>
      <c r="E547" s="1">
        <v>46005</v>
      </c>
      <c r="F547">
        <v>59188</v>
      </c>
      <c r="G547">
        <v>52601</v>
      </c>
      <c r="H547" t="s">
        <v>25</v>
      </c>
    </row>
    <row r="548" spans="1:8" x14ac:dyDescent="0.35">
      <c r="A548">
        <v>2547</v>
      </c>
      <c r="B548" t="s">
        <v>579</v>
      </c>
      <c r="C548" t="s">
        <v>56</v>
      </c>
      <c r="D548" t="s">
        <v>10</v>
      </c>
      <c r="E548" s="1">
        <v>45942</v>
      </c>
      <c r="F548">
        <v>47076</v>
      </c>
      <c r="G548">
        <v>33438</v>
      </c>
      <c r="H548" t="s">
        <v>22</v>
      </c>
    </row>
    <row r="549" spans="1:8" x14ac:dyDescent="0.35">
      <c r="A549">
        <v>2548</v>
      </c>
      <c r="B549" t="s">
        <v>580</v>
      </c>
      <c r="C549" t="s">
        <v>9</v>
      </c>
      <c r="D549" t="s">
        <v>10</v>
      </c>
      <c r="E549" s="1">
        <v>45926</v>
      </c>
      <c r="F549">
        <v>39029</v>
      </c>
      <c r="G549">
        <v>38803</v>
      </c>
      <c r="H549" t="s">
        <v>53</v>
      </c>
    </row>
    <row r="550" spans="1:8" x14ac:dyDescent="0.35">
      <c r="A550">
        <v>2549</v>
      </c>
      <c r="B550" t="s">
        <v>581</v>
      </c>
      <c r="C550" t="s">
        <v>33</v>
      </c>
      <c r="D550" t="s">
        <v>27</v>
      </c>
      <c r="E550" s="1">
        <v>45915</v>
      </c>
      <c r="F550">
        <v>42973</v>
      </c>
      <c r="G550">
        <v>38830</v>
      </c>
      <c r="H550" t="s">
        <v>53</v>
      </c>
    </row>
    <row r="551" spans="1:8" x14ac:dyDescent="0.35">
      <c r="A551">
        <v>2550</v>
      </c>
      <c r="B551" t="s">
        <v>582</v>
      </c>
      <c r="C551" t="s">
        <v>45</v>
      </c>
      <c r="D551" t="s">
        <v>14</v>
      </c>
      <c r="E551" s="1">
        <v>45686</v>
      </c>
      <c r="F551">
        <v>59121</v>
      </c>
      <c r="G551">
        <v>51936</v>
      </c>
      <c r="H551" t="s">
        <v>15</v>
      </c>
    </row>
    <row r="552" spans="1:8" x14ac:dyDescent="0.35">
      <c r="A552">
        <v>2551</v>
      </c>
      <c r="B552" t="s">
        <v>583</v>
      </c>
      <c r="C552" t="s">
        <v>45</v>
      </c>
      <c r="D552" t="s">
        <v>18</v>
      </c>
      <c r="E552" s="1">
        <v>45870</v>
      </c>
      <c r="F552">
        <v>51433</v>
      </c>
      <c r="G552">
        <v>40282</v>
      </c>
      <c r="H552" t="s">
        <v>38</v>
      </c>
    </row>
    <row r="553" spans="1:8" x14ac:dyDescent="0.35">
      <c r="A553">
        <v>2552</v>
      </c>
      <c r="B553" t="s">
        <v>584</v>
      </c>
      <c r="C553" t="s">
        <v>56</v>
      </c>
      <c r="D553" t="s">
        <v>18</v>
      </c>
      <c r="E553" s="1">
        <v>45940</v>
      </c>
      <c r="F553">
        <v>21932</v>
      </c>
      <c r="G553">
        <v>16374</v>
      </c>
      <c r="H553" t="s">
        <v>22</v>
      </c>
    </row>
    <row r="554" spans="1:8" x14ac:dyDescent="0.35">
      <c r="A554">
        <v>2553</v>
      </c>
      <c r="B554" t="s">
        <v>585</v>
      </c>
      <c r="C554" t="s">
        <v>17</v>
      </c>
      <c r="D554" t="s">
        <v>10</v>
      </c>
      <c r="E554" s="1">
        <v>45707</v>
      </c>
      <c r="F554">
        <v>21757</v>
      </c>
      <c r="G554">
        <v>11735</v>
      </c>
      <c r="H554" t="s">
        <v>77</v>
      </c>
    </row>
    <row r="555" spans="1:8" x14ac:dyDescent="0.35">
      <c r="A555">
        <v>2554</v>
      </c>
      <c r="B555" t="s">
        <v>586</v>
      </c>
      <c r="C555" t="s">
        <v>17</v>
      </c>
      <c r="D555" t="s">
        <v>14</v>
      </c>
      <c r="E555" s="1">
        <v>45752</v>
      </c>
      <c r="F555">
        <v>50722</v>
      </c>
      <c r="G555">
        <v>38751</v>
      </c>
      <c r="H555" t="s">
        <v>11</v>
      </c>
    </row>
    <row r="556" spans="1:8" x14ac:dyDescent="0.35">
      <c r="A556">
        <v>2555</v>
      </c>
      <c r="B556" t="s">
        <v>587</v>
      </c>
      <c r="C556" t="s">
        <v>56</v>
      </c>
      <c r="D556" t="s">
        <v>14</v>
      </c>
      <c r="E556" s="1">
        <v>45745</v>
      </c>
      <c r="F556">
        <v>57853</v>
      </c>
      <c r="G556">
        <v>57667</v>
      </c>
      <c r="H556" t="s">
        <v>19</v>
      </c>
    </row>
    <row r="557" spans="1:8" x14ac:dyDescent="0.35">
      <c r="A557">
        <v>2556</v>
      </c>
      <c r="B557" t="s">
        <v>588</v>
      </c>
      <c r="C557" t="s">
        <v>17</v>
      </c>
      <c r="D557" t="s">
        <v>27</v>
      </c>
      <c r="E557" s="1">
        <v>45701</v>
      </c>
      <c r="F557">
        <v>58405</v>
      </c>
      <c r="G557">
        <v>43725</v>
      </c>
      <c r="H557" t="s">
        <v>77</v>
      </c>
    </row>
    <row r="558" spans="1:8" x14ac:dyDescent="0.35">
      <c r="A558">
        <v>2557</v>
      </c>
      <c r="B558" t="s">
        <v>589</v>
      </c>
      <c r="C558" t="s">
        <v>9</v>
      </c>
      <c r="D558" t="s">
        <v>21</v>
      </c>
      <c r="E558" s="1">
        <v>45935</v>
      </c>
      <c r="F558">
        <v>21116</v>
      </c>
      <c r="G558">
        <v>6557</v>
      </c>
      <c r="H558" t="s">
        <v>22</v>
      </c>
    </row>
    <row r="559" spans="1:8" x14ac:dyDescent="0.35">
      <c r="A559">
        <v>2558</v>
      </c>
      <c r="B559" t="s">
        <v>590</v>
      </c>
      <c r="C559" t="s">
        <v>9</v>
      </c>
      <c r="D559" t="s">
        <v>18</v>
      </c>
      <c r="E559" s="1">
        <v>45828</v>
      </c>
      <c r="F559">
        <v>31691</v>
      </c>
      <c r="G559">
        <v>20622</v>
      </c>
      <c r="H559" t="s">
        <v>67</v>
      </c>
    </row>
    <row r="560" spans="1:8" x14ac:dyDescent="0.35">
      <c r="A560">
        <v>2559</v>
      </c>
      <c r="B560" t="s">
        <v>591</v>
      </c>
      <c r="C560" t="s">
        <v>17</v>
      </c>
      <c r="D560" t="s">
        <v>27</v>
      </c>
      <c r="E560" s="1">
        <v>45846</v>
      </c>
      <c r="F560">
        <v>20492</v>
      </c>
      <c r="G560">
        <v>17957</v>
      </c>
      <c r="H560" t="s">
        <v>43</v>
      </c>
    </row>
    <row r="561" spans="1:8" x14ac:dyDescent="0.35">
      <c r="A561">
        <v>2560</v>
      </c>
      <c r="B561" t="s">
        <v>592</v>
      </c>
      <c r="C561" t="s">
        <v>45</v>
      </c>
      <c r="D561" t="s">
        <v>37</v>
      </c>
      <c r="E561" s="1">
        <v>46010</v>
      </c>
      <c r="F561">
        <v>47882</v>
      </c>
      <c r="G561">
        <v>45950</v>
      </c>
      <c r="H561" t="s">
        <v>25</v>
      </c>
    </row>
    <row r="562" spans="1:8" x14ac:dyDescent="0.35">
      <c r="A562">
        <v>2561</v>
      </c>
      <c r="B562" t="s">
        <v>593</v>
      </c>
      <c r="C562" t="s">
        <v>17</v>
      </c>
      <c r="D562" t="s">
        <v>18</v>
      </c>
      <c r="E562" s="1">
        <v>45841</v>
      </c>
      <c r="F562">
        <v>28811</v>
      </c>
      <c r="G562">
        <v>17695</v>
      </c>
      <c r="H562" t="s">
        <v>43</v>
      </c>
    </row>
    <row r="563" spans="1:8" x14ac:dyDescent="0.35">
      <c r="A563">
        <v>2562</v>
      </c>
      <c r="B563" t="s">
        <v>594</v>
      </c>
      <c r="C563" t="s">
        <v>9</v>
      </c>
      <c r="D563" t="s">
        <v>27</v>
      </c>
      <c r="E563" s="1">
        <v>45660</v>
      </c>
      <c r="F563">
        <v>47808</v>
      </c>
      <c r="G563">
        <v>38768</v>
      </c>
      <c r="H563" t="s">
        <v>15</v>
      </c>
    </row>
    <row r="564" spans="1:8" x14ac:dyDescent="0.35">
      <c r="A564">
        <v>2563</v>
      </c>
      <c r="B564" t="s">
        <v>595</v>
      </c>
      <c r="C564" t="s">
        <v>24</v>
      </c>
      <c r="D564" t="s">
        <v>18</v>
      </c>
      <c r="E564" s="1">
        <v>45848</v>
      </c>
      <c r="F564">
        <v>44272</v>
      </c>
      <c r="G564">
        <v>42240</v>
      </c>
      <c r="H564" t="s">
        <v>43</v>
      </c>
    </row>
    <row r="565" spans="1:8" x14ac:dyDescent="0.35">
      <c r="A565">
        <v>2564</v>
      </c>
      <c r="B565" t="s">
        <v>596</v>
      </c>
      <c r="C565" t="s">
        <v>13</v>
      </c>
      <c r="D565" t="s">
        <v>21</v>
      </c>
      <c r="E565" s="1">
        <v>45775</v>
      </c>
      <c r="F565">
        <v>48399</v>
      </c>
      <c r="G565">
        <v>47147</v>
      </c>
      <c r="H565" t="s">
        <v>11</v>
      </c>
    </row>
    <row r="566" spans="1:8" x14ac:dyDescent="0.35">
      <c r="A566">
        <v>2565</v>
      </c>
      <c r="B566" t="s">
        <v>597</v>
      </c>
      <c r="C566" t="s">
        <v>33</v>
      </c>
      <c r="D566" t="s">
        <v>37</v>
      </c>
      <c r="E566" s="1">
        <v>45676</v>
      </c>
      <c r="F566">
        <v>26474</v>
      </c>
      <c r="G566">
        <v>20965</v>
      </c>
      <c r="H566" t="s">
        <v>15</v>
      </c>
    </row>
    <row r="567" spans="1:8" x14ac:dyDescent="0.35">
      <c r="A567">
        <v>2566</v>
      </c>
      <c r="B567" t="s">
        <v>598</v>
      </c>
      <c r="C567" t="s">
        <v>24</v>
      </c>
      <c r="D567" t="s">
        <v>21</v>
      </c>
      <c r="E567" s="1">
        <v>45680</v>
      </c>
      <c r="F567">
        <v>46956</v>
      </c>
      <c r="G567">
        <v>41882</v>
      </c>
      <c r="H567" t="s">
        <v>15</v>
      </c>
    </row>
    <row r="568" spans="1:8" x14ac:dyDescent="0.35">
      <c r="A568">
        <v>2567</v>
      </c>
      <c r="B568" t="s">
        <v>599</v>
      </c>
      <c r="C568" t="s">
        <v>17</v>
      </c>
      <c r="D568" t="s">
        <v>37</v>
      </c>
      <c r="E568" s="1">
        <v>45687</v>
      </c>
      <c r="F568">
        <v>33979</v>
      </c>
      <c r="G568">
        <v>20079</v>
      </c>
      <c r="H568" t="s">
        <v>15</v>
      </c>
    </row>
    <row r="569" spans="1:8" x14ac:dyDescent="0.35">
      <c r="A569">
        <v>2568</v>
      </c>
      <c r="B569" t="s">
        <v>600</v>
      </c>
      <c r="C569" t="s">
        <v>45</v>
      </c>
      <c r="D569" t="s">
        <v>10</v>
      </c>
      <c r="E569" s="1">
        <v>45952</v>
      </c>
      <c r="F569">
        <v>48328</v>
      </c>
      <c r="G569">
        <v>35024</v>
      </c>
      <c r="H569" t="s">
        <v>22</v>
      </c>
    </row>
    <row r="570" spans="1:8" x14ac:dyDescent="0.35">
      <c r="A570">
        <v>2569</v>
      </c>
      <c r="B570" t="s">
        <v>601</v>
      </c>
      <c r="C570" t="s">
        <v>56</v>
      </c>
      <c r="D570" t="s">
        <v>27</v>
      </c>
      <c r="E570" s="1">
        <v>45765</v>
      </c>
      <c r="F570">
        <v>32867</v>
      </c>
      <c r="G570">
        <v>18344</v>
      </c>
      <c r="H570" t="s">
        <v>11</v>
      </c>
    </row>
    <row r="571" spans="1:8" x14ac:dyDescent="0.35">
      <c r="A571">
        <v>2570</v>
      </c>
      <c r="B571" t="s">
        <v>602</v>
      </c>
      <c r="C571" t="s">
        <v>17</v>
      </c>
      <c r="D571" t="s">
        <v>37</v>
      </c>
      <c r="E571" s="1">
        <v>45938</v>
      </c>
      <c r="F571">
        <v>45851</v>
      </c>
      <c r="G571">
        <v>43970</v>
      </c>
      <c r="H571" t="s">
        <v>22</v>
      </c>
    </row>
    <row r="572" spans="1:8" x14ac:dyDescent="0.35">
      <c r="A572">
        <v>2571</v>
      </c>
      <c r="B572" t="s">
        <v>603</v>
      </c>
      <c r="C572" t="s">
        <v>45</v>
      </c>
      <c r="D572" t="s">
        <v>21</v>
      </c>
      <c r="E572" s="1">
        <v>45785</v>
      </c>
      <c r="F572">
        <v>51279</v>
      </c>
      <c r="G572">
        <v>51010</v>
      </c>
      <c r="H572" t="s">
        <v>31</v>
      </c>
    </row>
    <row r="573" spans="1:8" x14ac:dyDescent="0.35">
      <c r="A573">
        <v>2572</v>
      </c>
      <c r="B573" t="s">
        <v>604</v>
      </c>
      <c r="C573" t="s">
        <v>13</v>
      </c>
      <c r="D573" t="s">
        <v>18</v>
      </c>
      <c r="E573" s="1">
        <v>45886</v>
      </c>
      <c r="F573">
        <v>50527</v>
      </c>
      <c r="G573">
        <v>48897</v>
      </c>
      <c r="H573" t="s">
        <v>38</v>
      </c>
    </row>
    <row r="574" spans="1:8" x14ac:dyDescent="0.35">
      <c r="A574">
        <v>2573</v>
      </c>
      <c r="B574" t="s">
        <v>605</v>
      </c>
      <c r="C574" t="s">
        <v>17</v>
      </c>
      <c r="D574" t="s">
        <v>37</v>
      </c>
      <c r="E574" s="1">
        <v>45768</v>
      </c>
      <c r="F574">
        <v>27866</v>
      </c>
      <c r="G574">
        <v>23461</v>
      </c>
      <c r="H574" t="s">
        <v>11</v>
      </c>
    </row>
    <row r="575" spans="1:8" x14ac:dyDescent="0.35">
      <c r="A575">
        <v>2574</v>
      </c>
      <c r="B575" t="s">
        <v>606</v>
      </c>
      <c r="C575" t="s">
        <v>9</v>
      </c>
      <c r="D575" t="s">
        <v>27</v>
      </c>
      <c r="E575" s="1">
        <v>45793</v>
      </c>
      <c r="F575">
        <v>35449</v>
      </c>
      <c r="G575">
        <v>24054</v>
      </c>
      <c r="H575" t="s">
        <v>31</v>
      </c>
    </row>
    <row r="576" spans="1:8" x14ac:dyDescent="0.35">
      <c r="A576">
        <v>2575</v>
      </c>
      <c r="B576" t="s">
        <v>607</v>
      </c>
      <c r="C576" t="s">
        <v>56</v>
      </c>
      <c r="D576" t="s">
        <v>37</v>
      </c>
      <c r="E576" s="1">
        <v>46019</v>
      </c>
      <c r="F576">
        <v>30685</v>
      </c>
      <c r="G576">
        <v>24546</v>
      </c>
      <c r="H576" t="s">
        <v>25</v>
      </c>
    </row>
    <row r="577" spans="1:8" x14ac:dyDescent="0.35">
      <c r="A577">
        <v>2576</v>
      </c>
      <c r="B577" t="s">
        <v>608</v>
      </c>
      <c r="C577" t="s">
        <v>45</v>
      </c>
      <c r="D577" t="s">
        <v>14</v>
      </c>
      <c r="E577" s="1">
        <v>45843</v>
      </c>
      <c r="F577">
        <v>43544</v>
      </c>
      <c r="G577">
        <v>41970</v>
      </c>
      <c r="H577" t="s">
        <v>43</v>
      </c>
    </row>
    <row r="578" spans="1:8" x14ac:dyDescent="0.35">
      <c r="A578">
        <v>2577</v>
      </c>
      <c r="B578" t="s">
        <v>609</v>
      </c>
      <c r="C578" t="s">
        <v>45</v>
      </c>
      <c r="D578" t="s">
        <v>18</v>
      </c>
      <c r="E578" s="1">
        <v>45801</v>
      </c>
      <c r="F578">
        <v>25451</v>
      </c>
      <c r="G578">
        <v>12068</v>
      </c>
      <c r="H578" t="s">
        <v>31</v>
      </c>
    </row>
    <row r="579" spans="1:8" x14ac:dyDescent="0.35">
      <c r="A579">
        <v>2578</v>
      </c>
      <c r="B579" t="s">
        <v>610</v>
      </c>
      <c r="C579" t="s">
        <v>45</v>
      </c>
      <c r="D579" t="s">
        <v>27</v>
      </c>
      <c r="E579" s="1">
        <v>45729</v>
      </c>
      <c r="F579">
        <v>41642</v>
      </c>
      <c r="G579">
        <v>30558</v>
      </c>
      <c r="H579" t="s">
        <v>19</v>
      </c>
    </row>
    <row r="580" spans="1:8" x14ac:dyDescent="0.35">
      <c r="A580">
        <v>2579</v>
      </c>
      <c r="B580" t="s">
        <v>611</v>
      </c>
      <c r="C580" t="s">
        <v>13</v>
      </c>
      <c r="D580" t="s">
        <v>27</v>
      </c>
      <c r="E580" s="1">
        <v>45786</v>
      </c>
      <c r="F580">
        <v>59954</v>
      </c>
      <c r="G580">
        <v>58259</v>
      </c>
      <c r="H580" t="s">
        <v>31</v>
      </c>
    </row>
    <row r="581" spans="1:8" x14ac:dyDescent="0.35">
      <c r="A581">
        <v>2580</v>
      </c>
      <c r="B581" t="s">
        <v>612</v>
      </c>
      <c r="C581" t="s">
        <v>17</v>
      </c>
      <c r="D581" t="s">
        <v>10</v>
      </c>
      <c r="E581" s="1">
        <v>46021</v>
      </c>
      <c r="F581">
        <v>58870</v>
      </c>
      <c r="G581">
        <v>55612</v>
      </c>
      <c r="H581" t="s">
        <v>25</v>
      </c>
    </row>
    <row r="582" spans="1:8" x14ac:dyDescent="0.35">
      <c r="A582">
        <v>2581</v>
      </c>
      <c r="B582" t="s">
        <v>613</v>
      </c>
      <c r="C582" t="s">
        <v>13</v>
      </c>
      <c r="D582" t="s">
        <v>21</v>
      </c>
      <c r="E582" s="1">
        <v>45918</v>
      </c>
      <c r="F582">
        <v>51030</v>
      </c>
      <c r="G582">
        <v>36209</v>
      </c>
      <c r="H582" t="s">
        <v>53</v>
      </c>
    </row>
    <row r="583" spans="1:8" x14ac:dyDescent="0.35">
      <c r="A583">
        <v>2582</v>
      </c>
      <c r="B583" t="s">
        <v>614</v>
      </c>
      <c r="C583" t="s">
        <v>33</v>
      </c>
      <c r="D583" t="s">
        <v>10</v>
      </c>
      <c r="E583" s="1">
        <v>45660</v>
      </c>
      <c r="F583">
        <v>50873</v>
      </c>
      <c r="G583">
        <v>47611</v>
      </c>
      <c r="H583" t="s">
        <v>15</v>
      </c>
    </row>
    <row r="584" spans="1:8" x14ac:dyDescent="0.35">
      <c r="A584">
        <v>2583</v>
      </c>
      <c r="B584" t="s">
        <v>615</v>
      </c>
      <c r="C584" t="s">
        <v>33</v>
      </c>
      <c r="D584" t="s">
        <v>27</v>
      </c>
      <c r="E584" s="1">
        <v>45761</v>
      </c>
      <c r="F584">
        <v>20619</v>
      </c>
      <c r="G584">
        <v>19174</v>
      </c>
      <c r="H584" t="s">
        <v>11</v>
      </c>
    </row>
    <row r="585" spans="1:8" x14ac:dyDescent="0.35">
      <c r="A585">
        <v>2584</v>
      </c>
      <c r="B585" t="s">
        <v>616</v>
      </c>
      <c r="C585" t="s">
        <v>17</v>
      </c>
      <c r="D585" t="s">
        <v>18</v>
      </c>
      <c r="E585" s="1">
        <v>45881</v>
      </c>
      <c r="F585">
        <v>53650</v>
      </c>
      <c r="G585">
        <v>47387</v>
      </c>
      <c r="H585" t="s">
        <v>38</v>
      </c>
    </row>
    <row r="586" spans="1:8" x14ac:dyDescent="0.35">
      <c r="A586">
        <v>2585</v>
      </c>
      <c r="B586" t="s">
        <v>617</v>
      </c>
      <c r="C586" t="s">
        <v>9</v>
      </c>
      <c r="D586" t="s">
        <v>37</v>
      </c>
      <c r="E586" s="1">
        <v>45977</v>
      </c>
      <c r="F586">
        <v>45372</v>
      </c>
      <c r="G586">
        <v>36961</v>
      </c>
      <c r="H586" t="s">
        <v>29</v>
      </c>
    </row>
    <row r="587" spans="1:8" x14ac:dyDescent="0.35">
      <c r="A587">
        <v>2586</v>
      </c>
      <c r="B587" t="s">
        <v>618</v>
      </c>
      <c r="C587" t="s">
        <v>13</v>
      </c>
      <c r="D587" t="s">
        <v>37</v>
      </c>
      <c r="E587" s="1">
        <v>46019</v>
      </c>
      <c r="F587">
        <v>23642</v>
      </c>
      <c r="G587">
        <v>23590</v>
      </c>
      <c r="H587" t="s">
        <v>25</v>
      </c>
    </row>
    <row r="588" spans="1:8" x14ac:dyDescent="0.35">
      <c r="A588">
        <v>2587</v>
      </c>
      <c r="B588" t="s">
        <v>619</v>
      </c>
      <c r="C588" t="s">
        <v>56</v>
      </c>
      <c r="D588" t="s">
        <v>18</v>
      </c>
      <c r="E588" s="1">
        <v>46011</v>
      </c>
      <c r="F588">
        <v>48001</v>
      </c>
      <c r="G588">
        <v>38052</v>
      </c>
      <c r="H588" t="s">
        <v>25</v>
      </c>
    </row>
    <row r="589" spans="1:8" x14ac:dyDescent="0.35">
      <c r="A589">
        <v>2588</v>
      </c>
      <c r="B589" t="s">
        <v>620</v>
      </c>
      <c r="C589" t="s">
        <v>45</v>
      </c>
      <c r="D589" t="s">
        <v>27</v>
      </c>
      <c r="E589" s="1">
        <v>45667</v>
      </c>
      <c r="F589">
        <v>54064</v>
      </c>
      <c r="G589">
        <v>48494</v>
      </c>
      <c r="H589" t="s">
        <v>15</v>
      </c>
    </row>
    <row r="590" spans="1:8" x14ac:dyDescent="0.35">
      <c r="A590">
        <v>2589</v>
      </c>
      <c r="B590" t="s">
        <v>621</v>
      </c>
      <c r="C590" t="s">
        <v>45</v>
      </c>
      <c r="D590" t="s">
        <v>37</v>
      </c>
      <c r="E590" s="1">
        <v>45959</v>
      </c>
      <c r="F590">
        <v>49290</v>
      </c>
      <c r="G590">
        <v>41711</v>
      </c>
      <c r="H590" t="s">
        <v>22</v>
      </c>
    </row>
    <row r="591" spans="1:8" x14ac:dyDescent="0.35">
      <c r="A591">
        <v>2590</v>
      </c>
      <c r="B591" t="s">
        <v>622</v>
      </c>
      <c r="C591" t="s">
        <v>17</v>
      </c>
      <c r="D591" t="s">
        <v>37</v>
      </c>
      <c r="E591" s="1">
        <v>45888</v>
      </c>
      <c r="F591">
        <v>34122</v>
      </c>
      <c r="G591">
        <v>32456</v>
      </c>
      <c r="H591" t="s">
        <v>38</v>
      </c>
    </row>
    <row r="592" spans="1:8" x14ac:dyDescent="0.35">
      <c r="A592">
        <v>2591</v>
      </c>
      <c r="B592" t="s">
        <v>623</v>
      </c>
      <c r="C592" t="s">
        <v>9</v>
      </c>
      <c r="D592" t="s">
        <v>37</v>
      </c>
      <c r="E592" s="1">
        <v>45876</v>
      </c>
      <c r="F592">
        <v>44820</v>
      </c>
      <c r="G592">
        <v>31272</v>
      </c>
      <c r="H592" t="s">
        <v>38</v>
      </c>
    </row>
    <row r="593" spans="1:8" x14ac:dyDescent="0.35">
      <c r="A593">
        <v>2592</v>
      </c>
      <c r="B593" t="s">
        <v>624</v>
      </c>
      <c r="C593" t="s">
        <v>33</v>
      </c>
      <c r="D593" t="s">
        <v>21</v>
      </c>
      <c r="E593" s="1">
        <v>45723</v>
      </c>
      <c r="F593">
        <v>22895</v>
      </c>
      <c r="G593">
        <v>15994</v>
      </c>
      <c r="H593" t="s">
        <v>19</v>
      </c>
    </row>
    <row r="594" spans="1:8" x14ac:dyDescent="0.35">
      <c r="A594">
        <v>2593</v>
      </c>
      <c r="B594" t="s">
        <v>625</v>
      </c>
      <c r="C594" t="s">
        <v>33</v>
      </c>
      <c r="D594" t="s">
        <v>21</v>
      </c>
      <c r="E594" s="1">
        <v>45769</v>
      </c>
      <c r="F594">
        <v>25366</v>
      </c>
      <c r="G594">
        <v>22581</v>
      </c>
      <c r="H594" t="s">
        <v>11</v>
      </c>
    </row>
    <row r="595" spans="1:8" x14ac:dyDescent="0.35">
      <c r="A595">
        <v>2594</v>
      </c>
      <c r="B595" t="s">
        <v>626</v>
      </c>
      <c r="C595" t="s">
        <v>45</v>
      </c>
      <c r="D595" t="s">
        <v>14</v>
      </c>
      <c r="E595" s="1">
        <v>45670</v>
      </c>
      <c r="F595">
        <v>28711</v>
      </c>
      <c r="G595">
        <v>27992</v>
      </c>
      <c r="H595" t="s">
        <v>15</v>
      </c>
    </row>
    <row r="596" spans="1:8" x14ac:dyDescent="0.35">
      <c r="A596">
        <v>2595</v>
      </c>
      <c r="B596" t="s">
        <v>627</v>
      </c>
      <c r="C596" t="s">
        <v>17</v>
      </c>
      <c r="D596" t="s">
        <v>10</v>
      </c>
      <c r="E596" s="1">
        <v>45743</v>
      </c>
      <c r="F596">
        <v>39596</v>
      </c>
      <c r="G596">
        <v>30999</v>
      </c>
      <c r="H596" t="s">
        <v>19</v>
      </c>
    </row>
    <row r="597" spans="1:8" x14ac:dyDescent="0.35">
      <c r="A597">
        <v>2596</v>
      </c>
      <c r="B597" t="s">
        <v>628</v>
      </c>
      <c r="C597" t="s">
        <v>13</v>
      </c>
      <c r="D597" t="s">
        <v>18</v>
      </c>
      <c r="E597" s="1">
        <v>45891</v>
      </c>
      <c r="F597">
        <v>38793</v>
      </c>
      <c r="G597">
        <v>23850</v>
      </c>
      <c r="H597" t="s">
        <v>38</v>
      </c>
    </row>
    <row r="598" spans="1:8" x14ac:dyDescent="0.35">
      <c r="A598">
        <v>2597</v>
      </c>
      <c r="B598" t="s">
        <v>629</v>
      </c>
      <c r="C598" t="s">
        <v>33</v>
      </c>
      <c r="D598" t="s">
        <v>18</v>
      </c>
      <c r="E598" s="1">
        <v>45747</v>
      </c>
      <c r="F598">
        <v>28199</v>
      </c>
      <c r="G598">
        <v>13442</v>
      </c>
      <c r="H598" t="s">
        <v>19</v>
      </c>
    </row>
    <row r="599" spans="1:8" x14ac:dyDescent="0.35">
      <c r="A599">
        <v>2598</v>
      </c>
      <c r="B599" t="s">
        <v>630</v>
      </c>
      <c r="C599" t="s">
        <v>13</v>
      </c>
      <c r="D599" t="s">
        <v>18</v>
      </c>
      <c r="E599" s="1">
        <v>45971</v>
      </c>
      <c r="F599">
        <v>30717</v>
      </c>
      <c r="G599">
        <v>23862</v>
      </c>
      <c r="H599" t="s">
        <v>29</v>
      </c>
    </row>
    <row r="600" spans="1:8" x14ac:dyDescent="0.35">
      <c r="A600">
        <v>2599</v>
      </c>
      <c r="B600" t="s">
        <v>631</v>
      </c>
      <c r="C600" t="s">
        <v>9</v>
      </c>
      <c r="D600" t="s">
        <v>14</v>
      </c>
      <c r="E600" s="1">
        <v>45711</v>
      </c>
      <c r="F600">
        <v>56191</v>
      </c>
      <c r="G600">
        <v>53897</v>
      </c>
      <c r="H600" t="s">
        <v>77</v>
      </c>
    </row>
    <row r="601" spans="1:8" x14ac:dyDescent="0.35">
      <c r="A601">
        <v>2600</v>
      </c>
      <c r="B601" t="s">
        <v>632</v>
      </c>
      <c r="C601" t="s">
        <v>33</v>
      </c>
      <c r="D601" t="s">
        <v>21</v>
      </c>
      <c r="E601" s="1">
        <v>45669</v>
      </c>
      <c r="F601">
        <v>30211</v>
      </c>
      <c r="G601">
        <v>21948</v>
      </c>
      <c r="H601" t="s">
        <v>15</v>
      </c>
    </row>
    <row r="602" spans="1:8" x14ac:dyDescent="0.35">
      <c r="A602">
        <v>2601</v>
      </c>
      <c r="B602" t="s">
        <v>633</v>
      </c>
      <c r="C602" t="s">
        <v>33</v>
      </c>
      <c r="D602" t="s">
        <v>27</v>
      </c>
      <c r="E602" s="1">
        <v>45866</v>
      </c>
      <c r="F602">
        <v>43360</v>
      </c>
      <c r="G602">
        <v>29219</v>
      </c>
      <c r="H602" t="s">
        <v>43</v>
      </c>
    </row>
    <row r="603" spans="1:8" x14ac:dyDescent="0.35">
      <c r="A603">
        <v>2602</v>
      </c>
      <c r="B603" t="s">
        <v>634</v>
      </c>
      <c r="C603" t="s">
        <v>24</v>
      </c>
      <c r="D603" t="s">
        <v>27</v>
      </c>
      <c r="E603" s="1">
        <v>45671</v>
      </c>
      <c r="F603">
        <v>41542</v>
      </c>
      <c r="G603">
        <v>27022</v>
      </c>
      <c r="H603" t="s">
        <v>15</v>
      </c>
    </row>
    <row r="604" spans="1:8" x14ac:dyDescent="0.35">
      <c r="A604">
        <v>2603</v>
      </c>
      <c r="B604" t="s">
        <v>635</v>
      </c>
      <c r="C604" t="s">
        <v>33</v>
      </c>
      <c r="D604" t="s">
        <v>14</v>
      </c>
      <c r="E604" s="1">
        <v>45778</v>
      </c>
      <c r="F604">
        <v>51312</v>
      </c>
      <c r="G604">
        <v>41067</v>
      </c>
      <c r="H604" t="s">
        <v>31</v>
      </c>
    </row>
    <row r="605" spans="1:8" x14ac:dyDescent="0.35">
      <c r="A605">
        <v>2604</v>
      </c>
      <c r="B605" t="s">
        <v>636</v>
      </c>
      <c r="C605" t="s">
        <v>56</v>
      </c>
      <c r="D605" t="s">
        <v>27</v>
      </c>
      <c r="E605" s="1">
        <v>45677</v>
      </c>
      <c r="F605">
        <v>56435</v>
      </c>
      <c r="G605">
        <v>47014</v>
      </c>
      <c r="H605" t="s">
        <v>15</v>
      </c>
    </row>
    <row r="606" spans="1:8" x14ac:dyDescent="0.35">
      <c r="A606">
        <v>2605</v>
      </c>
      <c r="B606" t="s">
        <v>637</v>
      </c>
      <c r="C606" t="s">
        <v>17</v>
      </c>
      <c r="D606" t="s">
        <v>18</v>
      </c>
      <c r="E606" s="1">
        <v>45732</v>
      </c>
      <c r="F606">
        <v>48247</v>
      </c>
      <c r="G606">
        <v>38488</v>
      </c>
      <c r="H606" t="s">
        <v>19</v>
      </c>
    </row>
    <row r="607" spans="1:8" x14ac:dyDescent="0.35">
      <c r="A607">
        <v>2606</v>
      </c>
      <c r="B607" t="s">
        <v>638</v>
      </c>
      <c r="C607" t="s">
        <v>17</v>
      </c>
      <c r="D607" t="s">
        <v>10</v>
      </c>
      <c r="E607" s="1">
        <v>45900</v>
      </c>
      <c r="F607">
        <v>42357</v>
      </c>
      <c r="G607">
        <v>30483</v>
      </c>
      <c r="H607" t="s">
        <v>38</v>
      </c>
    </row>
    <row r="608" spans="1:8" x14ac:dyDescent="0.35">
      <c r="A608">
        <v>2607</v>
      </c>
      <c r="B608" t="s">
        <v>639</v>
      </c>
      <c r="C608" t="s">
        <v>13</v>
      </c>
      <c r="D608" t="s">
        <v>37</v>
      </c>
      <c r="E608" s="1">
        <v>45880</v>
      </c>
      <c r="F608">
        <v>47691</v>
      </c>
      <c r="G608">
        <v>36546</v>
      </c>
      <c r="H608" t="s">
        <v>38</v>
      </c>
    </row>
    <row r="609" spans="1:8" x14ac:dyDescent="0.35">
      <c r="A609">
        <v>2608</v>
      </c>
      <c r="B609" t="s">
        <v>640</v>
      </c>
      <c r="C609" t="s">
        <v>9</v>
      </c>
      <c r="D609" t="s">
        <v>21</v>
      </c>
      <c r="E609" s="1">
        <v>45727</v>
      </c>
      <c r="F609">
        <v>32424</v>
      </c>
      <c r="G609">
        <v>27942</v>
      </c>
      <c r="H609" t="s">
        <v>19</v>
      </c>
    </row>
    <row r="610" spans="1:8" x14ac:dyDescent="0.35">
      <c r="A610">
        <v>2609</v>
      </c>
      <c r="B610" t="s">
        <v>641</v>
      </c>
      <c r="C610" t="s">
        <v>33</v>
      </c>
      <c r="D610" t="s">
        <v>21</v>
      </c>
      <c r="E610" s="1">
        <v>45969</v>
      </c>
      <c r="F610">
        <v>38852</v>
      </c>
      <c r="G610">
        <v>24773</v>
      </c>
      <c r="H610" t="s">
        <v>29</v>
      </c>
    </row>
    <row r="611" spans="1:8" x14ac:dyDescent="0.35">
      <c r="A611">
        <v>2610</v>
      </c>
      <c r="B611" t="s">
        <v>642</v>
      </c>
      <c r="C611" t="s">
        <v>56</v>
      </c>
      <c r="D611" t="s">
        <v>14</v>
      </c>
      <c r="E611" s="1">
        <v>45868</v>
      </c>
      <c r="F611">
        <v>42601</v>
      </c>
      <c r="G611">
        <v>41903</v>
      </c>
      <c r="H611" t="s">
        <v>43</v>
      </c>
    </row>
    <row r="612" spans="1:8" x14ac:dyDescent="0.35">
      <c r="A612">
        <v>2611</v>
      </c>
      <c r="B612" t="s">
        <v>643</v>
      </c>
      <c r="C612" t="s">
        <v>13</v>
      </c>
      <c r="D612" t="s">
        <v>21</v>
      </c>
      <c r="E612" s="1">
        <v>45758</v>
      </c>
      <c r="F612">
        <v>38020</v>
      </c>
      <c r="G612">
        <v>30777</v>
      </c>
      <c r="H612" t="s">
        <v>11</v>
      </c>
    </row>
    <row r="613" spans="1:8" x14ac:dyDescent="0.35">
      <c r="A613">
        <v>2612</v>
      </c>
      <c r="B613" t="s">
        <v>644</v>
      </c>
      <c r="C613" t="s">
        <v>24</v>
      </c>
      <c r="D613" t="s">
        <v>18</v>
      </c>
      <c r="E613" s="1">
        <v>45843</v>
      </c>
      <c r="F613">
        <v>28155</v>
      </c>
      <c r="G613">
        <v>14667</v>
      </c>
      <c r="H613" t="s">
        <v>43</v>
      </c>
    </row>
    <row r="614" spans="1:8" x14ac:dyDescent="0.35">
      <c r="A614">
        <v>2613</v>
      </c>
      <c r="B614" t="s">
        <v>645</v>
      </c>
      <c r="C614" t="s">
        <v>13</v>
      </c>
      <c r="D614" t="s">
        <v>27</v>
      </c>
      <c r="E614" s="1">
        <v>45789</v>
      </c>
      <c r="F614">
        <v>23583</v>
      </c>
      <c r="G614">
        <v>14565</v>
      </c>
      <c r="H614" t="s">
        <v>31</v>
      </c>
    </row>
    <row r="615" spans="1:8" x14ac:dyDescent="0.35">
      <c r="A615">
        <v>2614</v>
      </c>
      <c r="B615" t="s">
        <v>646</v>
      </c>
      <c r="C615" t="s">
        <v>13</v>
      </c>
      <c r="D615" t="s">
        <v>18</v>
      </c>
      <c r="E615" s="1">
        <v>45768</v>
      </c>
      <c r="F615">
        <v>35515</v>
      </c>
      <c r="G615">
        <v>29597</v>
      </c>
      <c r="H615" t="s">
        <v>11</v>
      </c>
    </row>
    <row r="616" spans="1:8" x14ac:dyDescent="0.35">
      <c r="A616">
        <v>2615</v>
      </c>
      <c r="B616" t="s">
        <v>647</v>
      </c>
      <c r="C616" t="s">
        <v>33</v>
      </c>
      <c r="D616" t="s">
        <v>14</v>
      </c>
      <c r="E616" s="1">
        <v>45789</v>
      </c>
      <c r="F616">
        <v>56777</v>
      </c>
      <c r="G616">
        <v>56429</v>
      </c>
      <c r="H616" t="s">
        <v>31</v>
      </c>
    </row>
    <row r="617" spans="1:8" x14ac:dyDescent="0.35">
      <c r="A617">
        <v>2616</v>
      </c>
      <c r="B617" t="s">
        <v>648</v>
      </c>
      <c r="C617" t="s">
        <v>24</v>
      </c>
      <c r="D617" t="s">
        <v>18</v>
      </c>
      <c r="E617" s="1">
        <v>45677</v>
      </c>
      <c r="F617">
        <v>39710</v>
      </c>
      <c r="G617">
        <v>34336</v>
      </c>
      <c r="H617" t="s">
        <v>15</v>
      </c>
    </row>
    <row r="618" spans="1:8" x14ac:dyDescent="0.35">
      <c r="A618">
        <v>2617</v>
      </c>
      <c r="B618" t="s">
        <v>649</v>
      </c>
      <c r="C618" t="s">
        <v>13</v>
      </c>
      <c r="D618" t="s">
        <v>27</v>
      </c>
      <c r="E618" s="1">
        <v>45681</v>
      </c>
      <c r="F618">
        <v>44532</v>
      </c>
      <c r="G618">
        <v>32432</v>
      </c>
      <c r="H618" t="s">
        <v>15</v>
      </c>
    </row>
    <row r="619" spans="1:8" x14ac:dyDescent="0.35">
      <c r="A619">
        <v>2618</v>
      </c>
      <c r="B619" t="s">
        <v>650</v>
      </c>
      <c r="C619" t="s">
        <v>56</v>
      </c>
      <c r="D619" t="s">
        <v>10</v>
      </c>
      <c r="E619" s="1">
        <v>45884</v>
      </c>
      <c r="F619">
        <v>38601</v>
      </c>
      <c r="G619">
        <v>30732</v>
      </c>
      <c r="H619" t="s">
        <v>38</v>
      </c>
    </row>
    <row r="620" spans="1:8" x14ac:dyDescent="0.35">
      <c r="A620">
        <v>2619</v>
      </c>
      <c r="B620" t="s">
        <v>651</v>
      </c>
      <c r="C620" t="s">
        <v>56</v>
      </c>
      <c r="D620" t="s">
        <v>14</v>
      </c>
      <c r="E620" s="1">
        <v>45811</v>
      </c>
      <c r="F620">
        <v>24967</v>
      </c>
      <c r="G620">
        <v>24660</v>
      </c>
      <c r="H620" t="s">
        <v>67</v>
      </c>
    </row>
    <row r="621" spans="1:8" x14ac:dyDescent="0.35">
      <c r="A621">
        <v>2620</v>
      </c>
      <c r="B621" t="s">
        <v>652</v>
      </c>
      <c r="C621" t="s">
        <v>17</v>
      </c>
      <c r="D621" t="s">
        <v>10</v>
      </c>
      <c r="E621" s="1">
        <v>45950</v>
      </c>
      <c r="F621">
        <v>38753</v>
      </c>
      <c r="G621">
        <v>35337</v>
      </c>
      <c r="H621" t="s">
        <v>22</v>
      </c>
    </row>
    <row r="622" spans="1:8" x14ac:dyDescent="0.35">
      <c r="A622">
        <v>2621</v>
      </c>
      <c r="B622" t="s">
        <v>653</v>
      </c>
      <c r="C622" t="s">
        <v>24</v>
      </c>
      <c r="D622" t="s">
        <v>37</v>
      </c>
      <c r="E622" s="1">
        <v>45887</v>
      </c>
      <c r="F622">
        <v>40022</v>
      </c>
      <c r="G622">
        <v>26584</v>
      </c>
      <c r="H622" t="s">
        <v>38</v>
      </c>
    </row>
    <row r="623" spans="1:8" x14ac:dyDescent="0.35">
      <c r="A623">
        <v>2622</v>
      </c>
      <c r="B623" t="s">
        <v>654</v>
      </c>
      <c r="C623" t="s">
        <v>24</v>
      </c>
      <c r="D623" t="s">
        <v>10</v>
      </c>
      <c r="E623" s="1">
        <v>45967</v>
      </c>
      <c r="F623">
        <v>29135</v>
      </c>
      <c r="G623">
        <v>14887</v>
      </c>
      <c r="H623" t="s">
        <v>29</v>
      </c>
    </row>
    <row r="624" spans="1:8" x14ac:dyDescent="0.35">
      <c r="A624">
        <v>2623</v>
      </c>
      <c r="B624" t="s">
        <v>655</v>
      </c>
      <c r="C624" t="s">
        <v>17</v>
      </c>
      <c r="D624" t="s">
        <v>37</v>
      </c>
      <c r="E624" s="1">
        <v>46016</v>
      </c>
      <c r="F624">
        <v>25722</v>
      </c>
      <c r="G624">
        <v>15196</v>
      </c>
      <c r="H624" t="s">
        <v>25</v>
      </c>
    </row>
    <row r="625" spans="1:8" x14ac:dyDescent="0.35">
      <c r="A625">
        <v>2624</v>
      </c>
      <c r="B625" t="s">
        <v>656</v>
      </c>
      <c r="C625" t="s">
        <v>13</v>
      </c>
      <c r="D625" t="s">
        <v>37</v>
      </c>
      <c r="E625" s="1">
        <v>45859</v>
      </c>
      <c r="F625">
        <v>47413</v>
      </c>
      <c r="G625">
        <v>34360</v>
      </c>
      <c r="H625" t="s">
        <v>43</v>
      </c>
    </row>
    <row r="626" spans="1:8" x14ac:dyDescent="0.35">
      <c r="A626">
        <v>2625</v>
      </c>
      <c r="B626" t="s">
        <v>657</v>
      </c>
      <c r="C626" t="s">
        <v>24</v>
      </c>
      <c r="D626" t="s">
        <v>10</v>
      </c>
      <c r="E626" s="1">
        <v>45695</v>
      </c>
      <c r="F626">
        <v>47236</v>
      </c>
      <c r="G626">
        <v>42416</v>
      </c>
      <c r="H626" t="s">
        <v>77</v>
      </c>
    </row>
    <row r="627" spans="1:8" x14ac:dyDescent="0.35">
      <c r="A627">
        <v>2626</v>
      </c>
      <c r="B627" t="s">
        <v>658</v>
      </c>
      <c r="C627" t="s">
        <v>56</v>
      </c>
      <c r="D627" t="s">
        <v>14</v>
      </c>
      <c r="E627" s="1">
        <v>45917</v>
      </c>
      <c r="F627">
        <v>35514</v>
      </c>
      <c r="G627">
        <v>24513</v>
      </c>
      <c r="H627" t="s">
        <v>53</v>
      </c>
    </row>
    <row r="628" spans="1:8" x14ac:dyDescent="0.35">
      <c r="A628">
        <v>2627</v>
      </c>
      <c r="B628" t="s">
        <v>659</v>
      </c>
      <c r="C628" t="s">
        <v>56</v>
      </c>
      <c r="D628" t="s">
        <v>27</v>
      </c>
      <c r="E628" s="1">
        <v>45845</v>
      </c>
      <c r="F628">
        <v>57212</v>
      </c>
      <c r="G628">
        <v>43305</v>
      </c>
      <c r="H628" t="s">
        <v>43</v>
      </c>
    </row>
    <row r="629" spans="1:8" x14ac:dyDescent="0.35">
      <c r="A629">
        <v>2628</v>
      </c>
      <c r="B629" t="s">
        <v>660</v>
      </c>
      <c r="C629" t="s">
        <v>33</v>
      </c>
      <c r="D629" t="s">
        <v>18</v>
      </c>
      <c r="E629" s="1">
        <v>45714</v>
      </c>
      <c r="F629">
        <v>40331</v>
      </c>
      <c r="G629">
        <v>36773</v>
      </c>
      <c r="H629" t="s">
        <v>77</v>
      </c>
    </row>
    <row r="630" spans="1:8" x14ac:dyDescent="0.35">
      <c r="A630">
        <v>2629</v>
      </c>
      <c r="B630" t="s">
        <v>661</v>
      </c>
      <c r="C630" t="s">
        <v>24</v>
      </c>
      <c r="D630" t="s">
        <v>18</v>
      </c>
      <c r="E630" s="1">
        <v>45677</v>
      </c>
      <c r="F630">
        <v>38060</v>
      </c>
      <c r="G630">
        <v>33582</v>
      </c>
      <c r="H630" t="s">
        <v>15</v>
      </c>
    </row>
    <row r="631" spans="1:8" x14ac:dyDescent="0.35">
      <c r="A631">
        <v>2630</v>
      </c>
      <c r="B631" t="s">
        <v>662</v>
      </c>
      <c r="C631" t="s">
        <v>13</v>
      </c>
      <c r="D631" t="s">
        <v>27</v>
      </c>
      <c r="E631" s="1">
        <v>45930</v>
      </c>
      <c r="F631">
        <v>21196</v>
      </c>
      <c r="G631">
        <v>9527</v>
      </c>
      <c r="H631" t="s">
        <v>53</v>
      </c>
    </row>
    <row r="632" spans="1:8" x14ac:dyDescent="0.35">
      <c r="A632">
        <v>2631</v>
      </c>
      <c r="B632" t="s">
        <v>663</v>
      </c>
      <c r="C632" t="s">
        <v>17</v>
      </c>
      <c r="D632" t="s">
        <v>37</v>
      </c>
      <c r="E632" s="1">
        <v>45776</v>
      </c>
      <c r="F632">
        <v>32297</v>
      </c>
      <c r="G632">
        <v>25766</v>
      </c>
      <c r="H632" t="s">
        <v>11</v>
      </c>
    </row>
    <row r="633" spans="1:8" x14ac:dyDescent="0.35">
      <c r="A633">
        <v>2632</v>
      </c>
      <c r="B633" t="s">
        <v>664</v>
      </c>
      <c r="C633" t="s">
        <v>17</v>
      </c>
      <c r="D633" t="s">
        <v>37</v>
      </c>
      <c r="E633" s="1">
        <v>45728</v>
      </c>
      <c r="F633">
        <v>22787</v>
      </c>
      <c r="G633">
        <v>18167</v>
      </c>
      <c r="H633" t="s">
        <v>19</v>
      </c>
    </row>
    <row r="634" spans="1:8" x14ac:dyDescent="0.35">
      <c r="A634">
        <v>2633</v>
      </c>
      <c r="B634" t="s">
        <v>665</v>
      </c>
      <c r="C634" t="s">
        <v>13</v>
      </c>
      <c r="D634" t="s">
        <v>14</v>
      </c>
      <c r="E634" s="1">
        <v>45661</v>
      </c>
      <c r="F634">
        <v>43816</v>
      </c>
      <c r="G634">
        <v>32938</v>
      </c>
      <c r="H634" t="s">
        <v>15</v>
      </c>
    </row>
    <row r="635" spans="1:8" x14ac:dyDescent="0.35">
      <c r="A635">
        <v>2634</v>
      </c>
      <c r="B635" t="s">
        <v>666</v>
      </c>
      <c r="C635" t="s">
        <v>9</v>
      </c>
      <c r="D635" t="s">
        <v>21</v>
      </c>
      <c r="E635" s="1">
        <v>45878</v>
      </c>
      <c r="F635">
        <v>39702</v>
      </c>
      <c r="G635">
        <v>36717</v>
      </c>
      <c r="H635" t="s">
        <v>38</v>
      </c>
    </row>
    <row r="636" spans="1:8" x14ac:dyDescent="0.35">
      <c r="A636">
        <v>2635</v>
      </c>
      <c r="B636" t="s">
        <v>667</v>
      </c>
      <c r="C636" t="s">
        <v>45</v>
      </c>
      <c r="D636" t="s">
        <v>10</v>
      </c>
      <c r="E636" s="1">
        <v>45671</v>
      </c>
      <c r="F636">
        <v>45242</v>
      </c>
      <c r="G636">
        <v>37130</v>
      </c>
      <c r="H636" t="s">
        <v>15</v>
      </c>
    </row>
    <row r="637" spans="1:8" x14ac:dyDescent="0.35">
      <c r="A637">
        <v>2636</v>
      </c>
      <c r="B637" t="s">
        <v>668</v>
      </c>
      <c r="C637" t="s">
        <v>33</v>
      </c>
      <c r="D637" t="s">
        <v>37</v>
      </c>
      <c r="E637" s="1">
        <v>45660</v>
      </c>
      <c r="F637">
        <v>22176</v>
      </c>
      <c r="G637">
        <v>13709</v>
      </c>
      <c r="H637" t="s">
        <v>15</v>
      </c>
    </row>
    <row r="638" spans="1:8" x14ac:dyDescent="0.35">
      <c r="A638">
        <v>2637</v>
      </c>
      <c r="B638" t="s">
        <v>669</v>
      </c>
      <c r="C638" t="s">
        <v>17</v>
      </c>
      <c r="D638" t="s">
        <v>18</v>
      </c>
      <c r="E638" s="1">
        <v>45873</v>
      </c>
      <c r="F638">
        <v>40127</v>
      </c>
      <c r="G638">
        <v>37580</v>
      </c>
      <c r="H638" t="s">
        <v>38</v>
      </c>
    </row>
    <row r="639" spans="1:8" x14ac:dyDescent="0.35">
      <c r="A639">
        <v>2638</v>
      </c>
      <c r="B639" t="s">
        <v>670</v>
      </c>
      <c r="C639" t="s">
        <v>24</v>
      </c>
      <c r="D639" t="s">
        <v>14</v>
      </c>
      <c r="E639" s="1">
        <v>45886</v>
      </c>
      <c r="F639">
        <v>47228</v>
      </c>
      <c r="G639">
        <v>36272</v>
      </c>
      <c r="H639" t="s">
        <v>38</v>
      </c>
    </row>
    <row r="640" spans="1:8" x14ac:dyDescent="0.35">
      <c r="A640">
        <v>2639</v>
      </c>
      <c r="B640" t="s">
        <v>671</v>
      </c>
      <c r="C640" t="s">
        <v>33</v>
      </c>
      <c r="D640" t="s">
        <v>10</v>
      </c>
      <c r="E640" s="1">
        <v>45993</v>
      </c>
      <c r="F640">
        <v>40208</v>
      </c>
      <c r="G640">
        <v>39872</v>
      </c>
      <c r="H640" t="s">
        <v>25</v>
      </c>
    </row>
    <row r="641" spans="1:8" x14ac:dyDescent="0.35">
      <c r="A641">
        <v>2640</v>
      </c>
      <c r="B641" t="s">
        <v>672</v>
      </c>
      <c r="C641" t="s">
        <v>24</v>
      </c>
      <c r="D641" t="s">
        <v>14</v>
      </c>
      <c r="E641" s="1">
        <v>45843</v>
      </c>
      <c r="F641">
        <v>48482</v>
      </c>
      <c r="G641">
        <v>38317</v>
      </c>
      <c r="H641" t="s">
        <v>43</v>
      </c>
    </row>
    <row r="642" spans="1:8" x14ac:dyDescent="0.35">
      <c r="A642">
        <v>2641</v>
      </c>
      <c r="B642" t="s">
        <v>673</v>
      </c>
      <c r="C642" t="s">
        <v>9</v>
      </c>
      <c r="D642" t="s">
        <v>10</v>
      </c>
      <c r="E642" s="1">
        <v>45712</v>
      </c>
      <c r="F642">
        <v>29171</v>
      </c>
      <c r="G642">
        <v>26192</v>
      </c>
      <c r="H642" t="s">
        <v>77</v>
      </c>
    </row>
    <row r="643" spans="1:8" x14ac:dyDescent="0.35">
      <c r="A643">
        <v>2642</v>
      </c>
      <c r="B643" t="s">
        <v>674</v>
      </c>
      <c r="C643" t="s">
        <v>56</v>
      </c>
      <c r="D643" t="s">
        <v>10</v>
      </c>
      <c r="E643" s="1">
        <v>45911</v>
      </c>
      <c r="F643">
        <v>55219</v>
      </c>
      <c r="G643">
        <v>42451</v>
      </c>
      <c r="H643" t="s">
        <v>53</v>
      </c>
    </row>
    <row r="644" spans="1:8" x14ac:dyDescent="0.35">
      <c r="A644">
        <v>2643</v>
      </c>
      <c r="B644" t="s">
        <v>675</v>
      </c>
      <c r="C644" t="s">
        <v>33</v>
      </c>
      <c r="D644" t="s">
        <v>27</v>
      </c>
      <c r="E644" s="1">
        <v>45681</v>
      </c>
      <c r="F644">
        <v>53396</v>
      </c>
      <c r="G644">
        <v>49428</v>
      </c>
      <c r="H644" t="s">
        <v>15</v>
      </c>
    </row>
    <row r="645" spans="1:8" x14ac:dyDescent="0.35">
      <c r="A645">
        <v>2644</v>
      </c>
      <c r="B645" t="s">
        <v>676</v>
      </c>
      <c r="C645" t="s">
        <v>17</v>
      </c>
      <c r="D645" t="s">
        <v>37</v>
      </c>
      <c r="E645" s="1">
        <v>45819</v>
      </c>
      <c r="F645">
        <v>23696</v>
      </c>
      <c r="G645">
        <v>22786</v>
      </c>
      <c r="H645" t="s">
        <v>67</v>
      </c>
    </row>
    <row r="646" spans="1:8" x14ac:dyDescent="0.35">
      <c r="A646">
        <v>2645</v>
      </c>
      <c r="B646" t="s">
        <v>677</v>
      </c>
      <c r="C646" t="s">
        <v>33</v>
      </c>
      <c r="D646" t="s">
        <v>14</v>
      </c>
      <c r="E646" s="1">
        <v>45815</v>
      </c>
      <c r="F646">
        <v>40058</v>
      </c>
      <c r="G646">
        <v>38062</v>
      </c>
      <c r="H646" t="s">
        <v>67</v>
      </c>
    </row>
    <row r="647" spans="1:8" x14ac:dyDescent="0.35">
      <c r="A647">
        <v>2646</v>
      </c>
      <c r="B647" t="s">
        <v>678</v>
      </c>
      <c r="C647" t="s">
        <v>33</v>
      </c>
      <c r="D647" t="s">
        <v>14</v>
      </c>
      <c r="E647" s="1">
        <v>45739</v>
      </c>
      <c r="F647">
        <v>40313</v>
      </c>
      <c r="G647">
        <v>37184</v>
      </c>
      <c r="H647" t="s">
        <v>19</v>
      </c>
    </row>
    <row r="648" spans="1:8" x14ac:dyDescent="0.35">
      <c r="A648">
        <v>2647</v>
      </c>
      <c r="B648" t="s">
        <v>679</v>
      </c>
      <c r="C648" t="s">
        <v>33</v>
      </c>
      <c r="D648" t="s">
        <v>27</v>
      </c>
      <c r="E648" s="1">
        <v>45816</v>
      </c>
      <c r="F648">
        <v>39149</v>
      </c>
      <c r="G648">
        <v>33702</v>
      </c>
      <c r="H648" t="s">
        <v>67</v>
      </c>
    </row>
    <row r="649" spans="1:8" x14ac:dyDescent="0.35">
      <c r="A649">
        <v>2648</v>
      </c>
      <c r="B649" t="s">
        <v>680</v>
      </c>
      <c r="C649" t="s">
        <v>45</v>
      </c>
      <c r="D649" t="s">
        <v>18</v>
      </c>
      <c r="E649" s="1">
        <v>45845</v>
      </c>
      <c r="F649">
        <v>24956</v>
      </c>
      <c r="G649">
        <v>18827</v>
      </c>
      <c r="H649" t="s">
        <v>43</v>
      </c>
    </row>
    <row r="650" spans="1:8" x14ac:dyDescent="0.35">
      <c r="A650">
        <v>2649</v>
      </c>
      <c r="B650" t="s">
        <v>681</v>
      </c>
      <c r="C650" t="s">
        <v>33</v>
      </c>
      <c r="D650" t="s">
        <v>18</v>
      </c>
      <c r="E650" s="1">
        <v>45717</v>
      </c>
      <c r="F650">
        <v>30195</v>
      </c>
      <c r="G650">
        <v>24345</v>
      </c>
      <c r="H650" t="s">
        <v>19</v>
      </c>
    </row>
    <row r="651" spans="1:8" x14ac:dyDescent="0.35">
      <c r="A651">
        <v>2650</v>
      </c>
      <c r="B651" t="s">
        <v>682</v>
      </c>
      <c r="C651" t="s">
        <v>24</v>
      </c>
      <c r="D651" t="s">
        <v>37</v>
      </c>
      <c r="E651" s="1">
        <v>45962</v>
      </c>
      <c r="F651">
        <v>37076</v>
      </c>
      <c r="G651">
        <v>32872</v>
      </c>
      <c r="H651" t="s">
        <v>29</v>
      </c>
    </row>
    <row r="652" spans="1:8" x14ac:dyDescent="0.35">
      <c r="A652">
        <v>2651</v>
      </c>
      <c r="B652" t="s">
        <v>683</v>
      </c>
      <c r="C652" t="s">
        <v>56</v>
      </c>
      <c r="D652" t="s">
        <v>37</v>
      </c>
      <c r="E652" s="1">
        <v>45976</v>
      </c>
      <c r="F652">
        <v>21105</v>
      </c>
      <c r="G652">
        <v>13659</v>
      </c>
      <c r="H652" t="s">
        <v>29</v>
      </c>
    </row>
    <row r="653" spans="1:8" x14ac:dyDescent="0.35">
      <c r="A653">
        <v>2652</v>
      </c>
      <c r="B653" t="s">
        <v>684</v>
      </c>
      <c r="C653" t="s">
        <v>9</v>
      </c>
      <c r="D653" t="s">
        <v>21</v>
      </c>
      <c r="E653" s="1">
        <v>45868</v>
      </c>
      <c r="F653">
        <v>35417</v>
      </c>
      <c r="G653">
        <v>23468</v>
      </c>
      <c r="H653" t="s">
        <v>43</v>
      </c>
    </row>
    <row r="654" spans="1:8" x14ac:dyDescent="0.35">
      <c r="A654">
        <v>2653</v>
      </c>
      <c r="B654" t="s">
        <v>685</v>
      </c>
      <c r="C654" t="s">
        <v>13</v>
      </c>
      <c r="D654" t="s">
        <v>27</v>
      </c>
      <c r="E654" s="1">
        <v>45809</v>
      </c>
      <c r="F654">
        <v>44729</v>
      </c>
      <c r="G654">
        <v>36210</v>
      </c>
      <c r="H654" t="s">
        <v>67</v>
      </c>
    </row>
    <row r="655" spans="1:8" x14ac:dyDescent="0.35">
      <c r="A655">
        <v>2654</v>
      </c>
      <c r="B655" t="s">
        <v>686</v>
      </c>
      <c r="C655" t="s">
        <v>33</v>
      </c>
      <c r="D655" t="s">
        <v>18</v>
      </c>
      <c r="E655" s="1">
        <v>45766</v>
      </c>
      <c r="F655">
        <v>50099</v>
      </c>
      <c r="G655">
        <v>40108</v>
      </c>
      <c r="H655" t="s">
        <v>11</v>
      </c>
    </row>
    <row r="656" spans="1:8" x14ac:dyDescent="0.35">
      <c r="A656">
        <v>2655</v>
      </c>
      <c r="B656" t="s">
        <v>687</v>
      </c>
      <c r="C656" t="s">
        <v>17</v>
      </c>
      <c r="D656" t="s">
        <v>10</v>
      </c>
      <c r="E656" s="1">
        <v>45733</v>
      </c>
      <c r="F656">
        <v>52598</v>
      </c>
      <c r="G656">
        <v>52284</v>
      </c>
      <c r="H656" t="s">
        <v>19</v>
      </c>
    </row>
    <row r="657" spans="1:8" x14ac:dyDescent="0.35">
      <c r="A657">
        <v>2656</v>
      </c>
      <c r="B657" t="s">
        <v>688</v>
      </c>
      <c r="C657" t="s">
        <v>33</v>
      </c>
      <c r="D657" t="s">
        <v>14</v>
      </c>
      <c r="E657" s="1">
        <v>45687</v>
      </c>
      <c r="F657">
        <v>49961</v>
      </c>
      <c r="G657">
        <v>38224</v>
      </c>
      <c r="H657" t="s">
        <v>15</v>
      </c>
    </row>
    <row r="658" spans="1:8" x14ac:dyDescent="0.35">
      <c r="A658">
        <v>2657</v>
      </c>
      <c r="B658" t="s">
        <v>689</v>
      </c>
      <c r="C658" t="s">
        <v>17</v>
      </c>
      <c r="D658" t="s">
        <v>37</v>
      </c>
      <c r="E658" s="1">
        <v>45971</v>
      </c>
      <c r="F658">
        <v>32602</v>
      </c>
      <c r="G658">
        <v>31468</v>
      </c>
      <c r="H658" t="s">
        <v>29</v>
      </c>
    </row>
    <row r="659" spans="1:8" x14ac:dyDescent="0.35">
      <c r="A659">
        <v>2658</v>
      </c>
      <c r="B659" t="s">
        <v>690</v>
      </c>
      <c r="C659" t="s">
        <v>24</v>
      </c>
      <c r="D659" t="s">
        <v>14</v>
      </c>
      <c r="E659" s="1">
        <v>45774</v>
      </c>
      <c r="F659">
        <v>29256</v>
      </c>
      <c r="G659">
        <v>18318</v>
      </c>
      <c r="H659" t="s">
        <v>11</v>
      </c>
    </row>
    <row r="660" spans="1:8" x14ac:dyDescent="0.35">
      <c r="A660">
        <v>2659</v>
      </c>
      <c r="B660" t="s">
        <v>691</v>
      </c>
      <c r="C660" t="s">
        <v>17</v>
      </c>
      <c r="D660" t="s">
        <v>14</v>
      </c>
      <c r="E660" s="1">
        <v>46013</v>
      </c>
      <c r="F660">
        <v>40584</v>
      </c>
      <c r="G660">
        <v>35708</v>
      </c>
      <c r="H660" t="s">
        <v>25</v>
      </c>
    </row>
    <row r="661" spans="1:8" x14ac:dyDescent="0.35">
      <c r="A661">
        <v>2660</v>
      </c>
      <c r="B661" t="s">
        <v>692</v>
      </c>
      <c r="C661" t="s">
        <v>13</v>
      </c>
      <c r="D661" t="s">
        <v>21</v>
      </c>
      <c r="E661" s="1">
        <v>45849</v>
      </c>
      <c r="F661">
        <v>54681</v>
      </c>
      <c r="G661">
        <v>46579</v>
      </c>
      <c r="H661" t="s">
        <v>43</v>
      </c>
    </row>
    <row r="662" spans="1:8" x14ac:dyDescent="0.35">
      <c r="A662">
        <v>2661</v>
      </c>
      <c r="B662" t="s">
        <v>693</v>
      </c>
      <c r="C662" t="s">
        <v>56</v>
      </c>
      <c r="D662" t="s">
        <v>18</v>
      </c>
      <c r="E662" s="1">
        <v>45676</v>
      </c>
      <c r="F662">
        <v>45792</v>
      </c>
      <c r="G662">
        <v>36080</v>
      </c>
      <c r="H662" t="s">
        <v>15</v>
      </c>
    </row>
    <row r="663" spans="1:8" x14ac:dyDescent="0.35">
      <c r="A663">
        <v>2662</v>
      </c>
      <c r="B663" t="s">
        <v>694</v>
      </c>
      <c r="C663" t="s">
        <v>17</v>
      </c>
      <c r="D663" t="s">
        <v>37</v>
      </c>
      <c r="E663" s="1">
        <v>45830</v>
      </c>
      <c r="F663">
        <v>41904</v>
      </c>
      <c r="G663">
        <v>33557</v>
      </c>
      <c r="H663" t="s">
        <v>67</v>
      </c>
    </row>
    <row r="664" spans="1:8" x14ac:dyDescent="0.35">
      <c r="A664">
        <v>2663</v>
      </c>
      <c r="B664" t="s">
        <v>695</v>
      </c>
      <c r="C664" t="s">
        <v>17</v>
      </c>
      <c r="D664" t="s">
        <v>14</v>
      </c>
      <c r="E664" s="1">
        <v>45885</v>
      </c>
      <c r="F664">
        <v>54540</v>
      </c>
      <c r="G664">
        <v>48948</v>
      </c>
      <c r="H664" t="s">
        <v>38</v>
      </c>
    </row>
    <row r="665" spans="1:8" x14ac:dyDescent="0.35">
      <c r="A665">
        <v>2664</v>
      </c>
      <c r="B665" t="s">
        <v>696</v>
      </c>
      <c r="C665" t="s">
        <v>56</v>
      </c>
      <c r="D665" t="s">
        <v>37</v>
      </c>
      <c r="E665" s="1">
        <v>46007</v>
      </c>
      <c r="F665">
        <v>46536</v>
      </c>
      <c r="G665">
        <v>44812</v>
      </c>
      <c r="H665" t="s">
        <v>25</v>
      </c>
    </row>
    <row r="666" spans="1:8" x14ac:dyDescent="0.35">
      <c r="A666">
        <v>2665</v>
      </c>
      <c r="B666" t="s">
        <v>697</v>
      </c>
      <c r="C666" t="s">
        <v>13</v>
      </c>
      <c r="D666" t="s">
        <v>10</v>
      </c>
      <c r="E666" s="1">
        <v>45840</v>
      </c>
      <c r="F666">
        <v>39164</v>
      </c>
      <c r="G666">
        <v>35821</v>
      </c>
      <c r="H666" t="s">
        <v>43</v>
      </c>
    </row>
    <row r="667" spans="1:8" x14ac:dyDescent="0.35">
      <c r="A667">
        <v>2666</v>
      </c>
      <c r="B667" t="s">
        <v>698</v>
      </c>
      <c r="C667" t="s">
        <v>33</v>
      </c>
      <c r="D667" t="s">
        <v>21</v>
      </c>
      <c r="E667" s="1">
        <v>45770</v>
      </c>
      <c r="F667">
        <v>32996</v>
      </c>
      <c r="G667">
        <v>32110</v>
      </c>
      <c r="H667" t="s">
        <v>11</v>
      </c>
    </row>
    <row r="668" spans="1:8" x14ac:dyDescent="0.35">
      <c r="A668">
        <v>2667</v>
      </c>
      <c r="B668" t="s">
        <v>699</v>
      </c>
      <c r="C668" t="s">
        <v>17</v>
      </c>
      <c r="D668" t="s">
        <v>10</v>
      </c>
      <c r="E668" s="1">
        <v>45840</v>
      </c>
      <c r="F668">
        <v>22871</v>
      </c>
      <c r="G668">
        <v>11606</v>
      </c>
      <c r="H668" t="s">
        <v>43</v>
      </c>
    </row>
    <row r="669" spans="1:8" x14ac:dyDescent="0.35">
      <c r="A669">
        <v>2668</v>
      </c>
      <c r="B669" t="s">
        <v>700</v>
      </c>
      <c r="C669" t="s">
        <v>56</v>
      </c>
      <c r="D669" t="s">
        <v>37</v>
      </c>
      <c r="E669" s="1">
        <v>45803</v>
      </c>
      <c r="F669">
        <v>42626</v>
      </c>
      <c r="G669">
        <v>31629</v>
      </c>
      <c r="H669" t="s">
        <v>31</v>
      </c>
    </row>
    <row r="670" spans="1:8" x14ac:dyDescent="0.35">
      <c r="A670">
        <v>2669</v>
      </c>
      <c r="B670" t="s">
        <v>701</v>
      </c>
      <c r="C670" t="s">
        <v>24</v>
      </c>
      <c r="D670" t="s">
        <v>37</v>
      </c>
      <c r="E670" s="1">
        <v>45976</v>
      </c>
      <c r="F670">
        <v>30521</v>
      </c>
      <c r="G670">
        <v>29800</v>
      </c>
      <c r="H670" t="s">
        <v>29</v>
      </c>
    </row>
    <row r="671" spans="1:8" x14ac:dyDescent="0.35">
      <c r="A671">
        <v>2670</v>
      </c>
      <c r="B671" t="s">
        <v>702</v>
      </c>
      <c r="C671" t="s">
        <v>56</v>
      </c>
      <c r="D671" t="s">
        <v>18</v>
      </c>
      <c r="E671" s="1">
        <v>45773</v>
      </c>
      <c r="F671">
        <v>21132</v>
      </c>
      <c r="G671">
        <v>13454</v>
      </c>
      <c r="H671" t="s">
        <v>11</v>
      </c>
    </row>
    <row r="672" spans="1:8" x14ac:dyDescent="0.35">
      <c r="A672">
        <v>2671</v>
      </c>
      <c r="B672" t="s">
        <v>703</v>
      </c>
      <c r="C672" t="s">
        <v>24</v>
      </c>
      <c r="D672" t="s">
        <v>14</v>
      </c>
      <c r="E672" s="1">
        <v>45770</v>
      </c>
      <c r="F672">
        <v>53467</v>
      </c>
      <c r="G672">
        <v>44363</v>
      </c>
      <c r="H672" t="s">
        <v>11</v>
      </c>
    </row>
    <row r="673" spans="1:8" x14ac:dyDescent="0.35">
      <c r="A673">
        <v>2672</v>
      </c>
      <c r="B673" t="s">
        <v>704</v>
      </c>
      <c r="C673" t="s">
        <v>13</v>
      </c>
      <c r="D673" t="s">
        <v>14</v>
      </c>
      <c r="E673" s="1">
        <v>45908</v>
      </c>
      <c r="F673">
        <v>34534</v>
      </c>
      <c r="G673">
        <v>31177</v>
      </c>
      <c r="H673" t="s">
        <v>53</v>
      </c>
    </row>
    <row r="674" spans="1:8" x14ac:dyDescent="0.35">
      <c r="A674">
        <v>2673</v>
      </c>
      <c r="B674" t="s">
        <v>705</v>
      </c>
      <c r="C674" t="s">
        <v>33</v>
      </c>
      <c r="D674" t="s">
        <v>10</v>
      </c>
      <c r="E674" s="1">
        <v>45908</v>
      </c>
      <c r="F674">
        <v>43854</v>
      </c>
      <c r="G674">
        <v>42984</v>
      </c>
      <c r="H674" t="s">
        <v>53</v>
      </c>
    </row>
    <row r="675" spans="1:8" x14ac:dyDescent="0.35">
      <c r="A675">
        <v>2674</v>
      </c>
      <c r="B675" t="s">
        <v>706</v>
      </c>
      <c r="C675" t="s">
        <v>56</v>
      </c>
      <c r="D675" t="s">
        <v>21</v>
      </c>
      <c r="E675" s="1">
        <v>45960</v>
      </c>
      <c r="F675">
        <v>59065</v>
      </c>
      <c r="G675">
        <v>46765</v>
      </c>
      <c r="H675" t="s">
        <v>22</v>
      </c>
    </row>
    <row r="676" spans="1:8" x14ac:dyDescent="0.35">
      <c r="A676">
        <v>2675</v>
      </c>
      <c r="B676" t="s">
        <v>707</v>
      </c>
      <c r="C676" t="s">
        <v>9</v>
      </c>
      <c r="D676" t="s">
        <v>27</v>
      </c>
      <c r="E676" s="1">
        <v>45970</v>
      </c>
      <c r="F676">
        <v>27812</v>
      </c>
      <c r="G676">
        <v>21061</v>
      </c>
      <c r="H676" t="s">
        <v>29</v>
      </c>
    </row>
    <row r="677" spans="1:8" x14ac:dyDescent="0.35">
      <c r="A677">
        <v>2676</v>
      </c>
      <c r="B677" t="s">
        <v>708</v>
      </c>
      <c r="C677" t="s">
        <v>9</v>
      </c>
      <c r="D677" t="s">
        <v>14</v>
      </c>
      <c r="E677" s="1">
        <v>45775</v>
      </c>
      <c r="F677">
        <v>24557</v>
      </c>
      <c r="G677">
        <v>24060</v>
      </c>
      <c r="H677" t="s">
        <v>11</v>
      </c>
    </row>
    <row r="678" spans="1:8" x14ac:dyDescent="0.35">
      <c r="A678">
        <v>2677</v>
      </c>
      <c r="B678" t="s">
        <v>709</v>
      </c>
      <c r="C678" t="s">
        <v>45</v>
      </c>
      <c r="D678" t="s">
        <v>18</v>
      </c>
      <c r="E678" s="1">
        <v>45958</v>
      </c>
      <c r="F678">
        <v>22179</v>
      </c>
      <c r="G678">
        <v>20423</v>
      </c>
      <c r="H678" t="s">
        <v>22</v>
      </c>
    </row>
    <row r="679" spans="1:8" x14ac:dyDescent="0.35">
      <c r="A679">
        <v>2678</v>
      </c>
      <c r="B679" t="s">
        <v>710</v>
      </c>
      <c r="C679" t="s">
        <v>17</v>
      </c>
      <c r="D679" t="s">
        <v>10</v>
      </c>
      <c r="E679" s="1">
        <v>45818</v>
      </c>
      <c r="F679">
        <v>29065</v>
      </c>
      <c r="G679">
        <v>14492</v>
      </c>
      <c r="H679" t="s">
        <v>67</v>
      </c>
    </row>
    <row r="680" spans="1:8" x14ac:dyDescent="0.35">
      <c r="A680">
        <v>2679</v>
      </c>
      <c r="B680" t="s">
        <v>711</v>
      </c>
      <c r="C680" t="s">
        <v>13</v>
      </c>
      <c r="D680" t="s">
        <v>10</v>
      </c>
      <c r="E680" s="1">
        <v>45855</v>
      </c>
      <c r="F680">
        <v>28275</v>
      </c>
      <c r="G680">
        <v>27158</v>
      </c>
      <c r="H680" t="s">
        <v>43</v>
      </c>
    </row>
    <row r="681" spans="1:8" x14ac:dyDescent="0.35">
      <c r="A681">
        <v>2680</v>
      </c>
      <c r="B681" t="s">
        <v>712</v>
      </c>
      <c r="C681" t="s">
        <v>56</v>
      </c>
      <c r="D681" t="s">
        <v>27</v>
      </c>
      <c r="E681" s="1">
        <v>45917</v>
      </c>
      <c r="F681">
        <v>55948</v>
      </c>
      <c r="G681">
        <v>44347</v>
      </c>
      <c r="H681" t="s">
        <v>53</v>
      </c>
    </row>
    <row r="682" spans="1:8" x14ac:dyDescent="0.35">
      <c r="A682">
        <v>2681</v>
      </c>
      <c r="B682" t="s">
        <v>713</v>
      </c>
      <c r="C682" t="s">
        <v>9</v>
      </c>
      <c r="D682" t="s">
        <v>18</v>
      </c>
      <c r="E682" s="1">
        <v>45805</v>
      </c>
      <c r="F682">
        <v>40700</v>
      </c>
      <c r="G682">
        <v>37872</v>
      </c>
      <c r="H682" t="s">
        <v>31</v>
      </c>
    </row>
    <row r="683" spans="1:8" x14ac:dyDescent="0.35">
      <c r="A683">
        <v>2682</v>
      </c>
      <c r="B683" t="s">
        <v>714</v>
      </c>
      <c r="C683" t="s">
        <v>17</v>
      </c>
      <c r="D683" t="s">
        <v>21</v>
      </c>
      <c r="E683" s="1">
        <v>45897</v>
      </c>
      <c r="F683">
        <v>59464</v>
      </c>
      <c r="G683">
        <v>45982</v>
      </c>
      <c r="H683" t="s">
        <v>38</v>
      </c>
    </row>
    <row r="684" spans="1:8" x14ac:dyDescent="0.35">
      <c r="A684">
        <v>2683</v>
      </c>
      <c r="B684" t="s">
        <v>715</v>
      </c>
      <c r="C684" t="s">
        <v>9</v>
      </c>
      <c r="D684" t="s">
        <v>18</v>
      </c>
      <c r="E684" s="1">
        <v>45704</v>
      </c>
      <c r="F684">
        <v>47794</v>
      </c>
      <c r="G684">
        <v>33502</v>
      </c>
      <c r="H684" t="s">
        <v>77</v>
      </c>
    </row>
    <row r="685" spans="1:8" x14ac:dyDescent="0.35">
      <c r="A685">
        <v>2684</v>
      </c>
      <c r="B685" t="s">
        <v>716</v>
      </c>
      <c r="C685" t="s">
        <v>56</v>
      </c>
      <c r="D685" t="s">
        <v>21</v>
      </c>
      <c r="E685" s="1">
        <v>45855</v>
      </c>
      <c r="F685">
        <v>48783</v>
      </c>
      <c r="G685">
        <v>33842</v>
      </c>
      <c r="H685" t="s">
        <v>43</v>
      </c>
    </row>
    <row r="686" spans="1:8" x14ac:dyDescent="0.35">
      <c r="A686">
        <v>2685</v>
      </c>
      <c r="B686" t="s">
        <v>717</v>
      </c>
      <c r="C686" t="s">
        <v>24</v>
      </c>
      <c r="D686" t="s">
        <v>18</v>
      </c>
      <c r="E686" s="1">
        <v>45704</v>
      </c>
      <c r="F686">
        <v>36998</v>
      </c>
      <c r="G686">
        <v>22002</v>
      </c>
      <c r="H686" t="s">
        <v>77</v>
      </c>
    </row>
    <row r="687" spans="1:8" x14ac:dyDescent="0.35">
      <c r="A687">
        <v>2686</v>
      </c>
      <c r="B687" t="s">
        <v>718</v>
      </c>
      <c r="C687" t="s">
        <v>56</v>
      </c>
      <c r="D687" t="s">
        <v>18</v>
      </c>
      <c r="E687" s="1">
        <v>45735</v>
      </c>
      <c r="F687">
        <v>33869</v>
      </c>
      <c r="G687">
        <v>32222</v>
      </c>
      <c r="H687" t="s">
        <v>19</v>
      </c>
    </row>
    <row r="688" spans="1:8" x14ac:dyDescent="0.35">
      <c r="A688">
        <v>2687</v>
      </c>
      <c r="B688" t="s">
        <v>719</v>
      </c>
      <c r="C688" t="s">
        <v>45</v>
      </c>
      <c r="D688" t="s">
        <v>37</v>
      </c>
      <c r="E688" s="1">
        <v>45781</v>
      </c>
      <c r="F688">
        <v>48152</v>
      </c>
      <c r="G688">
        <v>34274</v>
      </c>
      <c r="H688" t="s">
        <v>31</v>
      </c>
    </row>
    <row r="689" spans="1:8" x14ac:dyDescent="0.35">
      <c r="A689">
        <v>2688</v>
      </c>
      <c r="B689" t="s">
        <v>720</v>
      </c>
      <c r="C689" t="s">
        <v>56</v>
      </c>
      <c r="D689" t="s">
        <v>10</v>
      </c>
      <c r="E689" s="1">
        <v>45732</v>
      </c>
      <c r="F689">
        <v>40954</v>
      </c>
      <c r="G689">
        <v>33962</v>
      </c>
      <c r="H689" t="s">
        <v>19</v>
      </c>
    </row>
    <row r="690" spans="1:8" x14ac:dyDescent="0.35">
      <c r="A690">
        <v>2689</v>
      </c>
      <c r="B690" t="s">
        <v>721</v>
      </c>
      <c r="C690" t="s">
        <v>56</v>
      </c>
      <c r="D690" t="s">
        <v>18</v>
      </c>
      <c r="E690" s="1">
        <v>46016</v>
      </c>
      <c r="F690">
        <v>51555</v>
      </c>
      <c r="G690">
        <v>40380</v>
      </c>
      <c r="H690" t="s">
        <v>25</v>
      </c>
    </row>
    <row r="691" spans="1:8" x14ac:dyDescent="0.35">
      <c r="A691">
        <v>2690</v>
      </c>
      <c r="B691" t="s">
        <v>722</v>
      </c>
      <c r="C691" t="s">
        <v>45</v>
      </c>
      <c r="D691" t="s">
        <v>27</v>
      </c>
      <c r="E691" s="1">
        <v>45794</v>
      </c>
      <c r="F691">
        <v>36654</v>
      </c>
      <c r="G691">
        <v>22876</v>
      </c>
      <c r="H691" t="s">
        <v>31</v>
      </c>
    </row>
    <row r="692" spans="1:8" x14ac:dyDescent="0.35">
      <c r="A692">
        <v>2691</v>
      </c>
      <c r="B692" t="s">
        <v>723</v>
      </c>
      <c r="C692" t="s">
        <v>13</v>
      </c>
      <c r="D692" t="s">
        <v>18</v>
      </c>
      <c r="E692" s="1">
        <v>45747</v>
      </c>
      <c r="F692">
        <v>55236</v>
      </c>
      <c r="G692">
        <v>48465</v>
      </c>
      <c r="H692" t="s">
        <v>19</v>
      </c>
    </row>
    <row r="693" spans="1:8" x14ac:dyDescent="0.35">
      <c r="A693">
        <v>2692</v>
      </c>
      <c r="B693" t="s">
        <v>724</v>
      </c>
      <c r="C693" t="s">
        <v>56</v>
      </c>
      <c r="D693" t="s">
        <v>14</v>
      </c>
      <c r="E693" s="1">
        <v>45982</v>
      </c>
      <c r="F693">
        <v>35042</v>
      </c>
      <c r="G693">
        <v>34900</v>
      </c>
      <c r="H693" t="s">
        <v>29</v>
      </c>
    </row>
    <row r="694" spans="1:8" x14ac:dyDescent="0.35">
      <c r="A694">
        <v>2693</v>
      </c>
      <c r="B694" t="s">
        <v>725</v>
      </c>
      <c r="C694" t="s">
        <v>45</v>
      </c>
      <c r="D694" t="s">
        <v>10</v>
      </c>
      <c r="E694" s="1">
        <v>45718</v>
      </c>
      <c r="F694">
        <v>45966</v>
      </c>
      <c r="G694">
        <v>32454</v>
      </c>
      <c r="H694" t="s">
        <v>19</v>
      </c>
    </row>
    <row r="695" spans="1:8" x14ac:dyDescent="0.35">
      <c r="A695">
        <v>2694</v>
      </c>
      <c r="B695" t="s">
        <v>726</v>
      </c>
      <c r="C695" t="s">
        <v>17</v>
      </c>
      <c r="D695" t="s">
        <v>14</v>
      </c>
      <c r="E695" s="1">
        <v>45795</v>
      </c>
      <c r="F695">
        <v>34270</v>
      </c>
      <c r="G695">
        <v>31509</v>
      </c>
      <c r="H695" t="s">
        <v>31</v>
      </c>
    </row>
    <row r="696" spans="1:8" x14ac:dyDescent="0.35">
      <c r="A696">
        <v>2695</v>
      </c>
      <c r="B696" t="s">
        <v>727</v>
      </c>
      <c r="C696" t="s">
        <v>24</v>
      </c>
      <c r="D696" t="s">
        <v>10</v>
      </c>
      <c r="E696" s="1">
        <v>45707</v>
      </c>
      <c r="F696">
        <v>50908</v>
      </c>
      <c r="G696">
        <v>47473</v>
      </c>
      <c r="H696" t="s">
        <v>77</v>
      </c>
    </row>
    <row r="697" spans="1:8" x14ac:dyDescent="0.35">
      <c r="A697">
        <v>2696</v>
      </c>
      <c r="B697" t="s">
        <v>728</v>
      </c>
      <c r="C697" t="s">
        <v>24</v>
      </c>
      <c r="D697" t="s">
        <v>14</v>
      </c>
      <c r="E697" s="1">
        <v>45916</v>
      </c>
      <c r="F697">
        <v>35523</v>
      </c>
      <c r="G697">
        <v>28901</v>
      </c>
      <c r="H697" t="s">
        <v>53</v>
      </c>
    </row>
    <row r="698" spans="1:8" x14ac:dyDescent="0.35">
      <c r="A698">
        <v>2697</v>
      </c>
      <c r="B698" t="s">
        <v>729</v>
      </c>
      <c r="C698" t="s">
        <v>56</v>
      </c>
      <c r="D698" t="s">
        <v>18</v>
      </c>
      <c r="E698" s="1">
        <v>45764</v>
      </c>
      <c r="F698">
        <v>39991</v>
      </c>
      <c r="G698">
        <v>27139</v>
      </c>
      <c r="H698" t="s">
        <v>11</v>
      </c>
    </row>
    <row r="699" spans="1:8" x14ac:dyDescent="0.35">
      <c r="A699">
        <v>2698</v>
      </c>
      <c r="B699" t="s">
        <v>730</v>
      </c>
      <c r="C699" t="s">
        <v>13</v>
      </c>
      <c r="D699" t="s">
        <v>18</v>
      </c>
      <c r="E699" s="1">
        <v>45770</v>
      </c>
      <c r="F699">
        <v>30775</v>
      </c>
      <c r="G699">
        <v>15969</v>
      </c>
      <c r="H699" t="s">
        <v>11</v>
      </c>
    </row>
    <row r="700" spans="1:8" x14ac:dyDescent="0.35">
      <c r="A700">
        <v>2699</v>
      </c>
      <c r="B700" t="s">
        <v>731</v>
      </c>
      <c r="C700" t="s">
        <v>13</v>
      </c>
      <c r="D700" t="s">
        <v>37</v>
      </c>
      <c r="E700" s="1">
        <v>46007</v>
      </c>
      <c r="F700">
        <v>32265</v>
      </c>
      <c r="G700">
        <v>21642</v>
      </c>
      <c r="H700" t="s">
        <v>25</v>
      </c>
    </row>
    <row r="701" spans="1:8" x14ac:dyDescent="0.35">
      <c r="A701">
        <v>2700</v>
      </c>
      <c r="B701" t="s">
        <v>732</v>
      </c>
      <c r="C701" t="s">
        <v>17</v>
      </c>
      <c r="D701" t="s">
        <v>27</v>
      </c>
      <c r="E701" s="1">
        <v>45911</v>
      </c>
      <c r="F701">
        <v>39459</v>
      </c>
      <c r="G701">
        <v>25456</v>
      </c>
      <c r="H701" t="s">
        <v>53</v>
      </c>
    </row>
    <row r="702" spans="1:8" x14ac:dyDescent="0.35">
      <c r="A702">
        <v>2701</v>
      </c>
      <c r="B702" t="s">
        <v>733</v>
      </c>
      <c r="C702" t="s">
        <v>56</v>
      </c>
      <c r="D702" t="s">
        <v>14</v>
      </c>
      <c r="E702" s="1">
        <v>45775</v>
      </c>
      <c r="F702">
        <v>36673</v>
      </c>
      <c r="G702">
        <v>29604</v>
      </c>
      <c r="H702" t="s">
        <v>11</v>
      </c>
    </row>
    <row r="703" spans="1:8" x14ac:dyDescent="0.35">
      <c r="A703">
        <v>2702</v>
      </c>
      <c r="B703" t="s">
        <v>734</v>
      </c>
      <c r="C703" t="s">
        <v>24</v>
      </c>
      <c r="D703" t="s">
        <v>21</v>
      </c>
      <c r="E703" s="1">
        <v>45855</v>
      </c>
      <c r="F703">
        <v>47056</v>
      </c>
      <c r="G703">
        <v>42544</v>
      </c>
      <c r="H703" t="s">
        <v>43</v>
      </c>
    </row>
    <row r="704" spans="1:8" x14ac:dyDescent="0.35">
      <c r="A704">
        <v>2703</v>
      </c>
      <c r="B704" t="s">
        <v>735</v>
      </c>
      <c r="C704" t="s">
        <v>13</v>
      </c>
      <c r="D704" t="s">
        <v>37</v>
      </c>
      <c r="E704" s="1">
        <v>45994</v>
      </c>
      <c r="F704">
        <v>26614</v>
      </c>
      <c r="G704">
        <v>24766</v>
      </c>
      <c r="H704" t="s">
        <v>25</v>
      </c>
    </row>
    <row r="705" spans="1:8" x14ac:dyDescent="0.35">
      <c r="A705">
        <v>2704</v>
      </c>
      <c r="B705" t="s">
        <v>736</v>
      </c>
      <c r="C705" t="s">
        <v>56</v>
      </c>
      <c r="D705" t="s">
        <v>14</v>
      </c>
      <c r="E705" s="1">
        <v>46022</v>
      </c>
      <c r="F705">
        <v>56020</v>
      </c>
      <c r="G705">
        <v>41377</v>
      </c>
      <c r="H705" t="s">
        <v>25</v>
      </c>
    </row>
    <row r="706" spans="1:8" x14ac:dyDescent="0.35">
      <c r="A706">
        <v>2705</v>
      </c>
      <c r="B706" t="s">
        <v>737</v>
      </c>
      <c r="C706" t="s">
        <v>9</v>
      </c>
      <c r="D706" t="s">
        <v>14</v>
      </c>
      <c r="E706" s="1">
        <v>45708</v>
      </c>
      <c r="F706">
        <v>27415</v>
      </c>
      <c r="G706">
        <v>24719</v>
      </c>
      <c r="H706" t="s">
        <v>77</v>
      </c>
    </row>
    <row r="707" spans="1:8" x14ac:dyDescent="0.35">
      <c r="A707">
        <v>2706</v>
      </c>
      <c r="B707" t="s">
        <v>738</v>
      </c>
      <c r="C707" t="s">
        <v>13</v>
      </c>
      <c r="D707" t="s">
        <v>37</v>
      </c>
      <c r="E707" s="1">
        <v>45902</v>
      </c>
      <c r="F707">
        <v>43155</v>
      </c>
      <c r="G707">
        <v>41438</v>
      </c>
      <c r="H707" t="s">
        <v>53</v>
      </c>
    </row>
    <row r="708" spans="1:8" x14ac:dyDescent="0.35">
      <c r="A708">
        <v>2707</v>
      </c>
      <c r="B708" t="s">
        <v>739</v>
      </c>
      <c r="C708" t="s">
        <v>45</v>
      </c>
      <c r="D708" t="s">
        <v>18</v>
      </c>
      <c r="E708" s="1">
        <v>45692</v>
      </c>
      <c r="F708">
        <v>36964</v>
      </c>
      <c r="G708">
        <v>23286</v>
      </c>
      <c r="H708" t="s">
        <v>77</v>
      </c>
    </row>
    <row r="709" spans="1:8" x14ac:dyDescent="0.35">
      <c r="A709">
        <v>2708</v>
      </c>
      <c r="B709" t="s">
        <v>740</v>
      </c>
      <c r="C709" t="s">
        <v>9</v>
      </c>
      <c r="D709" t="s">
        <v>14</v>
      </c>
      <c r="E709" s="1">
        <v>45959</v>
      </c>
      <c r="F709">
        <v>57726</v>
      </c>
      <c r="G709">
        <v>54654</v>
      </c>
      <c r="H709" t="s">
        <v>22</v>
      </c>
    </row>
    <row r="710" spans="1:8" x14ac:dyDescent="0.35">
      <c r="A710">
        <v>2709</v>
      </c>
      <c r="B710" t="s">
        <v>741</v>
      </c>
      <c r="C710" t="s">
        <v>13</v>
      </c>
      <c r="D710" t="s">
        <v>18</v>
      </c>
      <c r="E710" s="1">
        <v>45726</v>
      </c>
      <c r="F710">
        <v>57044</v>
      </c>
      <c r="G710">
        <v>47785</v>
      </c>
      <c r="H710" t="s">
        <v>19</v>
      </c>
    </row>
    <row r="711" spans="1:8" x14ac:dyDescent="0.35">
      <c r="A711">
        <v>2710</v>
      </c>
      <c r="B711" t="s">
        <v>742</v>
      </c>
      <c r="C711" t="s">
        <v>24</v>
      </c>
      <c r="D711" t="s">
        <v>37</v>
      </c>
      <c r="E711" s="1">
        <v>46006</v>
      </c>
      <c r="F711">
        <v>57544</v>
      </c>
      <c r="G711">
        <v>54758</v>
      </c>
      <c r="H711" t="s">
        <v>25</v>
      </c>
    </row>
    <row r="712" spans="1:8" x14ac:dyDescent="0.35">
      <c r="A712">
        <v>2711</v>
      </c>
      <c r="B712" t="s">
        <v>743</v>
      </c>
      <c r="C712" t="s">
        <v>33</v>
      </c>
      <c r="D712" t="s">
        <v>18</v>
      </c>
      <c r="E712" s="1">
        <v>45977</v>
      </c>
      <c r="F712">
        <v>52252</v>
      </c>
      <c r="G712">
        <v>38098</v>
      </c>
      <c r="H712" t="s">
        <v>29</v>
      </c>
    </row>
    <row r="713" spans="1:8" x14ac:dyDescent="0.35">
      <c r="A713">
        <v>2712</v>
      </c>
      <c r="B713" t="s">
        <v>744</v>
      </c>
      <c r="C713" t="s">
        <v>9</v>
      </c>
      <c r="D713" t="s">
        <v>10</v>
      </c>
      <c r="E713" s="1">
        <v>45706</v>
      </c>
      <c r="F713">
        <v>23832</v>
      </c>
      <c r="G713">
        <v>10423</v>
      </c>
      <c r="H713" t="s">
        <v>77</v>
      </c>
    </row>
    <row r="714" spans="1:8" x14ac:dyDescent="0.35">
      <c r="A714">
        <v>2713</v>
      </c>
      <c r="B714" t="s">
        <v>745</v>
      </c>
      <c r="C714" t="s">
        <v>17</v>
      </c>
      <c r="D714" t="s">
        <v>21</v>
      </c>
      <c r="E714" s="1">
        <v>45731</v>
      </c>
      <c r="F714">
        <v>45275</v>
      </c>
      <c r="G714">
        <v>41484</v>
      </c>
      <c r="H714" t="s">
        <v>19</v>
      </c>
    </row>
    <row r="715" spans="1:8" x14ac:dyDescent="0.35">
      <c r="A715">
        <v>2714</v>
      </c>
      <c r="B715" t="s">
        <v>746</v>
      </c>
      <c r="C715" t="s">
        <v>17</v>
      </c>
      <c r="D715" t="s">
        <v>14</v>
      </c>
      <c r="E715" s="1">
        <v>45849</v>
      </c>
      <c r="F715">
        <v>34901</v>
      </c>
      <c r="G715">
        <v>25421</v>
      </c>
      <c r="H715" t="s">
        <v>43</v>
      </c>
    </row>
    <row r="716" spans="1:8" x14ac:dyDescent="0.35">
      <c r="A716">
        <v>2715</v>
      </c>
      <c r="B716" t="s">
        <v>747</v>
      </c>
      <c r="C716" t="s">
        <v>24</v>
      </c>
      <c r="D716" t="s">
        <v>27</v>
      </c>
      <c r="E716" s="1">
        <v>45918</v>
      </c>
      <c r="F716">
        <v>58213</v>
      </c>
      <c r="G716">
        <v>54342</v>
      </c>
      <c r="H716" t="s">
        <v>53</v>
      </c>
    </row>
    <row r="717" spans="1:8" x14ac:dyDescent="0.35">
      <c r="A717">
        <v>2716</v>
      </c>
      <c r="B717" t="s">
        <v>748</v>
      </c>
      <c r="C717" t="s">
        <v>13</v>
      </c>
      <c r="D717" t="s">
        <v>21</v>
      </c>
      <c r="E717" s="1">
        <v>46013</v>
      </c>
      <c r="F717">
        <v>54148</v>
      </c>
      <c r="G717">
        <v>52342</v>
      </c>
      <c r="H717" t="s">
        <v>25</v>
      </c>
    </row>
    <row r="718" spans="1:8" x14ac:dyDescent="0.35">
      <c r="A718">
        <v>2717</v>
      </c>
      <c r="B718" t="s">
        <v>749</v>
      </c>
      <c r="C718" t="s">
        <v>56</v>
      </c>
      <c r="D718" t="s">
        <v>18</v>
      </c>
      <c r="E718" s="1">
        <v>45727</v>
      </c>
      <c r="F718">
        <v>42918</v>
      </c>
      <c r="G718">
        <v>28443</v>
      </c>
      <c r="H718" t="s">
        <v>19</v>
      </c>
    </row>
    <row r="719" spans="1:8" x14ac:dyDescent="0.35">
      <c r="A719">
        <v>2718</v>
      </c>
      <c r="B719" t="s">
        <v>750</v>
      </c>
      <c r="C719" t="s">
        <v>13</v>
      </c>
      <c r="D719" t="s">
        <v>14</v>
      </c>
      <c r="E719" s="1">
        <v>45747</v>
      </c>
      <c r="F719">
        <v>39540</v>
      </c>
      <c r="G719">
        <v>38036</v>
      </c>
      <c r="H719" t="s">
        <v>19</v>
      </c>
    </row>
    <row r="720" spans="1:8" x14ac:dyDescent="0.35">
      <c r="A720">
        <v>2719</v>
      </c>
      <c r="B720" t="s">
        <v>751</v>
      </c>
      <c r="C720" t="s">
        <v>24</v>
      </c>
      <c r="D720" t="s">
        <v>18</v>
      </c>
      <c r="E720" s="1">
        <v>45917</v>
      </c>
      <c r="F720">
        <v>31580</v>
      </c>
      <c r="G720">
        <v>28272</v>
      </c>
      <c r="H720" t="s">
        <v>53</v>
      </c>
    </row>
    <row r="721" spans="1:8" x14ac:dyDescent="0.35">
      <c r="A721">
        <v>2720</v>
      </c>
      <c r="B721" t="s">
        <v>752</v>
      </c>
      <c r="C721" t="s">
        <v>17</v>
      </c>
      <c r="D721" t="s">
        <v>10</v>
      </c>
      <c r="E721" s="1">
        <v>45783</v>
      </c>
      <c r="F721">
        <v>58402</v>
      </c>
      <c r="G721">
        <v>51285</v>
      </c>
      <c r="H721" t="s">
        <v>31</v>
      </c>
    </row>
    <row r="722" spans="1:8" x14ac:dyDescent="0.35">
      <c r="A722">
        <v>2721</v>
      </c>
      <c r="B722" t="s">
        <v>753</v>
      </c>
      <c r="C722" t="s">
        <v>13</v>
      </c>
      <c r="D722" t="s">
        <v>37</v>
      </c>
      <c r="E722" s="1">
        <v>45888</v>
      </c>
      <c r="F722">
        <v>58578</v>
      </c>
      <c r="G722">
        <v>45274</v>
      </c>
      <c r="H722" t="s">
        <v>38</v>
      </c>
    </row>
    <row r="723" spans="1:8" x14ac:dyDescent="0.35">
      <c r="A723">
        <v>2722</v>
      </c>
      <c r="B723" t="s">
        <v>754</v>
      </c>
      <c r="C723" t="s">
        <v>17</v>
      </c>
      <c r="D723" t="s">
        <v>14</v>
      </c>
      <c r="E723" s="1">
        <v>45952</v>
      </c>
      <c r="F723">
        <v>44917</v>
      </c>
      <c r="G723">
        <v>39869</v>
      </c>
      <c r="H723" t="s">
        <v>22</v>
      </c>
    </row>
    <row r="724" spans="1:8" x14ac:dyDescent="0.35">
      <c r="A724">
        <v>2723</v>
      </c>
      <c r="B724" t="s">
        <v>755</v>
      </c>
      <c r="C724" t="s">
        <v>9</v>
      </c>
      <c r="D724" t="s">
        <v>10</v>
      </c>
      <c r="E724" s="1">
        <v>45786</v>
      </c>
      <c r="F724">
        <v>42318</v>
      </c>
      <c r="G724">
        <v>31175</v>
      </c>
      <c r="H724" t="s">
        <v>31</v>
      </c>
    </row>
    <row r="725" spans="1:8" x14ac:dyDescent="0.35">
      <c r="A725">
        <v>2724</v>
      </c>
      <c r="B725" t="s">
        <v>756</v>
      </c>
      <c r="C725" t="s">
        <v>56</v>
      </c>
      <c r="D725" t="s">
        <v>10</v>
      </c>
      <c r="E725" s="1">
        <v>45937</v>
      </c>
      <c r="F725">
        <v>30179</v>
      </c>
      <c r="G725">
        <v>21916</v>
      </c>
      <c r="H725" t="s">
        <v>22</v>
      </c>
    </row>
    <row r="726" spans="1:8" x14ac:dyDescent="0.35">
      <c r="A726">
        <v>2725</v>
      </c>
      <c r="B726" t="s">
        <v>757</v>
      </c>
      <c r="C726" t="s">
        <v>9</v>
      </c>
      <c r="D726" t="s">
        <v>14</v>
      </c>
      <c r="E726" s="1">
        <v>45970</v>
      </c>
      <c r="F726">
        <v>32251</v>
      </c>
      <c r="G726">
        <v>30561</v>
      </c>
      <c r="H726" t="s">
        <v>29</v>
      </c>
    </row>
    <row r="727" spans="1:8" x14ac:dyDescent="0.35">
      <c r="A727">
        <v>2726</v>
      </c>
      <c r="B727" t="s">
        <v>758</v>
      </c>
      <c r="C727" t="s">
        <v>17</v>
      </c>
      <c r="D727" t="s">
        <v>18</v>
      </c>
      <c r="E727" s="1">
        <v>45757</v>
      </c>
      <c r="F727">
        <v>39493</v>
      </c>
      <c r="G727">
        <v>25914</v>
      </c>
      <c r="H727" t="s">
        <v>11</v>
      </c>
    </row>
    <row r="728" spans="1:8" x14ac:dyDescent="0.35">
      <c r="A728">
        <v>2727</v>
      </c>
      <c r="B728" t="s">
        <v>759</v>
      </c>
      <c r="C728" t="s">
        <v>17</v>
      </c>
      <c r="D728" t="s">
        <v>27</v>
      </c>
      <c r="E728" s="1">
        <v>45983</v>
      </c>
      <c r="F728">
        <v>40466</v>
      </c>
      <c r="G728">
        <v>30930</v>
      </c>
      <c r="H728" t="s">
        <v>29</v>
      </c>
    </row>
    <row r="729" spans="1:8" x14ac:dyDescent="0.35">
      <c r="A729">
        <v>2728</v>
      </c>
      <c r="B729" t="s">
        <v>760</v>
      </c>
      <c r="C729" t="s">
        <v>33</v>
      </c>
      <c r="D729" t="s">
        <v>10</v>
      </c>
      <c r="E729" s="1">
        <v>45954</v>
      </c>
      <c r="F729">
        <v>50206</v>
      </c>
      <c r="G729">
        <v>35764</v>
      </c>
      <c r="H729" t="s">
        <v>22</v>
      </c>
    </row>
    <row r="730" spans="1:8" x14ac:dyDescent="0.35">
      <c r="A730">
        <v>2729</v>
      </c>
      <c r="B730" t="s">
        <v>761</v>
      </c>
      <c r="C730" t="s">
        <v>33</v>
      </c>
      <c r="D730" t="s">
        <v>21</v>
      </c>
      <c r="E730" s="1">
        <v>45839</v>
      </c>
      <c r="F730">
        <v>39624</v>
      </c>
      <c r="G730">
        <v>36321</v>
      </c>
      <c r="H730" t="s">
        <v>43</v>
      </c>
    </row>
    <row r="731" spans="1:8" x14ac:dyDescent="0.35">
      <c r="A731">
        <v>2730</v>
      </c>
      <c r="B731" t="s">
        <v>762</v>
      </c>
      <c r="C731" t="s">
        <v>9</v>
      </c>
      <c r="D731" t="s">
        <v>10</v>
      </c>
      <c r="E731" s="1">
        <v>45831</v>
      </c>
      <c r="F731">
        <v>46564</v>
      </c>
      <c r="G731">
        <v>43451</v>
      </c>
      <c r="H731" t="s">
        <v>67</v>
      </c>
    </row>
    <row r="732" spans="1:8" x14ac:dyDescent="0.35">
      <c r="A732">
        <v>2731</v>
      </c>
      <c r="B732" t="s">
        <v>763</v>
      </c>
      <c r="C732" t="s">
        <v>45</v>
      </c>
      <c r="D732" t="s">
        <v>27</v>
      </c>
      <c r="E732" s="1">
        <v>45973</v>
      </c>
      <c r="F732">
        <v>42412</v>
      </c>
      <c r="G732">
        <v>33338</v>
      </c>
      <c r="H732" t="s">
        <v>29</v>
      </c>
    </row>
    <row r="733" spans="1:8" x14ac:dyDescent="0.35">
      <c r="A733">
        <v>2732</v>
      </c>
      <c r="B733" t="s">
        <v>764</v>
      </c>
      <c r="C733" t="s">
        <v>9</v>
      </c>
      <c r="D733" t="s">
        <v>18</v>
      </c>
      <c r="E733" s="1">
        <v>46021</v>
      </c>
      <c r="F733">
        <v>47990</v>
      </c>
      <c r="G733">
        <v>35564</v>
      </c>
      <c r="H733" t="s">
        <v>25</v>
      </c>
    </row>
    <row r="734" spans="1:8" x14ac:dyDescent="0.35">
      <c r="A734">
        <v>2733</v>
      </c>
      <c r="B734" t="s">
        <v>765</v>
      </c>
      <c r="C734" t="s">
        <v>33</v>
      </c>
      <c r="D734" t="s">
        <v>18</v>
      </c>
      <c r="E734" s="1">
        <v>45845</v>
      </c>
      <c r="F734">
        <v>55517</v>
      </c>
      <c r="G734">
        <v>44663</v>
      </c>
      <c r="H734" t="s">
        <v>43</v>
      </c>
    </row>
    <row r="735" spans="1:8" x14ac:dyDescent="0.35">
      <c r="A735">
        <v>2734</v>
      </c>
      <c r="B735" t="s">
        <v>766</v>
      </c>
      <c r="C735" t="s">
        <v>17</v>
      </c>
      <c r="D735" t="s">
        <v>21</v>
      </c>
      <c r="E735" s="1">
        <v>45714</v>
      </c>
      <c r="F735">
        <v>33156</v>
      </c>
      <c r="G735">
        <v>25306</v>
      </c>
      <c r="H735" t="s">
        <v>77</v>
      </c>
    </row>
    <row r="736" spans="1:8" x14ac:dyDescent="0.35">
      <c r="A736">
        <v>2735</v>
      </c>
      <c r="B736" t="s">
        <v>767</v>
      </c>
      <c r="C736" t="s">
        <v>24</v>
      </c>
      <c r="D736" t="s">
        <v>10</v>
      </c>
      <c r="E736" s="1">
        <v>45688</v>
      </c>
      <c r="F736">
        <v>43064</v>
      </c>
      <c r="G736">
        <v>36648</v>
      </c>
      <c r="H736" t="s">
        <v>15</v>
      </c>
    </row>
    <row r="737" spans="1:8" x14ac:dyDescent="0.35">
      <c r="A737">
        <v>2736</v>
      </c>
      <c r="B737" t="s">
        <v>768</v>
      </c>
      <c r="C737" t="s">
        <v>9</v>
      </c>
      <c r="D737" t="s">
        <v>18</v>
      </c>
      <c r="E737" s="1">
        <v>45741</v>
      </c>
      <c r="F737">
        <v>45711</v>
      </c>
      <c r="G737">
        <v>44207</v>
      </c>
      <c r="H737" t="s">
        <v>19</v>
      </c>
    </row>
    <row r="738" spans="1:8" x14ac:dyDescent="0.35">
      <c r="A738">
        <v>2737</v>
      </c>
      <c r="B738" t="s">
        <v>769</v>
      </c>
      <c r="C738" t="s">
        <v>17</v>
      </c>
      <c r="D738" t="s">
        <v>27</v>
      </c>
      <c r="E738" s="1">
        <v>45809</v>
      </c>
      <c r="F738">
        <v>50106</v>
      </c>
      <c r="G738">
        <v>39451</v>
      </c>
      <c r="H738" t="s">
        <v>67</v>
      </c>
    </row>
    <row r="739" spans="1:8" x14ac:dyDescent="0.35">
      <c r="A739">
        <v>2738</v>
      </c>
      <c r="B739" t="s">
        <v>770</v>
      </c>
      <c r="C739" t="s">
        <v>24</v>
      </c>
      <c r="D739" t="s">
        <v>14</v>
      </c>
      <c r="E739" s="1">
        <v>45693</v>
      </c>
      <c r="F739">
        <v>36589</v>
      </c>
      <c r="G739">
        <v>25844</v>
      </c>
      <c r="H739" t="s">
        <v>77</v>
      </c>
    </row>
    <row r="740" spans="1:8" x14ac:dyDescent="0.35">
      <c r="A740">
        <v>2739</v>
      </c>
      <c r="B740" t="s">
        <v>771</v>
      </c>
      <c r="C740" t="s">
        <v>24</v>
      </c>
      <c r="D740" t="s">
        <v>37</v>
      </c>
      <c r="E740" s="1">
        <v>45870</v>
      </c>
      <c r="F740">
        <v>43736</v>
      </c>
      <c r="G740">
        <v>34812</v>
      </c>
      <c r="H740" t="s">
        <v>38</v>
      </c>
    </row>
    <row r="741" spans="1:8" x14ac:dyDescent="0.35">
      <c r="A741">
        <v>2740</v>
      </c>
      <c r="B741" t="s">
        <v>772</v>
      </c>
      <c r="C741" t="s">
        <v>33</v>
      </c>
      <c r="D741" t="s">
        <v>37</v>
      </c>
      <c r="E741" s="1">
        <v>46021</v>
      </c>
      <c r="F741">
        <v>40975</v>
      </c>
      <c r="G741">
        <v>31035</v>
      </c>
      <c r="H741" t="s">
        <v>25</v>
      </c>
    </row>
    <row r="742" spans="1:8" x14ac:dyDescent="0.35">
      <c r="A742">
        <v>2741</v>
      </c>
      <c r="B742" t="s">
        <v>773</v>
      </c>
      <c r="C742" t="s">
        <v>9</v>
      </c>
      <c r="D742" t="s">
        <v>37</v>
      </c>
      <c r="E742" s="1">
        <v>45763</v>
      </c>
      <c r="F742">
        <v>56218</v>
      </c>
      <c r="G742">
        <v>52294</v>
      </c>
      <c r="H742" t="s">
        <v>11</v>
      </c>
    </row>
    <row r="743" spans="1:8" x14ac:dyDescent="0.35">
      <c r="A743">
        <v>2742</v>
      </c>
      <c r="B743" t="s">
        <v>774</v>
      </c>
      <c r="C743" t="s">
        <v>13</v>
      </c>
      <c r="D743" t="s">
        <v>10</v>
      </c>
      <c r="E743" s="1">
        <v>45999</v>
      </c>
      <c r="F743">
        <v>27214</v>
      </c>
      <c r="G743">
        <v>18599</v>
      </c>
      <c r="H743" t="s">
        <v>25</v>
      </c>
    </row>
    <row r="744" spans="1:8" x14ac:dyDescent="0.35">
      <c r="A744">
        <v>2743</v>
      </c>
      <c r="B744" t="s">
        <v>775</v>
      </c>
      <c r="C744" t="s">
        <v>56</v>
      </c>
      <c r="D744" t="s">
        <v>21</v>
      </c>
      <c r="E744" s="1">
        <v>45877</v>
      </c>
      <c r="F744">
        <v>50581</v>
      </c>
      <c r="G744">
        <v>38911</v>
      </c>
      <c r="H744" t="s">
        <v>38</v>
      </c>
    </row>
    <row r="745" spans="1:8" x14ac:dyDescent="0.35">
      <c r="A745">
        <v>2744</v>
      </c>
      <c r="B745" t="s">
        <v>776</v>
      </c>
      <c r="C745" t="s">
        <v>33</v>
      </c>
      <c r="D745" t="s">
        <v>18</v>
      </c>
      <c r="E745" s="1">
        <v>45820</v>
      </c>
      <c r="F745">
        <v>40195</v>
      </c>
      <c r="G745">
        <v>30412</v>
      </c>
      <c r="H745" t="s">
        <v>67</v>
      </c>
    </row>
    <row r="746" spans="1:8" x14ac:dyDescent="0.35">
      <c r="A746">
        <v>2745</v>
      </c>
      <c r="B746" t="s">
        <v>777</v>
      </c>
      <c r="C746" t="s">
        <v>33</v>
      </c>
      <c r="D746" t="s">
        <v>14</v>
      </c>
      <c r="E746" s="1">
        <v>45877</v>
      </c>
      <c r="F746">
        <v>47127</v>
      </c>
      <c r="G746">
        <v>42642</v>
      </c>
      <c r="H746" t="s">
        <v>38</v>
      </c>
    </row>
    <row r="747" spans="1:8" x14ac:dyDescent="0.35">
      <c r="A747">
        <v>2746</v>
      </c>
      <c r="B747" t="s">
        <v>778</v>
      </c>
      <c r="C747" t="s">
        <v>13</v>
      </c>
      <c r="D747" t="s">
        <v>27</v>
      </c>
      <c r="E747" s="1">
        <v>45927</v>
      </c>
      <c r="F747">
        <v>25141</v>
      </c>
      <c r="G747">
        <v>12512</v>
      </c>
      <c r="H747" t="s">
        <v>53</v>
      </c>
    </row>
    <row r="748" spans="1:8" x14ac:dyDescent="0.35">
      <c r="A748">
        <v>2747</v>
      </c>
      <c r="B748" t="s">
        <v>779</v>
      </c>
      <c r="C748" t="s">
        <v>56</v>
      </c>
      <c r="D748" t="s">
        <v>14</v>
      </c>
      <c r="E748" s="1">
        <v>45777</v>
      </c>
      <c r="F748">
        <v>48884</v>
      </c>
      <c r="G748">
        <v>35651</v>
      </c>
      <c r="H748" t="s">
        <v>11</v>
      </c>
    </row>
    <row r="749" spans="1:8" x14ac:dyDescent="0.35">
      <c r="A749">
        <v>2748</v>
      </c>
      <c r="B749" t="s">
        <v>780</v>
      </c>
      <c r="C749" t="s">
        <v>17</v>
      </c>
      <c r="D749" t="s">
        <v>27</v>
      </c>
      <c r="E749" s="1">
        <v>45993</v>
      </c>
      <c r="F749">
        <v>44885</v>
      </c>
      <c r="G749">
        <v>31984</v>
      </c>
      <c r="H749" t="s">
        <v>25</v>
      </c>
    </row>
    <row r="750" spans="1:8" x14ac:dyDescent="0.35">
      <c r="A750">
        <v>2749</v>
      </c>
      <c r="B750" t="s">
        <v>781</v>
      </c>
      <c r="C750" t="s">
        <v>45</v>
      </c>
      <c r="D750" t="s">
        <v>10</v>
      </c>
      <c r="E750" s="1">
        <v>45839</v>
      </c>
      <c r="F750">
        <v>22708</v>
      </c>
      <c r="G750">
        <v>14608</v>
      </c>
      <c r="H750" t="s">
        <v>43</v>
      </c>
    </row>
    <row r="751" spans="1:8" x14ac:dyDescent="0.35">
      <c r="A751">
        <v>2750</v>
      </c>
      <c r="B751" t="s">
        <v>782</v>
      </c>
      <c r="C751" t="s">
        <v>9</v>
      </c>
      <c r="D751" t="s">
        <v>37</v>
      </c>
      <c r="E751" s="1">
        <v>45763</v>
      </c>
      <c r="F751">
        <v>38375</v>
      </c>
      <c r="G751">
        <v>29691</v>
      </c>
      <c r="H751" t="s">
        <v>11</v>
      </c>
    </row>
    <row r="752" spans="1:8" x14ac:dyDescent="0.35">
      <c r="A752">
        <v>2751</v>
      </c>
      <c r="B752" t="s">
        <v>783</v>
      </c>
      <c r="C752" t="s">
        <v>45</v>
      </c>
      <c r="D752" t="s">
        <v>10</v>
      </c>
      <c r="E752" s="1">
        <v>45874</v>
      </c>
      <c r="F752">
        <v>35088</v>
      </c>
      <c r="G752">
        <v>34897</v>
      </c>
      <c r="H752" t="s">
        <v>38</v>
      </c>
    </row>
    <row r="753" spans="1:8" x14ac:dyDescent="0.35">
      <c r="A753">
        <v>2752</v>
      </c>
      <c r="B753" t="s">
        <v>784</v>
      </c>
      <c r="C753" t="s">
        <v>17</v>
      </c>
      <c r="D753" t="s">
        <v>21</v>
      </c>
      <c r="E753" s="1">
        <v>45862</v>
      </c>
      <c r="F753">
        <v>30014</v>
      </c>
      <c r="G753">
        <v>21324</v>
      </c>
      <c r="H753" t="s">
        <v>43</v>
      </c>
    </row>
    <row r="754" spans="1:8" x14ac:dyDescent="0.35">
      <c r="A754">
        <v>2753</v>
      </c>
      <c r="B754" t="s">
        <v>785</v>
      </c>
      <c r="C754" t="s">
        <v>33</v>
      </c>
      <c r="D754" t="s">
        <v>21</v>
      </c>
      <c r="E754" s="1">
        <v>45727</v>
      </c>
      <c r="F754">
        <v>23273</v>
      </c>
      <c r="G754">
        <v>18356</v>
      </c>
      <c r="H754" t="s">
        <v>19</v>
      </c>
    </row>
    <row r="755" spans="1:8" x14ac:dyDescent="0.35">
      <c r="A755">
        <v>2754</v>
      </c>
      <c r="B755" t="s">
        <v>786</v>
      </c>
      <c r="C755" t="s">
        <v>56</v>
      </c>
      <c r="D755" t="s">
        <v>27</v>
      </c>
      <c r="E755" s="1">
        <v>45701</v>
      </c>
      <c r="F755">
        <v>57306</v>
      </c>
      <c r="G755">
        <v>51475</v>
      </c>
      <c r="H755" t="s">
        <v>77</v>
      </c>
    </row>
    <row r="756" spans="1:8" x14ac:dyDescent="0.35">
      <c r="A756">
        <v>2755</v>
      </c>
      <c r="B756" t="s">
        <v>787</v>
      </c>
      <c r="C756" t="s">
        <v>33</v>
      </c>
      <c r="D756" t="s">
        <v>18</v>
      </c>
      <c r="E756" s="1">
        <v>45986</v>
      </c>
      <c r="F756">
        <v>50881</v>
      </c>
      <c r="G756">
        <v>41433</v>
      </c>
      <c r="H756" t="s">
        <v>29</v>
      </c>
    </row>
    <row r="757" spans="1:8" x14ac:dyDescent="0.35">
      <c r="A757">
        <v>2756</v>
      </c>
      <c r="B757" t="s">
        <v>788</v>
      </c>
      <c r="C757" t="s">
        <v>24</v>
      </c>
      <c r="D757" t="s">
        <v>18</v>
      </c>
      <c r="E757" s="1">
        <v>45958</v>
      </c>
      <c r="F757">
        <v>51486</v>
      </c>
      <c r="G757">
        <v>41326</v>
      </c>
      <c r="H757" t="s">
        <v>22</v>
      </c>
    </row>
    <row r="758" spans="1:8" x14ac:dyDescent="0.35">
      <c r="A758">
        <v>2757</v>
      </c>
      <c r="B758" t="s">
        <v>789</v>
      </c>
      <c r="C758" t="s">
        <v>33</v>
      </c>
      <c r="D758" t="s">
        <v>27</v>
      </c>
      <c r="E758" s="1">
        <v>45885</v>
      </c>
      <c r="F758">
        <v>32541</v>
      </c>
      <c r="G758">
        <v>28219</v>
      </c>
      <c r="H758" t="s">
        <v>38</v>
      </c>
    </row>
    <row r="759" spans="1:8" x14ac:dyDescent="0.35">
      <c r="A759">
        <v>2758</v>
      </c>
      <c r="B759" t="s">
        <v>790</v>
      </c>
      <c r="C759" t="s">
        <v>33</v>
      </c>
      <c r="D759" t="s">
        <v>21</v>
      </c>
      <c r="E759" s="1">
        <v>45841</v>
      </c>
      <c r="F759">
        <v>28712</v>
      </c>
      <c r="G759">
        <v>15030</v>
      </c>
      <c r="H759" t="s">
        <v>43</v>
      </c>
    </row>
    <row r="760" spans="1:8" x14ac:dyDescent="0.35">
      <c r="A760">
        <v>2759</v>
      </c>
      <c r="B760" t="s">
        <v>791</v>
      </c>
      <c r="C760" t="s">
        <v>17</v>
      </c>
      <c r="D760" t="s">
        <v>21</v>
      </c>
      <c r="E760" s="1">
        <v>45764</v>
      </c>
      <c r="F760">
        <v>29168</v>
      </c>
      <c r="G760">
        <v>18790</v>
      </c>
      <c r="H760" t="s">
        <v>11</v>
      </c>
    </row>
    <row r="761" spans="1:8" x14ac:dyDescent="0.35">
      <c r="A761">
        <v>2760</v>
      </c>
      <c r="B761" t="s">
        <v>792</v>
      </c>
      <c r="C761" t="s">
        <v>17</v>
      </c>
      <c r="D761" t="s">
        <v>21</v>
      </c>
      <c r="E761" s="1">
        <v>45741</v>
      </c>
      <c r="F761">
        <v>23551</v>
      </c>
      <c r="G761">
        <v>16552</v>
      </c>
      <c r="H761" t="s">
        <v>19</v>
      </c>
    </row>
    <row r="762" spans="1:8" x14ac:dyDescent="0.35">
      <c r="A762">
        <v>2761</v>
      </c>
      <c r="B762" t="s">
        <v>793</v>
      </c>
      <c r="C762" t="s">
        <v>17</v>
      </c>
      <c r="D762" t="s">
        <v>10</v>
      </c>
      <c r="E762" s="1">
        <v>45995</v>
      </c>
      <c r="F762">
        <v>32297</v>
      </c>
      <c r="G762">
        <v>23289</v>
      </c>
      <c r="H762" t="s">
        <v>25</v>
      </c>
    </row>
    <row r="763" spans="1:8" x14ac:dyDescent="0.35">
      <c r="A763">
        <v>2762</v>
      </c>
      <c r="B763" t="s">
        <v>794</v>
      </c>
      <c r="C763" t="s">
        <v>45</v>
      </c>
      <c r="D763" t="s">
        <v>21</v>
      </c>
      <c r="E763" s="1">
        <v>45907</v>
      </c>
      <c r="F763">
        <v>47128</v>
      </c>
      <c r="G763">
        <v>35716</v>
      </c>
      <c r="H763" t="s">
        <v>53</v>
      </c>
    </row>
    <row r="764" spans="1:8" x14ac:dyDescent="0.35">
      <c r="A764">
        <v>2763</v>
      </c>
      <c r="B764" t="s">
        <v>795</v>
      </c>
      <c r="C764" t="s">
        <v>24</v>
      </c>
      <c r="D764" t="s">
        <v>14</v>
      </c>
      <c r="E764" s="1">
        <v>46020</v>
      </c>
      <c r="F764">
        <v>22832</v>
      </c>
      <c r="G764">
        <v>15550</v>
      </c>
      <c r="H764" t="s">
        <v>25</v>
      </c>
    </row>
    <row r="765" spans="1:8" x14ac:dyDescent="0.35">
      <c r="A765">
        <v>2764</v>
      </c>
      <c r="B765" t="s">
        <v>796</v>
      </c>
      <c r="C765" t="s">
        <v>17</v>
      </c>
      <c r="D765" t="s">
        <v>37</v>
      </c>
      <c r="E765" s="1">
        <v>45678</v>
      </c>
      <c r="F765">
        <v>48483</v>
      </c>
      <c r="G765">
        <v>38818</v>
      </c>
      <c r="H765" t="s">
        <v>15</v>
      </c>
    </row>
    <row r="766" spans="1:8" x14ac:dyDescent="0.35">
      <c r="A766">
        <v>2765</v>
      </c>
      <c r="B766" t="s">
        <v>797</v>
      </c>
      <c r="C766" t="s">
        <v>56</v>
      </c>
      <c r="D766" t="s">
        <v>21</v>
      </c>
      <c r="E766" s="1">
        <v>45853</v>
      </c>
      <c r="F766">
        <v>42063</v>
      </c>
      <c r="G766">
        <v>32785</v>
      </c>
      <c r="H766" t="s">
        <v>43</v>
      </c>
    </row>
    <row r="767" spans="1:8" x14ac:dyDescent="0.35">
      <c r="A767">
        <v>2766</v>
      </c>
      <c r="B767" t="s">
        <v>798</v>
      </c>
      <c r="C767" t="s">
        <v>45</v>
      </c>
      <c r="D767" t="s">
        <v>27</v>
      </c>
      <c r="E767" s="1">
        <v>45835</v>
      </c>
      <c r="F767">
        <v>42963</v>
      </c>
      <c r="G767">
        <v>30572</v>
      </c>
      <c r="H767" t="s">
        <v>67</v>
      </c>
    </row>
    <row r="768" spans="1:8" x14ac:dyDescent="0.35">
      <c r="A768">
        <v>2767</v>
      </c>
      <c r="B768" t="s">
        <v>799</v>
      </c>
      <c r="C768" t="s">
        <v>13</v>
      </c>
      <c r="D768" t="s">
        <v>37</v>
      </c>
      <c r="E768" s="1">
        <v>45664</v>
      </c>
      <c r="F768">
        <v>33422</v>
      </c>
      <c r="G768">
        <v>31548</v>
      </c>
      <c r="H768" t="s">
        <v>15</v>
      </c>
    </row>
    <row r="769" spans="1:8" x14ac:dyDescent="0.35">
      <c r="A769">
        <v>2768</v>
      </c>
      <c r="B769" t="s">
        <v>800</v>
      </c>
      <c r="C769" t="s">
        <v>56</v>
      </c>
      <c r="D769" t="s">
        <v>10</v>
      </c>
      <c r="E769" s="1">
        <v>45727</v>
      </c>
      <c r="F769">
        <v>52920</v>
      </c>
      <c r="G769">
        <v>43858</v>
      </c>
      <c r="H769" t="s">
        <v>19</v>
      </c>
    </row>
    <row r="770" spans="1:8" x14ac:dyDescent="0.35">
      <c r="A770">
        <v>2769</v>
      </c>
      <c r="B770" t="s">
        <v>801</v>
      </c>
      <c r="C770" t="s">
        <v>9</v>
      </c>
      <c r="D770" t="s">
        <v>27</v>
      </c>
      <c r="E770" s="1">
        <v>45784</v>
      </c>
      <c r="F770">
        <v>31156</v>
      </c>
      <c r="G770">
        <v>26393</v>
      </c>
      <c r="H770" t="s">
        <v>31</v>
      </c>
    </row>
    <row r="771" spans="1:8" x14ac:dyDescent="0.35">
      <c r="A771">
        <v>2770</v>
      </c>
      <c r="B771" t="s">
        <v>802</v>
      </c>
      <c r="C771" t="s">
        <v>9</v>
      </c>
      <c r="D771" t="s">
        <v>37</v>
      </c>
      <c r="E771" s="1">
        <v>45817</v>
      </c>
      <c r="F771">
        <v>31108</v>
      </c>
      <c r="G771">
        <v>20874</v>
      </c>
      <c r="H771" t="s">
        <v>67</v>
      </c>
    </row>
    <row r="772" spans="1:8" x14ac:dyDescent="0.35">
      <c r="A772">
        <v>2771</v>
      </c>
      <c r="B772" t="s">
        <v>803</v>
      </c>
      <c r="C772" t="s">
        <v>56</v>
      </c>
      <c r="D772" t="s">
        <v>27</v>
      </c>
      <c r="E772" s="1">
        <v>45905</v>
      </c>
      <c r="F772">
        <v>51845</v>
      </c>
      <c r="G772">
        <v>43381</v>
      </c>
      <c r="H772" t="s">
        <v>53</v>
      </c>
    </row>
    <row r="773" spans="1:8" x14ac:dyDescent="0.35">
      <c r="A773">
        <v>2772</v>
      </c>
      <c r="B773" t="s">
        <v>804</v>
      </c>
      <c r="C773" t="s">
        <v>17</v>
      </c>
      <c r="D773" t="s">
        <v>10</v>
      </c>
      <c r="E773" s="1">
        <v>45860</v>
      </c>
      <c r="F773">
        <v>22800</v>
      </c>
      <c r="G773">
        <v>13579</v>
      </c>
      <c r="H773" t="s">
        <v>43</v>
      </c>
    </row>
    <row r="774" spans="1:8" x14ac:dyDescent="0.35">
      <c r="A774">
        <v>2773</v>
      </c>
      <c r="B774" t="s">
        <v>805</v>
      </c>
      <c r="C774" t="s">
        <v>13</v>
      </c>
      <c r="D774" t="s">
        <v>14</v>
      </c>
      <c r="E774" s="1">
        <v>45805</v>
      </c>
      <c r="F774">
        <v>58078</v>
      </c>
      <c r="G774">
        <v>46668</v>
      </c>
      <c r="H774" t="s">
        <v>31</v>
      </c>
    </row>
    <row r="775" spans="1:8" x14ac:dyDescent="0.35">
      <c r="A775">
        <v>2774</v>
      </c>
      <c r="B775" t="s">
        <v>806</v>
      </c>
      <c r="C775" t="s">
        <v>13</v>
      </c>
      <c r="D775" t="s">
        <v>10</v>
      </c>
      <c r="E775" s="1">
        <v>45800</v>
      </c>
      <c r="F775">
        <v>22610</v>
      </c>
      <c r="G775">
        <v>8091</v>
      </c>
      <c r="H775" t="s">
        <v>31</v>
      </c>
    </row>
    <row r="776" spans="1:8" x14ac:dyDescent="0.35">
      <c r="A776">
        <v>2775</v>
      </c>
      <c r="B776" t="s">
        <v>807</v>
      </c>
      <c r="C776" t="s">
        <v>45</v>
      </c>
      <c r="D776" t="s">
        <v>10</v>
      </c>
      <c r="E776" s="1">
        <v>45856</v>
      </c>
      <c r="F776">
        <v>32067</v>
      </c>
      <c r="G776">
        <v>19806</v>
      </c>
      <c r="H776" t="s">
        <v>43</v>
      </c>
    </row>
    <row r="777" spans="1:8" x14ac:dyDescent="0.35">
      <c r="A777">
        <v>2776</v>
      </c>
      <c r="B777" t="s">
        <v>808</v>
      </c>
      <c r="C777" t="s">
        <v>13</v>
      </c>
      <c r="D777" t="s">
        <v>27</v>
      </c>
      <c r="E777" s="1">
        <v>45811</v>
      </c>
      <c r="F777">
        <v>53872</v>
      </c>
      <c r="G777">
        <v>52821</v>
      </c>
      <c r="H777" t="s">
        <v>67</v>
      </c>
    </row>
    <row r="778" spans="1:8" x14ac:dyDescent="0.35">
      <c r="A778">
        <v>2777</v>
      </c>
      <c r="B778" t="s">
        <v>809</v>
      </c>
      <c r="C778" t="s">
        <v>9</v>
      </c>
      <c r="D778" t="s">
        <v>18</v>
      </c>
      <c r="E778" s="1">
        <v>45799</v>
      </c>
      <c r="F778">
        <v>30728</v>
      </c>
      <c r="G778">
        <v>18503</v>
      </c>
      <c r="H778" t="s">
        <v>31</v>
      </c>
    </row>
    <row r="779" spans="1:8" x14ac:dyDescent="0.35">
      <c r="A779">
        <v>2778</v>
      </c>
      <c r="B779" t="s">
        <v>810</v>
      </c>
      <c r="C779" t="s">
        <v>24</v>
      </c>
      <c r="D779" t="s">
        <v>21</v>
      </c>
      <c r="E779" s="1">
        <v>45970</v>
      </c>
      <c r="F779">
        <v>49566</v>
      </c>
      <c r="G779">
        <v>39801</v>
      </c>
      <c r="H779" t="s">
        <v>29</v>
      </c>
    </row>
    <row r="780" spans="1:8" x14ac:dyDescent="0.35">
      <c r="A780">
        <v>2779</v>
      </c>
      <c r="B780" t="s">
        <v>811</v>
      </c>
      <c r="C780" t="s">
        <v>17</v>
      </c>
      <c r="D780" t="s">
        <v>21</v>
      </c>
      <c r="E780" s="1">
        <v>45822</v>
      </c>
      <c r="F780">
        <v>49783</v>
      </c>
      <c r="G780">
        <v>38401</v>
      </c>
      <c r="H780" t="s">
        <v>67</v>
      </c>
    </row>
    <row r="781" spans="1:8" x14ac:dyDescent="0.35">
      <c r="A781">
        <v>2780</v>
      </c>
      <c r="B781" t="s">
        <v>812</v>
      </c>
      <c r="C781" t="s">
        <v>13</v>
      </c>
      <c r="D781" t="s">
        <v>14</v>
      </c>
      <c r="E781" s="1">
        <v>45971</v>
      </c>
      <c r="F781">
        <v>40583</v>
      </c>
      <c r="G781">
        <v>28003</v>
      </c>
      <c r="H781" t="s">
        <v>29</v>
      </c>
    </row>
    <row r="782" spans="1:8" x14ac:dyDescent="0.35">
      <c r="A782">
        <v>2781</v>
      </c>
      <c r="B782" t="s">
        <v>813</v>
      </c>
      <c r="C782" t="s">
        <v>45</v>
      </c>
      <c r="D782" t="s">
        <v>14</v>
      </c>
      <c r="E782" s="1">
        <v>45678</v>
      </c>
      <c r="F782">
        <v>40238</v>
      </c>
      <c r="G782">
        <v>32700</v>
      </c>
      <c r="H782" t="s">
        <v>15</v>
      </c>
    </row>
    <row r="783" spans="1:8" x14ac:dyDescent="0.35">
      <c r="A783">
        <v>2782</v>
      </c>
      <c r="B783" t="s">
        <v>814</v>
      </c>
      <c r="C783" t="s">
        <v>9</v>
      </c>
      <c r="D783" t="s">
        <v>21</v>
      </c>
      <c r="E783" s="1">
        <v>45739</v>
      </c>
      <c r="F783">
        <v>27263</v>
      </c>
      <c r="G783">
        <v>19852</v>
      </c>
      <c r="H783" t="s">
        <v>19</v>
      </c>
    </row>
    <row r="784" spans="1:8" x14ac:dyDescent="0.35">
      <c r="A784">
        <v>2783</v>
      </c>
      <c r="B784" t="s">
        <v>815</v>
      </c>
      <c r="C784" t="s">
        <v>24</v>
      </c>
      <c r="D784" t="s">
        <v>18</v>
      </c>
      <c r="E784" s="1">
        <v>45726</v>
      </c>
      <c r="F784">
        <v>21914</v>
      </c>
      <c r="G784">
        <v>9925</v>
      </c>
      <c r="H784" t="s">
        <v>19</v>
      </c>
    </row>
    <row r="785" spans="1:8" x14ac:dyDescent="0.35">
      <c r="A785">
        <v>2784</v>
      </c>
      <c r="B785" t="s">
        <v>816</v>
      </c>
      <c r="C785" t="s">
        <v>33</v>
      </c>
      <c r="D785" t="s">
        <v>21</v>
      </c>
      <c r="E785" s="1">
        <v>45788</v>
      </c>
      <c r="F785">
        <v>43749</v>
      </c>
      <c r="G785">
        <v>32268</v>
      </c>
      <c r="H785" t="s">
        <v>31</v>
      </c>
    </row>
    <row r="786" spans="1:8" x14ac:dyDescent="0.35">
      <c r="A786">
        <v>2785</v>
      </c>
      <c r="B786" t="s">
        <v>817</v>
      </c>
      <c r="C786" t="s">
        <v>33</v>
      </c>
      <c r="D786" t="s">
        <v>18</v>
      </c>
      <c r="E786" s="1">
        <v>45744</v>
      </c>
      <c r="F786">
        <v>39456</v>
      </c>
      <c r="G786">
        <v>33136</v>
      </c>
      <c r="H786" t="s">
        <v>19</v>
      </c>
    </row>
    <row r="787" spans="1:8" x14ac:dyDescent="0.35">
      <c r="A787">
        <v>2786</v>
      </c>
      <c r="B787" t="s">
        <v>818</v>
      </c>
      <c r="C787" t="s">
        <v>24</v>
      </c>
      <c r="D787" t="s">
        <v>14</v>
      </c>
      <c r="E787" s="1">
        <v>45875</v>
      </c>
      <c r="F787">
        <v>45582</v>
      </c>
      <c r="G787">
        <v>33643</v>
      </c>
      <c r="H787" t="s">
        <v>38</v>
      </c>
    </row>
    <row r="788" spans="1:8" x14ac:dyDescent="0.35">
      <c r="A788">
        <v>2787</v>
      </c>
      <c r="B788" t="s">
        <v>819</v>
      </c>
      <c r="C788" t="s">
        <v>9</v>
      </c>
      <c r="D788" t="s">
        <v>37</v>
      </c>
      <c r="E788" s="1">
        <v>45962</v>
      </c>
      <c r="F788">
        <v>20406</v>
      </c>
      <c r="G788">
        <v>18301</v>
      </c>
      <c r="H788" t="s">
        <v>29</v>
      </c>
    </row>
    <row r="789" spans="1:8" x14ac:dyDescent="0.35">
      <c r="A789">
        <v>2788</v>
      </c>
      <c r="B789" t="s">
        <v>820</v>
      </c>
      <c r="C789" t="s">
        <v>45</v>
      </c>
      <c r="D789" t="s">
        <v>27</v>
      </c>
      <c r="E789" s="1">
        <v>46002</v>
      </c>
      <c r="F789">
        <v>33689</v>
      </c>
      <c r="G789">
        <v>20109</v>
      </c>
      <c r="H789" t="s">
        <v>25</v>
      </c>
    </row>
    <row r="790" spans="1:8" x14ac:dyDescent="0.35">
      <c r="A790">
        <v>2789</v>
      </c>
      <c r="B790" t="s">
        <v>821</v>
      </c>
      <c r="C790" t="s">
        <v>24</v>
      </c>
      <c r="D790" t="s">
        <v>14</v>
      </c>
      <c r="E790" s="1">
        <v>45998</v>
      </c>
      <c r="F790">
        <v>52934</v>
      </c>
      <c r="G790">
        <v>52627</v>
      </c>
      <c r="H790" t="s">
        <v>25</v>
      </c>
    </row>
    <row r="791" spans="1:8" x14ac:dyDescent="0.35">
      <c r="A791">
        <v>2790</v>
      </c>
      <c r="B791" t="s">
        <v>822</v>
      </c>
      <c r="C791" t="s">
        <v>17</v>
      </c>
      <c r="D791" t="s">
        <v>14</v>
      </c>
      <c r="E791" s="1">
        <v>45818</v>
      </c>
      <c r="F791">
        <v>53276</v>
      </c>
      <c r="G791">
        <v>45539</v>
      </c>
      <c r="H791" t="s">
        <v>67</v>
      </c>
    </row>
    <row r="792" spans="1:8" x14ac:dyDescent="0.35">
      <c r="A792">
        <v>2791</v>
      </c>
      <c r="B792" t="s">
        <v>823</v>
      </c>
      <c r="C792" t="s">
        <v>17</v>
      </c>
      <c r="D792" t="s">
        <v>10</v>
      </c>
      <c r="E792" s="1">
        <v>45835</v>
      </c>
      <c r="F792">
        <v>56432</v>
      </c>
      <c r="G792">
        <v>53073</v>
      </c>
      <c r="H792" t="s">
        <v>67</v>
      </c>
    </row>
    <row r="793" spans="1:8" x14ac:dyDescent="0.35">
      <c r="A793">
        <v>2792</v>
      </c>
      <c r="B793" t="s">
        <v>824</v>
      </c>
      <c r="C793" t="s">
        <v>33</v>
      </c>
      <c r="D793" t="s">
        <v>10</v>
      </c>
      <c r="E793" s="1">
        <v>45774</v>
      </c>
      <c r="F793">
        <v>39873</v>
      </c>
      <c r="G793">
        <v>26609</v>
      </c>
      <c r="H793" t="s">
        <v>11</v>
      </c>
    </row>
    <row r="794" spans="1:8" x14ac:dyDescent="0.35">
      <c r="A794">
        <v>2793</v>
      </c>
      <c r="B794" t="s">
        <v>825</v>
      </c>
      <c r="C794" t="s">
        <v>13</v>
      </c>
      <c r="D794" t="s">
        <v>10</v>
      </c>
      <c r="E794" s="1">
        <v>45853</v>
      </c>
      <c r="F794">
        <v>33050</v>
      </c>
      <c r="G794">
        <v>29874</v>
      </c>
      <c r="H794" t="s">
        <v>43</v>
      </c>
    </row>
    <row r="795" spans="1:8" x14ac:dyDescent="0.35">
      <c r="A795">
        <v>2794</v>
      </c>
      <c r="B795" t="s">
        <v>826</v>
      </c>
      <c r="C795" t="s">
        <v>45</v>
      </c>
      <c r="D795" t="s">
        <v>27</v>
      </c>
      <c r="E795" s="1">
        <v>45984</v>
      </c>
      <c r="F795">
        <v>20680</v>
      </c>
      <c r="G795">
        <v>19429</v>
      </c>
      <c r="H795" t="s">
        <v>29</v>
      </c>
    </row>
    <row r="796" spans="1:8" x14ac:dyDescent="0.35">
      <c r="A796">
        <v>2795</v>
      </c>
      <c r="B796" t="s">
        <v>827</v>
      </c>
      <c r="C796" t="s">
        <v>33</v>
      </c>
      <c r="D796" t="s">
        <v>10</v>
      </c>
      <c r="E796" s="1">
        <v>45743</v>
      </c>
      <c r="F796">
        <v>38908</v>
      </c>
      <c r="G796">
        <v>33542</v>
      </c>
      <c r="H796" t="s">
        <v>19</v>
      </c>
    </row>
    <row r="797" spans="1:8" x14ac:dyDescent="0.35">
      <c r="A797">
        <v>2796</v>
      </c>
      <c r="B797" t="s">
        <v>828</v>
      </c>
      <c r="C797" t="s">
        <v>13</v>
      </c>
      <c r="D797" t="s">
        <v>18</v>
      </c>
      <c r="E797" s="1">
        <v>45946</v>
      </c>
      <c r="F797">
        <v>38504</v>
      </c>
      <c r="G797">
        <v>27565</v>
      </c>
      <c r="H797" t="s">
        <v>22</v>
      </c>
    </row>
    <row r="798" spans="1:8" x14ac:dyDescent="0.35">
      <c r="A798">
        <v>2797</v>
      </c>
      <c r="B798" t="s">
        <v>829</v>
      </c>
      <c r="C798" t="s">
        <v>13</v>
      </c>
      <c r="D798" t="s">
        <v>21</v>
      </c>
      <c r="E798" s="1">
        <v>45738</v>
      </c>
      <c r="F798">
        <v>41644</v>
      </c>
      <c r="G798">
        <v>40127</v>
      </c>
      <c r="H798" t="s">
        <v>19</v>
      </c>
    </row>
    <row r="799" spans="1:8" x14ac:dyDescent="0.35">
      <c r="A799">
        <v>2798</v>
      </c>
      <c r="B799" t="s">
        <v>830</v>
      </c>
      <c r="C799" t="s">
        <v>17</v>
      </c>
      <c r="D799" t="s">
        <v>37</v>
      </c>
      <c r="E799" s="1">
        <v>45809</v>
      </c>
      <c r="F799">
        <v>57125</v>
      </c>
      <c r="G799">
        <v>50899</v>
      </c>
      <c r="H799" t="s">
        <v>67</v>
      </c>
    </row>
    <row r="800" spans="1:8" x14ac:dyDescent="0.35">
      <c r="A800">
        <v>2799</v>
      </c>
      <c r="B800" t="s">
        <v>831</v>
      </c>
      <c r="C800" t="s">
        <v>9</v>
      </c>
      <c r="D800" t="s">
        <v>14</v>
      </c>
      <c r="E800" s="1">
        <v>45718</v>
      </c>
      <c r="F800">
        <v>21363</v>
      </c>
      <c r="G800">
        <v>16058</v>
      </c>
      <c r="H800" t="s">
        <v>19</v>
      </c>
    </row>
    <row r="801" spans="1:8" x14ac:dyDescent="0.35">
      <c r="A801">
        <v>2800</v>
      </c>
      <c r="B801" t="s">
        <v>832</v>
      </c>
      <c r="C801" t="s">
        <v>56</v>
      </c>
      <c r="D801" t="s">
        <v>18</v>
      </c>
      <c r="E801" s="1">
        <v>45718</v>
      </c>
      <c r="F801">
        <v>55060</v>
      </c>
      <c r="G801">
        <v>40473</v>
      </c>
      <c r="H801" t="s">
        <v>19</v>
      </c>
    </row>
    <row r="802" spans="1:8" x14ac:dyDescent="0.35">
      <c r="A802">
        <v>2801</v>
      </c>
      <c r="B802" t="s">
        <v>833</v>
      </c>
      <c r="C802" t="s">
        <v>9</v>
      </c>
      <c r="D802" t="s">
        <v>37</v>
      </c>
      <c r="E802" s="1">
        <v>46011</v>
      </c>
      <c r="F802">
        <v>21538</v>
      </c>
      <c r="G802">
        <v>11968</v>
      </c>
      <c r="H802" t="s">
        <v>25</v>
      </c>
    </row>
    <row r="803" spans="1:8" x14ac:dyDescent="0.35">
      <c r="A803">
        <v>2802</v>
      </c>
      <c r="B803" t="s">
        <v>834</v>
      </c>
      <c r="C803" t="s">
        <v>56</v>
      </c>
      <c r="D803" t="s">
        <v>18</v>
      </c>
      <c r="E803" s="1">
        <v>45685</v>
      </c>
      <c r="F803">
        <v>56176</v>
      </c>
      <c r="G803">
        <v>50307</v>
      </c>
      <c r="H803" t="s">
        <v>15</v>
      </c>
    </row>
    <row r="804" spans="1:8" x14ac:dyDescent="0.35">
      <c r="A804">
        <v>2803</v>
      </c>
      <c r="B804" t="s">
        <v>835</v>
      </c>
      <c r="C804" t="s">
        <v>24</v>
      </c>
      <c r="D804" t="s">
        <v>18</v>
      </c>
      <c r="E804" s="1">
        <v>45700</v>
      </c>
      <c r="F804">
        <v>45675</v>
      </c>
      <c r="G804">
        <v>37636</v>
      </c>
      <c r="H804" t="s">
        <v>77</v>
      </c>
    </row>
    <row r="805" spans="1:8" x14ac:dyDescent="0.35">
      <c r="A805">
        <v>2804</v>
      </c>
      <c r="B805" t="s">
        <v>836</v>
      </c>
      <c r="C805" t="s">
        <v>17</v>
      </c>
      <c r="D805" t="s">
        <v>14</v>
      </c>
      <c r="E805" s="1">
        <v>45826</v>
      </c>
      <c r="F805">
        <v>38287</v>
      </c>
      <c r="G805">
        <v>24280</v>
      </c>
      <c r="H805" t="s">
        <v>67</v>
      </c>
    </row>
    <row r="806" spans="1:8" x14ac:dyDescent="0.35">
      <c r="A806">
        <v>2805</v>
      </c>
      <c r="B806" t="s">
        <v>837</v>
      </c>
      <c r="C806" t="s">
        <v>13</v>
      </c>
      <c r="D806" t="s">
        <v>21</v>
      </c>
      <c r="E806" s="1">
        <v>45743</v>
      </c>
      <c r="F806">
        <v>20174</v>
      </c>
      <c r="G806">
        <v>5844</v>
      </c>
      <c r="H806" t="s">
        <v>19</v>
      </c>
    </row>
    <row r="807" spans="1:8" x14ac:dyDescent="0.35">
      <c r="A807">
        <v>2806</v>
      </c>
      <c r="B807" t="s">
        <v>838</v>
      </c>
      <c r="C807" t="s">
        <v>45</v>
      </c>
      <c r="D807" t="s">
        <v>10</v>
      </c>
      <c r="E807" s="1">
        <v>45834</v>
      </c>
      <c r="F807">
        <v>46732</v>
      </c>
      <c r="G807">
        <v>41841</v>
      </c>
      <c r="H807" t="s">
        <v>67</v>
      </c>
    </row>
    <row r="808" spans="1:8" x14ac:dyDescent="0.35">
      <c r="A808">
        <v>2807</v>
      </c>
      <c r="B808" t="s">
        <v>839</v>
      </c>
      <c r="C808" t="s">
        <v>56</v>
      </c>
      <c r="D808" t="s">
        <v>27</v>
      </c>
      <c r="E808" s="1">
        <v>45674</v>
      </c>
      <c r="F808">
        <v>54998</v>
      </c>
      <c r="G808">
        <v>50006</v>
      </c>
      <c r="H808" t="s">
        <v>15</v>
      </c>
    </row>
    <row r="809" spans="1:8" x14ac:dyDescent="0.35">
      <c r="A809">
        <v>2808</v>
      </c>
      <c r="B809" t="s">
        <v>840</v>
      </c>
      <c r="C809" t="s">
        <v>9</v>
      </c>
      <c r="D809" t="s">
        <v>21</v>
      </c>
      <c r="E809" s="1">
        <v>45755</v>
      </c>
      <c r="F809">
        <v>57055</v>
      </c>
      <c r="G809">
        <v>55094</v>
      </c>
      <c r="H809" t="s">
        <v>11</v>
      </c>
    </row>
    <row r="810" spans="1:8" x14ac:dyDescent="0.35">
      <c r="A810">
        <v>2809</v>
      </c>
      <c r="B810" t="s">
        <v>841</v>
      </c>
      <c r="C810" t="s">
        <v>13</v>
      </c>
      <c r="D810" t="s">
        <v>27</v>
      </c>
      <c r="E810" s="1">
        <v>45855</v>
      </c>
      <c r="F810">
        <v>32112</v>
      </c>
      <c r="G810">
        <v>19615</v>
      </c>
      <c r="H810" t="s">
        <v>43</v>
      </c>
    </row>
    <row r="811" spans="1:8" x14ac:dyDescent="0.35">
      <c r="A811">
        <v>2810</v>
      </c>
      <c r="B811" t="s">
        <v>842</v>
      </c>
      <c r="C811" t="s">
        <v>56</v>
      </c>
      <c r="D811" t="s">
        <v>14</v>
      </c>
      <c r="E811" s="1">
        <v>45755</v>
      </c>
      <c r="F811">
        <v>59874</v>
      </c>
      <c r="G811">
        <v>57011</v>
      </c>
      <c r="H811" t="s">
        <v>11</v>
      </c>
    </row>
    <row r="812" spans="1:8" x14ac:dyDescent="0.35">
      <c r="A812">
        <v>2811</v>
      </c>
      <c r="B812" t="s">
        <v>843</v>
      </c>
      <c r="C812" t="s">
        <v>56</v>
      </c>
      <c r="D812" t="s">
        <v>14</v>
      </c>
      <c r="E812" s="1">
        <v>45722</v>
      </c>
      <c r="F812">
        <v>29689</v>
      </c>
      <c r="G812">
        <v>18841</v>
      </c>
      <c r="H812" t="s">
        <v>19</v>
      </c>
    </row>
    <row r="813" spans="1:8" x14ac:dyDescent="0.35">
      <c r="A813">
        <v>2812</v>
      </c>
      <c r="B813" t="s">
        <v>844</v>
      </c>
      <c r="C813" t="s">
        <v>56</v>
      </c>
      <c r="D813" t="s">
        <v>14</v>
      </c>
      <c r="E813" s="1">
        <v>45987</v>
      </c>
      <c r="F813">
        <v>39555</v>
      </c>
      <c r="G813">
        <v>28869</v>
      </c>
      <c r="H813" t="s">
        <v>29</v>
      </c>
    </row>
    <row r="814" spans="1:8" x14ac:dyDescent="0.35">
      <c r="A814">
        <v>2813</v>
      </c>
      <c r="B814" t="s">
        <v>845</v>
      </c>
      <c r="C814" t="s">
        <v>45</v>
      </c>
      <c r="D814" t="s">
        <v>37</v>
      </c>
      <c r="E814" s="1">
        <v>45998</v>
      </c>
      <c r="F814">
        <v>53919</v>
      </c>
      <c r="G814">
        <v>47316</v>
      </c>
      <c r="H814" t="s">
        <v>25</v>
      </c>
    </row>
    <row r="815" spans="1:8" x14ac:dyDescent="0.35">
      <c r="A815">
        <v>2814</v>
      </c>
      <c r="B815" t="s">
        <v>846</v>
      </c>
      <c r="C815" t="s">
        <v>17</v>
      </c>
      <c r="D815" t="s">
        <v>27</v>
      </c>
      <c r="E815" s="1">
        <v>45662</v>
      </c>
      <c r="F815">
        <v>27619</v>
      </c>
      <c r="G815">
        <v>14364</v>
      </c>
      <c r="H815" t="s">
        <v>15</v>
      </c>
    </row>
    <row r="816" spans="1:8" x14ac:dyDescent="0.35">
      <c r="A816">
        <v>2815</v>
      </c>
      <c r="B816" t="s">
        <v>847</v>
      </c>
      <c r="C816" t="s">
        <v>45</v>
      </c>
      <c r="D816" t="s">
        <v>21</v>
      </c>
      <c r="E816" s="1">
        <v>45659</v>
      </c>
      <c r="F816">
        <v>26033</v>
      </c>
      <c r="G816">
        <v>21466</v>
      </c>
      <c r="H816" t="s">
        <v>15</v>
      </c>
    </row>
    <row r="817" spans="1:8" x14ac:dyDescent="0.35">
      <c r="A817">
        <v>2816</v>
      </c>
      <c r="B817" t="s">
        <v>848</v>
      </c>
      <c r="C817" t="s">
        <v>33</v>
      </c>
      <c r="D817" t="s">
        <v>21</v>
      </c>
      <c r="E817" s="1">
        <v>45679</v>
      </c>
      <c r="F817">
        <v>24946</v>
      </c>
      <c r="G817">
        <v>18433</v>
      </c>
      <c r="H817" t="s">
        <v>15</v>
      </c>
    </row>
    <row r="818" spans="1:8" x14ac:dyDescent="0.35">
      <c r="A818">
        <v>2817</v>
      </c>
      <c r="B818" t="s">
        <v>849</v>
      </c>
      <c r="C818" t="s">
        <v>13</v>
      </c>
      <c r="D818" t="s">
        <v>18</v>
      </c>
      <c r="E818" s="1">
        <v>45769</v>
      </c>
      <c r="F818">
        <v>44618</v>
      </c>
      <c r="G818">
        <v>40613</v>
      </c>
      <c r="H818" t="s">
        <v>11</v>
      </c>
    </row>
    <row r="819" spans="1:8" x14ac:dyDescent="0.35">
      <c r="A819">
        <v>2818</v>
      </c>
      <c r="B819" t="s">
        <v>850</v>
      </c>
      <c r="C819" t="s">
        <v>17</v>
      </c>
      <c r="D819" t="s">
        <v>18</v>
      </c>
      <c r="E819" s="1">
        <v>45714</v>
      </c>
      <c r="F819">
        <v>54675</v>
      </c>
      <c r="G819">
        <v>42920</v>
      </c>
      <c r="H819" t="s">
        <v>77</v>
      </c>
    </row>
    <row r="820" spans="1:8" x14ac:dyDescent="0.35">
      <c r="A820">
        <v>2819</v>
      </c>
      <c r="B820" t="s">
        <v>851</v>
      </c>
      <c r="C820" t="s">
        <v>17</v>
      </c>
      <c r="D820" t="s">
        <v>18</v>
      </c>
      <c r="E820" s="1">
        <v>45723</v>
      </c>
      <c r="F820">
        <v>56258</v>
      </c>
      <c r="G820">
        <v>47144</v>
      </c>
      <c r="H820" t="s">
        <v>19</v>
      </c>
    </row>
    <row r="821" spans="1:8" x14ac:dyDescent="0.35">
      <c r="A821">
        <v>2820</v>
      </c>
      <c r="B821" t="s">
        <v>852</v>
      </c>
      <c r="C821" t="s">
        <v>17</v>
      </c>
      <c r="D821" t="s">
        <v>14</v>
      </c>
      <c r="E821" s="1">
        <v>45987</v>
      </c>
      <c r="F821">
        <v>38919</v>
      </c>
      <c r="G821">
        <v>26495</v>
      </c>
      <c r="H821" t="s">
        <v>29</v>
      </c>
    </row>
    <row r="822" spans="1:8" x14ac:dyDescent="0.35">
      <c r="A822">
        <v>2821</v>
      </c>
      <c r="B822" t="s">
        <v>853</v>
      </c>
      <c r="C822" t="s">
        <v>9</v>
      </c>
      <c r="D822" t="s">
        <v>21</v>
      </c>
      <c r="E822" s="1">
        <v>45755</v>
      </c>
      <c r="F822">
        <v>24173</v>
      </c>
      <c r="G822">
        <v>11519</v>
      </c>
      <c r="H822" t="s">
        <v>11</v>
      </c>
    </row>
    <row r="823" spans="1:8" x14ac:dyDescent="0.35">
      <c r="A823">
        <v>2822</v>
      </c>
      <c r="B823" t="s">
        <v>854</v>
      </c>
      <c r="C823" t="s">
        <v>17</v>
      </c>
      <c r="D823" t="s">
        <v>27</v>
      </c>
      <c r="E823" s="1">
        <v>45801</v>
      </c>
      <c r="F823">
        <v>46400</v>
      </c>
      <c r="G823">
        <v>35249</v>
      </c>
      <c r="H823" t="s">
        <v>31</v>
      </c>
    </row>
    <row r="824" spans="1:8" x14ac:dyDescent="0.35">
      <c r="A824">
        <v>2823</v>
      </c>
      <c r="B824" t="s">
        <v>855</v>
      </c>
      <c r="C824" t="s">
        <v>45</v>
      </c>
      <c r="D824" t="s">
        <v>14</v>
      </c>
      <c r="E824" s="1">
        <v>45782</v>
      </c>
      <c r="F824">
        <v>24769</v>
      </c>
      <c r="G824">
        <v>24586</v>
      </c>
      <c r="H824" t="s">
        <v>31</v>
      </c>
    </row>
    <row r="825" spans="1:8" x14ac:dyDescent="0.35">
      <c r="A825">
        <v>2824</v>
      </c>
      <c r="B825" t="s">
        <v>856</v>
      </c>
      <c r="C825" t="s">
        <v>17</v>
      </c>
      <c r="D825" t="s">
        <v>37</v>
      </c>
      <c r="E825" s="1">
        <v>45824</v>
      </c>
      <c r="F825">
        <v>57564</v>
      </c>
      <c r="G825">
        <v>49809</v>
      </c>
      <c r="H825" t="s">
        <v>67</v>
      </c>
    </row>
    <row r="826" spans="1:8" x14ac:dyDescent="0.35">
      <c r="A826">
        <v>2825</v>
      </c>
      <c r="B826" t="s">
        <v>857</v>
      </c>
      <c r="C826" t="s">
        <v>24</v>
      </c>
      <c r="D826" t="s">
        <v>18</v>
      </c>
      <c r="E826" s="1">
        <v>45743</v>
      </c>
      <c r="F826">
        <v>34211</v>
      </c>
      <c r="G826">
        <v>30853</v>
      </c>
      <c r="H826" t="s">
        <v>19</v>
      </c>
    </row>
    <row r="827" spans="1:8" x14ac:dyDescent="0.35">
      <c r="A827">
        <v>2826</v>
      </c>
      <c r="B827" t="s">
        <v>858</v>
      </c>
      <c r="C827" t="s">
        <v>13</v>
      </c>
      <c r="D827" t="s">
        <v>14</v>
      </c>
      <c r="E827" s="1">
        <v>45733</v>
      </c>
      <c r="F827">
        <v>43255</v>
      </c>
      <c r="G827">
        <v>36640</v>
      </c>
      <c r="H827" t="s">
        <v>19</v>
      </c>
    </row>
    <row r="828" spans="1:8" x14ac:dyDescent="0.35">
      <c r="A828">
        <v>2827</v>
      </c>
      <c r="B828" t="s">
        <v>859</v>
      </c>
      <c r="C828" t="s">
        <v>17</v>
      </c>
      <c r="D828" t="s">
        <v>14</v>
      </c>
      <c r="E828" s="1">
        <v>46001</v>
      </c>
      <c r="F828">
        <v>47962</v>
      </c>
      <c r="G828">
        <v>38372</v>
      </c>
      <c r="H828" t="s">
        <v>25</v>
      </c>
    </row>
    <row r="829" spans="1:8" x14ac:dyDescent="0.35">
      <c r="A829">
        <v>2828</v>
      </c>
      <c r="B829" t="s">
        <v>860</v>
      </c>
      <c r="C829" t="s">
        <v>13</v>
      </c>
      <c r="D829" t="s">
        <v>37</v>
      </c>
      <c r="E829" s="1">
        <v>45951</v>
      </c>
      <c r="F829">
        <v>39356</v>
      </c>
      <c r="G829">
        <v>32559</v>
      </c>
      <c r="H829" t="s">
        <v>22</v>
      </c>
    </row>
    <row r="830" spans="1:8" x14ac:dyDescent="0.35">
      <c r="A830">
        <v>2829</v>
      </c>
      <c r="B830" t="s">
        <v>861</v>
      </c>
      <c r="C830" t="s">
        <v>24</v>
      </c>
      <c r="D830" t="s">
        <v>10</v>
      </c>
      <c r="E830" s="1">
        <v>45716</v>
      </c>
      <c r="F830">
        <v>40306</v>
      </c>
      <c r="G830">
        <v>29318</v>
      </c>
      <c r="H830" t="s">
        <v>77</v>
      </c>
    </row>
    <row r="831" spans="1:8" x14ac:dyDescent="0.35">
      <c r="A831">
        <v>2830</v>
      </c>
      <c r="B831" t="s">
        <v>862</v>
      </c>
      <c r="C831" t="s">
        <v>24</v>
      </c>
      <c r="D831" t="s">
        <v>21</v>
      </c>
      <c r="E831" s="1">
        <v>45795</v>
      </c>
      <c r="F831">
        <v>24997</v>
      </c>
      <c r="G831">
        <v>16269</v>
      </c>
      <c r="H831" t="s">
        <v>31</v>
      </c>
    </row>
    <row r="832" spans="1:8" x14ac:dyDescent="0.35">
      <c r="A832">
        <v>2831</v>
      </c>
      <c r="B832" t="s">
        <v>863</v>
      </c>
      <c r="C832" t="s">
        <v>13</v>
      </c>
      <c r="D832" t="s">
        <v>27</v>
      </c>
      <c r="E832" s="1">
        <v>45756</v>
      </c>
      <c r="F832">
        <v>37376</v>
      </c>
      <c r="G832">
        <v>29698</v>
      </c>
      <c r="H832" t="s">
        <v>11</v>
      </c>
    </row>
    <row r="833" spans="1:8" x14ac:dyDescent="0.35">
      <c r="A833">
        <v>2832</v>
      </c>
      <c r="B833" t="s">
        <v>864</v>
      </c>
      <c r="C833" t="s">
        <v>56</v>
      </c>
      <c r="D833" t="s">
        <v>10</v>
      </c>
      <c r="E833" s="1">
        <v>45849</v>
      </c>
      <c r="F833">
        <v>58055</v>
      </c>
      <c r="G833">
        <v>52357</v>
      </c>
      <c r="H833" t="s">
        <v>43</v>
      </c>
    </row>
    <row r="834" spans="1:8" x14ac:dyDescent="0.35">
      <c r="A834">
        <v>2833</v>
      </c>
      <c r="B834" t="s">
        <v>865</v>
      </c>
      <c r="C834" t="s">
        <v>33</v>
      </c>
      <c r="D834" t="s">
        <v>18</v>
      </c>
      <c r="E834" s="1">
        <v>45900</v>
      </c>
      <c r="F834">
        <v>30578</v>
      </c>
      <c r="G834">
        <v>29305</v>
      </c>
      <c r="H834" t="s">
        <v>38</v>
      </c>
    </row>
    <row r="835" spans="1:8" x14ac:dyDescent="0.35">
      <c r="A835">
        <v>2834</v>
      </c>
      <c r="B835" t="s">
        <v>866</v>
      </c>
      <c r="C835" t="s">
        <v>9</v>
      </c>
      <c r="D835" t="s">
        <v>14</v>
      </c>
      <c r="E835" s="1">
        <v>45976</v>
      </c>
      <c r="F835">
        <v>38624</v>
      </c>
      <c r="G835">
        <v>27465</v>
      </c>
      <c r="H835" t="s">
        <v>29</v>
      </c>
    </row>
    <row r="836" spans="1:8" x14ac:dyDescent="0.35">
      <c r="A836">
        <v>2835</v>
      </c>
      <c r="B836" t="s">
        <v>867</v>
      </c>
      <c r="C836" t="s">
        <v>56</v>
      </c>
      <c r="D836" t="s">
        <v>37</v>
      </c>
      <c r="E836" s="1">
        <v>45706</v>
      </c>
      <c r="F836">
        <v>59194</v>
      </c>
      <c r="G836">
        <v>52541</v>
      </c>
      <c r="H836" t="s">
        <v>77</v>
      </c>
    </row>
    <row r="837" spans="1:8" x14ac:dyDescent="0.35">
      <c r="A837">
        <v>2836</v>
      </c>
      <c r="B837" t="s">
        <v>868</v>
      </c>
      <c r="C837" t="s">
        <v>56</v>
      </c>
      <c r="D837" t="s">
        <v>37</v>
      </c>
      <c r="E837" s="1">
        <v>45689</v>
      </c>
      <c r="F837">
        <v>20389</v>
      </c>
      <c r="G837">
        <v>5424</v>
      </c>
      <c r="H837" t="s">
        <v>77</v>
      </c>
    </row>
    <row r="838" spans="1:8" x14ac:dyDescent="0.35">
      <c r="A838">
        <v>2837</v>
      </c>
      <c r="B838" t="s">
        <v>869</v>
      </c>
      <c r="C838" t="s">
        <v>45</v>
      </c>
      <c r="D838" t="s">
        <v>21</v>
      </c>
      <c r="E838" s="1">
        <v>45934</v>
      </c>
      <c r="F838">
        <v>53767</v>
      </c>
      <c r="G838">
        <v>42526</v>
      </c>
      <c r="H838" t="s">
        <v>22</v>
      </c>
    </row>
    <row r="839" spans="1:8" x14ac:dyDescent="0.35">
      <c r="A839">
        <v>2838</v>
      </c>
      <c r="B839" t="s">
        <v>870</v>
      </c>
      <c r="C839" t="s">
        <v>9</v>
      </c>
      <c r="D839" t="s">
        <v>10</v>
      </c>
      <c r="E839" s="1">
        <v>45677</v>
      </c>
      <c r="F839">
        <v>21855</v>
      </c>
      <c r="G839">
        <v>20759</v>
      </c>
      <c r="H839" t="s">
        <v>15</v>
      </c>
    </row>
    <row r="840" spans="1:8" x14ac:dyDescent="0.35">
      <c r="A840">
        <v>2839</v>
      </c>
      <c r="B840" t="s">
        <v>871</v>
      </c>
      <c r="C840" t="s">
        <v>9</v>
      </c>
      <c r="D840" t="s">
        <v>21</v>
      </c>
      <c r="E840" s="1">
        <v>45811</v>
      </c>
      <c r="F840">
        <v>33794</v>
      </c>
      <c r="G840">
        <v>24297</v>
      </c>
      <c r="H840" t="s">
        <v>67</v>
      </c>
    </row>
    <row r="841" spans="1:8" x14ac:dyDescent="0.35">
      <c r="A841">
        <v>2840</v>
      </c>
      <c r="B841" t="s">
        <v>872</v>
      </c>
      <c r="C841" t="s">
        <v>56</v>
      </c>
      <c r="D841" t="s">
        <v>14</v>
      </c>
      <c r="E841" s="1">
        <v>45725</v>
      </c>
      <c r="F841">
        <v>55531</v>
      </c>
      <c r="G841">
        <v>46424</v>
      </c>
      <c r="H841" t="s">
        <v>19</v>
      </c>
    </row>
    <row r="842" spans="1:8" x14ac:dyDescent="0.35">
      <c r="A842">
        <v>2841</v>
      </c>
      <c r="B842" t="s">
        <v>873</v>
      </c>
      <c r="C842" t="s">
        <v>17</v>
      </c>
      <c r="D842" t="s">
        <v>21</v>
      </c>
      <c r="E842" s="1">
        <v>45871</v>
      </c>
      <c r="F842">
        <v>24986</v>
      </c>
      <c r="G842">
        <v>13713</v>
      </c>
      <c r="H842" t="s">
        <v>38</v>
      </c>
    </row>
    <row r="843" spans="1:8" x14ac:dyDescent="0.35">
      <c r="A843">
        <v>2842</v>
      </c>
      <c r="B843" t="s">
        <v>874</v>
      </c>
      <c r="C843" t="s">
        <v>45</v>
      </c>
      <c r="D843" t="s">
        <v>27</v>
      </c>
      <c r="E843" s="1">
        <v>45800</v>
      </c>
      <c r="F843">
        <v>52298</v>
      </c>
      <c r="G843">
        <v>44296</v>
      </c>
      <c r="H843" t="s">
        <v>31</v>
      </c>
    </row>
    <row r="844" spans="1:8" x14ac:dyDescent="0.35">
      <c r="A844">
        <v>2843</v>
      </c>
      <c r="B844" t="s">
        <v>875</v>
      </c>
      <c r="C844" t="s">
        <v>45</v>
      </c>
      <c r="D844" t="s">
        <v>37</v>
      </c>
      <c r="E844" s="1">
        <v>45889</v>
      </c>
      <c r="F844">
        <v>21481</v>
      </c>
      <c r="G844">
        <v>17234</v>
      </c>
      <c r="H844" t="s">
        <v>38</v>
      </c>
    </row>
    <row r="845" spans="1:8" x14ac:dyDescent="0.35">
      <c r="A845">
        <v>2844</v>
      </c>
      <c r="B845" t="s">
        <v>876</v>
      </c>
      <c r="C845" t="s">
        <v>24</v>
      </c>
      <c r="D845" t="s">
        <v>37</v>
      </c>
      <c r="E845" s="1">
        <v>45870</v>
      </c>
      <c r="F845">
        <v>23731</v>
      </c>
      <c r="G845">
        <v>14511</v>
      </c>
      <c r="H845" t="s">
        <v>38</v>
      </c>
    </row>
    <row r="846" spans="1:8" x14ac:dyDescent="0.35">
      <c r="A846">
        <v>2845</v>
      </c>
      <c r="B846" t="s">
        <v>877</v>
      </c>
      <c r="C846" t="s">
        <v>9</v>
      </c>
      <c r="D846" t="s">
        <v>18</v>
      </c>
      <c r="E846" s="1">
        <v>45736</v>
      </c>
      <c r="F846">
        <v>36835</v>
      </c>
      <c r="G846">
        <v>31521</v>
      </c>
      <c r="H846" t="s">
        <v>19</v>
      </c>
    </row>
    <row r="847" spans="1:8" x14ac:dyDescent="0.35">
      <c r="A847">
        <v>2846</v>
      </c>
      <c r="B847" t="s">
        <v>878</v>
      </c>
      <c r="C847" t="s">
        <v>56</v>
      </c>
      <c r="D847" t="s">
        <v>18</v>
      </c>
      <c r="E847" s="1">
        <v>45871</v>
      </c>
      <c r="F847">
        <v>47798</v>
      </c>
      <c r="G847">
        <v>37629</v>
      </c>
      <c r="H847" t="s">
        <v>38</v>
      </c>
    </row>
    <row r="848" spans="1:8" x14ac:dyDescent="0.35">
      <c r="A848">
        <v>2847</v>
      </c>
      <c r="B848" t="s">
        <v>879</v>
      </c>
      <c r="C848" t="s">
        <v>24</v>
      </c>
      <c r="D848" t="s">
        <v>14</v>
      </c>
      <c r="E848" s="1">
        <v>45773</v>
      </c>
      <c r="F848">
        <v>46113</v>
      </c>
      <c r="G848">
        <v>42759</v>
      </c>
      <c r="H848" t="s">
        <v>11</v>
      </c>
    </row>
    <row r="849" spans="1:8" x14ac:dyDescent="0.35">
      <c r="A849">
        <v>2848</v>
      </c>
      <c r="B849" t="s">
        <v>880</v>
      </c>
      <c r="C849" t="s">
        <v>13</v>
      </c>
      <c r="D849" t="s">
        <v>27</v>
      </c>
      <c r="E849" s="1">
        <v>45749</v>
      </c>
      <c r="F849">
        <v>39477</v>
      </c>
      <c r="G849">
        <v>28774</v>
      </c>
      <c r="H849" t="s">
        <v>11</v>
      </c>
    </row>
    <row r="850" spans="1:8" x14ac:dyDescent="0.35">
      <c r="A850">
        <v>2849</v>
      </c>
      <c r="B850" t="s">
        <v>881</v>
      </c>
      <c r="C850" t="s">
        <v>33</v>
      </c>
      <c r="D850" t="s">
        <v>10</v>
      </c>
      <c r="E850" s="1">
        <v>45927</v>
      </c>
      <c r="F850">
        <v>37266</v>
      </c>
      <c r="G850">
        <v>36996</v>
      </c>
      <c r="H850" t="s">
        <v>53</v>
      </c>
    </row>
    <row r="851" spans="1:8" x14ac:dyDescent="0.35">
      <c r="A851">
        <v>2850</v>
      </c>
      <c r="B851" t="s">
        <v>882</v>
      </c>
      <c r="C851" t="s">
        <v>45</v>
      </c>
      <c r="D851" t="s">
        <v>21</v>
      </c>
      <c r="E851" s="1">
        <v>45825</v>
      </c>
      <c r="F851">
        <v>40792</v>
      </c>
      <c r="G851">
        <v>39606</v>
      </c>
      <c r="H851" t="s">
        <v>67</v>
      </c>
    </row>
    <row r="852" spans="1:8" x14ac:dyDescent="0.35">
      <c r="A852">
        <v>2851</v>
      </c>
      <c r="B852" t="s">
        <v>883</v>
      </c>
      <c r="C852" t="s">
        <v>13</v>
      </c>
      <c r="D852" t="s">
        <v>14</v>
      </c>
      <c r="E852" s="1">
        <v>45715</v>
      </c>
      <c r="F852">
        <v>40452</v>
      </c>
      <c r="G852">
        <v>27705</v>
      </c>
      <c r="H852" t="s">
        <v>77</v>
      </c>
    </row>
    <row r="853" spans="1:8" x14ac:dyDescent="0.35">
      <c r="A853">
        <v>2852</v>
      </c>
      <c r="B853" t="s">
        <v>884</v>
      </c>
      <c r="C853" t="s">
        <v>13</v>
      </c>
      <c r="D853" t="s">
        <v>18</v>
      </c>
      <c r="E853" s="1">
        <v>45941</v>
      </c>
      <c r="F853">
        <v>31889</v>
      </c>
      <c r="G853">
        <v>19497</v>
      </c>
      <c r="H853" t="s">
        <v>22</v>
      </c>
    </row>
    <row r="854" spans="1:8" x14ac:dyDescent="0.35">
      <c r="A854">
        <v>2853</v>
      </c>
      <c r="B854" t="s">
        <v>885</v>
      </c>
      <c r="C854" t="s">
        <v>17</v>
      </c>
      <c r="D854" t="s">
        <v>21</v>
      </c>
      <c r="E854" s="1">
        <v>45683</v>
      </c>
      <c r="F854">
        <v>44335</v>
      </c>
      <c r="G854">
        <v>32379</v>
      </c>
      <c r="H854" t="s">
        <v>15</v>
      </c>
    </row>
    <row r="855" spans="1:8" x14ac:dyDescent="0.35">
      <c r="A855">
        <v>2854</v>
      </c>
      <c r="B855" t="s">
        <v>886</v>
      </c>
      <c r="C855" t="s">
        <v>33</v>
      </c>
      <c r="D855" t="s">
        <v>18</v>
      </c>
      <c r="E855" s="1">
        <v>45723</v>
      </c>
      <c r="F855">
        <v>31254</v>
      </c>
      <c r="G855">
        <v>17256</v>
      </c>
      <c r="H855" t="s">
        <v>19</v>
      </c>
    </row>
    <row r="856" spans="1:8" x14ac:dyDescent="0.35">
      <c r="A856">
        <v>2855</v>
      </c>
      <c r="B856" t="s">
        <v>887</v>
      </c>
      <c r="C856" t="s">
        <v>13</v>
      </c>
      <c r="D856" t="s">
        <v>21</v>
      </c>
      <c r="E856" s="1">
        <v>45905</v>
      </c>
      <c r="F856">
        <v>41074</v>
      </c>
      <c r="G856">
        <v>34769</v>
      </c>
      <c r="H856" t="s">
        <v>53</v>
      </c>
    </row>
    <row r="857" spans="1:8" x14ac:dyDescent="0.35">
      <c r="A857">
        <v>2856</v>
      </c>
      <c r="B857" t="s">
        <v>888</v>
      </c>
      <c r="C857" t="s">
        <v>13</v>
      </c>
      <c r="D857" t="s">
        <v>10</v>
      </c>
      <c r="E857" s="1">
        <v>45911</v>
      </c>
      <c r="F857">
        <v>31442</v>
      </c>
      <c r="G857">
        <v>29044</v>
      </c>
      <c r="H857" t="s">
        <v>53</v>
      </c>
    </row>
    <row r="858" spans="1:8" x14ac:dyDescent="0.35">
      <c r="A858">
        <v>2857</v>
      </c>
      <c r="B858" t="s">
        <v>889</v>
      </c>
      <c r="C858" t="s">
        <v>33</v>
      </c>
      <c r="D858" t="s">
        <v>14</v>
      </c>
      <c r="E858" s="1">
        <v>45701</v>
      </c>
      <c r="F858">
        <v>57327</v>
      </c>
      <c r="G858">
        <v>44606</v>
      </c>
      <c r="H858" t="s">
        <v>77</v>
      </c>
    </row>
    <row r="859" spans="1:8" x14ac:dyDescent="0.35">
      <c r="A859">
        <v>2858</v>
      </c>
      <c r="B859" t="s">
        <v>890</v>
      </c>
      <c r="C859" t="s">
        <v>33</v>
      </c>
      <c r="D859" t="s">
        <v>21</v>
      </c>
      <c r="E859" s="1">
        <v>45754</v>
      </c>
      <c r="F859">
        <v>36199</v>
      </c>
      <c r="G859">
        <v>29204</v>
      </c>
      <c r="H859" t="s">
        <v>11</v>
      </c>
    </row>
    <row r="860" spans="1:8" x14ac:dyDescent="0.35">
      <c r="A860">
        <v>2859</v>
      </c>
      <c r="B860" t="s">
        <v>891</v>
      </c>
      <c r="C860" t="s">
        <v>13</v>
      </c>
      <c r="D860" t="s">
        <v>27</v>
      </c>
      <c r="E860" s="1">
        <v>45699</v>
      </c>
      <c r="F860">
        <v>27291</v>
      </c>
      <c r="G860">
        <v>14864</v>
      </c>
      <c r="H860" t="s">
        <v>77</v>
      </c>
    </row>
    <row r="861" spans="1:8" x14ac:dyDescent="0.35">
      <c r="A861">
        <v>2860</v>
      </c>
      <c r="B861" t="s">
        <v>892</v>
      </c>
      <c r="C861" t="s">
        <v>33</v>
      </c>
      <c r="D861" t="s">
        <v>37</v>
      </c>
      <c r="E861" s="1">
        <v>45884</v>
      </c>
      <c r="F861">
        <v>20112</v>
      </c>
      <c r="G861">
        <v>6330</v>
      </c>
      <c r="H861" t="s">
        <v>38</v>
      </c>
    </row>
    <row r="862" spans="1:8" x14ac:dyDescent="0.35">
      <c r="A862">
        <v>2861</v>
      </c>
      <c r="B862" t="s">
        <v>893</v>
      </c>
      <c r="C862" t="s">
        <v>13</v>
      </c>
      <c r="D862" t="s">
        <v>27</v>
      </c>
      <c r="E862" s="1">
        <v>45919</v>
      </c>
      <c r="F862">
        <v>41515</v>
      </c>
      <c r="G862">
        <v>34216</v>
      </c>
      <c r="H862" t="s">
        <v>53</v>
      </c>
    </row>
    <row r="863" spans="1:8" x14ac:dyDescent="0.35">
      <c r="A863">
        <v>2862</v>
      </c>
      <c r="B863" t="s">
        <v>894</v>
      </c>
      <c r="C863" t="s">
        <v>13</v>
      </c>
      <c r="D863" t="s">
        <v>27</v>
      </c>
      <c r="E863" s="1">
        <v>45824</v>
      </c>
      <c r="F863">
        <v>39581</v>
      </c>
      <c r="G863">
        <v>35399</v>
      </c>
      <c r="H863" t="s">
        <v>67</v>
      </c>
    </row>
    <row r="864" spans="1:8" x14ac:dyDescent="0.35">
      <c r="A864">
        <v>2863</v>
      </c>
      <c r="B864" t="s">
        <v>895</v>
      </c>
      <c r="C864" t="s">
        <v>17</v>
      </c>
      <c r="D864" t="s">
        <v>37</v>
      </c>
      <c r="E864" s="1">
        <v>45936</v>
      </c>
      <c r="F864">
        <v>46500</v>
      </c>
      <c r="G864">
        <v>36597</v>
      </c>
      <c r="H864" t="s">
        <v>22</v>
      </c>
    </row>
    <row r="865" spans="1:8" x14ac:dyDescent="0.35">
      <c r="A865">
        <v>2864</v>
      </c>
      <c r="B865" t="s">
        <v>896</v>
      </c>
      <c r="C865" t="s">
        <v>56</v>
      </c>
      <c r="D865" t="s">
        <v>27</v>
      </c>
      <c r="E865" s="1">
        <v>45746</v>
      </c>
      <c r="F865">
        <v>52026</v>
      </c>
      <c r="G865">
        <v>49796</v>
      </c>
      <c r="H865" t="s">
        <v>19</v>
      </c>
    </row>
    <row r="866" spans="1:8" x14ac:dyDescent="0.35">
      <c r="A866">
        <v>2865</v>
      </c>
      <c r="B866" t="s">
        <v>897</v>
      </c>
      <c r="C866" t="s">
        <v>13</v>
      </c>
      <c r="D866" t="s">
        <v>21</v>
      </c>
      <c r="E866" s="1">
        <v>45835</v>
      </c>
      <c r="F866">
        <v>36523</v>
      </c>
      <c r="G866">
        <v>30012</v>
      </c>
      <c r="H866" t="s">
        <v>67</v>
      </c>
    </row>
    <row r="867" spans="1:8" x14ac:dyDescent="0.35">
      <c r="A867">
        <v>2866</v>
      </c>
      <c r="B867" t="s">
        <v>898</v>
      </c>
      <c r="C867" t="s">
        <v>24</v>
      </c>
      <c r="D867" t="s">
        <v>21</v>
      </c>
      <c r="E867" s="1">
        <v>45854</v>
      </c>
      <c r="F867">
        <v>21424</v>
      </c>
      <c r="G867">
        <v>21296</v>
      </c>
      <c r="H867" t="s">
        <v>43</v>
      </c>
    </row>
    <row r="868" spans="1:8" x14ac:dyDescent="0.35">
      <c r="A868">
        <v>2867</v>
      </c>
      <c r="B868" t="s">
        <v>899</v>
      </c>
      <c r="C868" t="s">
        <v>45</v>
      </c>
      <c r="D868" t="s">
        <v>21</v>
      </c>
      <c r="E868" s="1">
        <v>45964</v>
      </c>
      <c r="F868">
        <v>39552</v>
      </c>
      <c r="G868">
        <v>30091</v>
      </c>
      <c r="H868" t="s">
        <v>29</v>
      </c>
    </row>
    <row r="869" spans="1:8" x14ac:dyDescent="0.35">
      <c r="A869">
        <v>2868</v>
      </c>
      <c r="B869" t="s">
        <v>900</v>
      </c>
      <c r="C869" t="s">
        <v>9</v>
      </c>
      <c r="D869" t="s">
        <v>37</v>
      </c>
      <c r="E869" s="1">
        <v>45924</v>
      </c>
      <c r="F869">
        <v>30808</v>
      </c>
      <c r="G869">
        <v>27136</v>
      </c>
      <c r="H869" t="s">
        <v>53</v>
      </c>
    </row>
    <row r="870" spans="1:8" x14ac:dyDescent="0.35">
      <c r="A870">
        <v>2869</v>
      </c>
      <c r="B870" t="s">
        <v>901</v>
      </c>
      <c r="C870" t="s">
        <v>56</v>
      </c>
      <c r="D870" t="s">
        <v>27</v>
      </c>
      <c r="E870" s="1">
        <v>45925</v>
      </c>
      <c r="F870">
        <v>58811</v>
      </c>
      <c r="G870">
        <v>49018</v>
      </c>
      <c r="H870" t="s">
        <v>53</v>
      </c>
    </row>
    <row r="871" spans="1:8" x14ac:dyDescent="0.35">
      <c r="A871">
        <v>2870</v>
      </c>
      <c r="B871" t="s">
        <v>902</v>
      </c>
      <c r="C871" t="s">
        <v>56</v>
      </c>
      <c r="D871" t="s">
        <v>37</v>
      </c>
      <c r="E871" s="1">
        <v>45731</v>
      </c>
      <c r="F871">
        <v>26989</v>
      </c>
      <c r="G871">
        <v>22224</v>
      </c>
      <c r="H871" t="s">
        <v>19</v>
      </c>
    </row>
    <row r="872" spans="1:8" x14ac:dyDescent="0.35">
      <c r="A872">
        <v>2871</v>
      </c>
      <c r="B872" t="s">
        <v>903</v>
      </c>
      <c r="C872" t="s">
        <v>56</v>
      </c>
      <c r="D872" t="s">
        <v>21</v>
      </c>
      <c r="E872" s="1">
        <v>45665</v>
      </c>
      <c r="F872">
        <v>43620</v>
      </c>
      <c r="G872">
        <v>39650</v>
      </c>
      <c r="H872" t="s">
        <v>15</v>
      </c>
    </row>
    <row r="873" spans="1:8" x14ac:dyDescent="0.35">
      <c r="A873">
        <v>2872</v>
      </c>
      <c r="B873" t="s">
        <v>904</v>
      </c>
      <c r="C873" t="s">
        <v>17</v>
      </c>
      <c r="D873" t="s">
        <v>27</v>
      </c>
      <c r="E873" s="1">
        <v>45954</v>
      </c>
      <c r="F873">
        <v>59029</v>
      </c>
      <c r="G873">
        <v>51484</v>
      </c>
      <c r="H873" t="s">
        <v>22</v>
      </c>
    </row>
    <row r="874" spans="1:8" x14ac:dyDescent="0.35">
      <c r="A874">
        <v>2873</v>
      </c>
      <c r="B874" t="s">
        <v>905</v>
      </c>
      <c r="C874" t="s">
        <v>13</v>
      </c>
      <c r="D874" t="s">
        <v>27</v>
      </c>
      <c r="E874" s="1">
        <v>45821</v>
      </c>
      <c r="F874">
        <v>20887</v>
      </c>
      <c r="G874">
        <v>8451</v>
      </c>
      <c r="H874" t="s">
        <v>67</v>
      </c>
    </row>
    <row r="875" spans="1:8" x14ac:dyDescent="0.35">
      <c r="A875">
        <v>2874</v>
      </c>
      <c r="B875" t="s">
        <v>906</v>
      </c>
      <c r="C875" t="s">
        <v>17</v>
      </c>
      <c r="D875" t="s">
        <v>18</v>
      </c>
      <c r="E875" s="1">
        <v>45742</v>
      </c>
      <c r="F875">
        <v>51802</v>
      </c>
      <c r="G875">
        <v>38530</v>
      </c>
      <c r="H875" t="s">
        <v>19</v>
      </c>
    </row>
    <row r="876" spans="1:8" x14ac:dyDescent="0.35">
      <c r="A876">
        <v>2875</v>
      </c>
      <c r="B876" t="s">
        <v>907</v>
      </c>
      <c r="C876" t="s">
        <v>13</v>
      </c>
      <c r="D876" t="s">
        <v>18</v>
      </c>
      <c r="E876" s="1">
        <v>45729</v>
      </c>
      <c r="F876">
        <v>39488</v>
      </c>
      <c r="G876">
        <v>26349</v>
      </c>
      <c r="H876" t="s">
        <v>19</v>
      </c>
    </row>
    <row r="877" spans="1:8" x14ac:dyDescent="0.35">
      <c r="A877">
        <v>2876</v>
      </c>
      <c r="B877" t="s">
        <v>908</v>
      </c>
      <c r="C877" t="s">
        <v>17</v>
      </c>
      <c r="D877" t="s">
        <v>10</v>
      </c>
      <c r="E877" s="1">
        <v>45712</v>
      </c>
      <c r="F877">
        <v>50013</v>
      </c>
      <c r="G877">
        <v>44461</v>
      </c>
      <c r="H877" t="s">
        <v>77</v>
      </c>
    </row>
    <row r="878" spans="1:8" x14ac:dyDescent="0.35">
      <c r="A878">
        <v>2877</v>
      </c>
      <c r="B878" t="s">
        <v>909</v>
      </c>
      <c r="C878" t="s">
        <v>17</v>
      </c>
      <c r="D878" t="s">
        <v>14</v>
      </c>
      <c r="E878" s="1">
        <v>45704</v>
      </c>
      <c r="F878">
        <v>36402</v>
      </c>
      <c r="G878">
        <v>35775</v>
      </c>
      <c r="H878" t="s">
        <v>77</v>
      </c>
    </row>
    <row r="879" spans="1:8" x14ac:dyDescent="0.35">
      <c r="A879">
        <v>2878</v>
      </c>
      <c r="B879" t="s">
        <v>910</v>
      </c>
      <c r="C879" t="s">
        <v>45</v>
      </c>
      <c r="D879" t="s">
        <v>18</v>
      </c>
      <c r="E879" s="1">
        <v>45895</v>
      </c>
      <c r="F879">
        <v>41205</v>
      </c>
      <c r="G879">
        <v>29216</v>
      </c>
      <c r="H879" t="s">
        <v>38</v>
      </c>
    </row>
    <row r="880" spans="1:8" x14ac:dyDescent="0.35">
      <c r="A880">
        <v>2879</v>
      </c>
      <c r="B880" t="s">
        <v>911</v>
      </c>
      <c r="C880" t="s">
        <v>24</v>
      </c>
      <c r="D880" t="s">
        <v>37</v>
      </c>
      <c r="E880" s="1">
        <v>45761</v>
      </c>
      <c r="F880">
        <v>46049</v>
      </c>
      <c r="G880">
        <v>32269</v>
      </c>
      <c r="H880" t="s">
        <v>11</v>
      </c>
    </row>
    <row r="881" spans="1:8" x14ac:dyDescent="0.35">
      <c r="A881">
        <v>2880</v>
      </c>
      <c r="B881" t="s">
        <v>912</v>
      </c>
      <c r="C881" t="s">
        <v>17</v>
      </c>
      <c r="D881" t="s">
        <v>18</v>
      </c>
      <c r="E881" s="1">
        <v>45867</v>
      </c>
      <c r="F881">
        <v>32253</v>
      </c>
      <c r="G881">
        <v>25664</v>
      </c>
      <c r="H881" t="s">
        <v>43</v>
      </c>
    </row>
    <row r="882" spans="1:8" x14ac:dyDescent="0.35">
      <c r="A882">
        <v>2881</v>
      </c>
      <c r="B882" t="s">
        <v>913</v>
      </c>
      <c r="C882" t="s">
        <v>45</v>
      </c>
      <c r="D882" t="s">
        <v>10</v>
      </c>
      <c r="E882" s="1">
        <v>45699</v>
      </c>
      <c r="F882">
        <v>38990</v>
      </c>
      <c r="G882">
        <v>36946</v>
      </c>
      <c r="H882" t="s">
        <v>77</v>
      </c>
    </row>
    <row r="883" spans="1:8" x14ac:dyDescent="0.35">
      <c r="A883">
        <v>2882</v>
      </c>
      <c r="B883" t="s">
        <v>914</v>
      </c>
      <c r="C883" t="s">
        <v>33</v>
      </c>
      <c r="D883" t="s">
        <v>27</v>
      </c>
      <c r="E883" s="1">
        <v>45973</v>
      </c>
      <c r="F883">
        <v>27846</v>
      </c>
      <c r="G883">
        <v>16102</v>
      </c>
      <c r="H883" t="s">
        <v>29</v>
      </c>
    </row>
    <row r="884" spans="1:8" x14ac:dyDescent="0.35">
      <c r="A884">
        <v>2883</v>
      </c>
      <c r="B884" t="s">
        <v>915</v>
      </c>
      <c r="C884" t="s">
        <v>24</v>
      </c>
      <c r="D884" t="s">
        <v>10</v>
      </c>
      <c r="E884" s="1">
        <v>45925</v>
      </c>
      <c r="F884">
        <v>45027</v>
      </c>
      <c r="G884">
        <v>31856</v>
      </c>
      <c r="H884" t="s">
        <v>53</v>
      </c>
    </row>
    <row r="885" spans="1:8" x14ac:dyDescent="0.35">
      <c r="A885">
        <v>2884</v>
      </c>
      <c r="B885" t="s">
        <v>916</v>
      </c>
      <c r="C885" t="s">
        <v>17</v>
      </c>
      <c r="D885" t="s">
        <v>27</v>
      </c>
      <c r="E885" s="1">
        <v>45920</v>
      </c>
      <c r="F885">
        <v>59200</v>
      </c>
      <c r="G885">
        <v>56859</v>
      </c>
      <c r="H885" t="s">
        <v>53</v>
      </c>
    </row>
    <row r="886" spans="1:8" x14ac:dyDescent="0.35">
      <c r="A886">
        <v>2885</v>
      </c>
      <c r="B886" t="s">
        <v>917</v>
      </c>
      <c r="C886" t="s">
        <v>9</v>
      </c>
      <c r="D886" t="s">
        <v>27</v>
      </c>
      <c r="E886" s="1">
        <v>45993</v>
      </c>
      <c r="F886">
        <v>23765</v>
      </c>
      <c r="G886">
        <v>17881</v>
      </c>
      <c r="H886" t="s">
        <v>25</v>
      </c>
    </row>
    <row r="887" spans="1:8" x14ac:dyDescent="0.35">
      <c r="A887">
        <v>2886</v>
      </c>
      <c r="B887" t="s">
        <v>918</v>
      </c>
      <c r="C887" t="s">
        <v>56</v>
      </c>
      <c r="D887" t="s">
        <v>14</v>
      </c>
      <c r="E887" s="1">
        <v>46022</v>
      </c>
      <c r="F887">
        <v>35950</v>
      </c>
      <c r="G887">
        <v>24544</v>
      </c>
      <c r="H887" t="s">
        <v>25</v>
      </c>
    </row>
    <row r="888" spans="1:8" x14ac:dyDescent="0.35">
      <c r="A888">
        <v>2887</v>
      </c>
      <c r="B888" t="s">
        <v>919</v>
      </c>
      <c r="C888" t="s">
        <v>33</v>
      </c>
      <c r="D888" t="s">
        <v>18</v>
      </c>
      <c r="E888" s="1">
        <v>45916</v>
      </c>
      <c r="F888">
        <v>29741</v>
      </c>
      <c r="G888">
        <v>21556</v>
      </c>
      <c r="H888" t="s">
        <v>53</v>
      </c>
    </row>
    <row r="889" spans="1:8" x14ac:dyDescent="0.35">
      <c r="A889">
        <v>2888</v>
      </c>
      <c r="B889" t="s">
        <v>920</v>
      </c>
      <c r="C889" t="s">
        <v>33</v>
      </c>
      <c r="D889" t="s">
        <v>37</v>
      </c>
      <c r="E889" s="1">
        <v>45940</v>
      </c>
      <c r="F889">
        <v>42742</v>
      </c>
      <c r="G889">
        <v>42493</v>
      </c>
      <c r="H889" t="s">
        <v>22</v>
      </c>
    </row>
    <row r="890" spans="1:8" x14ac:dyDescent="0.35">
      <c r="A890">
        <v>2889</v>
      </c>
      <c r="B890" t="s">
        <v>921</v>
      </c>
      <c r="C890" t="s">
        <v>45</v>
      </c>
      <c r="D890" t="s">
        <v>37</v>
      </c>
      <c r="E890" s="1">
        <v>45771</v>
      </c>
      <c r="F890">
        <v>44703</v>
      </c>
      <c r="G890">
        <v>41778</v>
      </c>
      <c r="H890" t="s">
        <v>11</v>
      </c>
    </row>
    <row r="891" spans="1:8" x14ac:dyDescent="0.35">
      <c r="A891">
        <v>2890</v>
      </c>
      <c r="B891" t="s">
        <v>922</v>
      </c>
      <c r="C891" t="s">
        <v>33</v>
      </c>
      <c r="D891" t="s">
        <v>21</v>
      </c>
      <c r="E891" s="1">
        <v>46020</v>
      </c>
      <c r="F891">
        <v>58709</v>
      </c>
      <c r="G891">
        <v>53666</v>
      </c>
      <c r="H891" t="s">
        <v>25</v>
      </c>
    </row>
    <row r="892" spans="1:8" x14ac:dyDescent="0.35">
      <c r="A892">
        <v>2891</v>
      </c>
      <c r="B892" t="s">
        <v>923</v>
      </c>
      <c r="C892" t="s">
        <v>24</v>
      </c>
      <c r="D892" t="s">
        <v>27</v>
      </c>
      <c r="E892" s="1">
        <v>45697</v>
      </c>
      <c r="F892">
        <v>57623</v>
      </c>
      <c r="G892">
        <v>56649</v>
      </c>
      <c r="H892" t="s">
        <v>77</v>
      </c>
    </row>
    <row r="893" spans="1:8" x14ac:dyDescent="0.35">
      <c r="A893">
        <v>2892</v>
      </c>
      <c r="B893" t="s">
        <v>924</v>
      </c>
      <c r="C893" t="s">
        <v>17</v>
      </c>
      <c r="D893" t="s">
        <v>37</v>
      </c>
      <c r="E893" s="1">
        <v>45877</v>
      </c>
      <c r="F893">
        <v>42931</v>
      </c>
      <c r="G893">
        <v>33414</v>
      </c>
      <c r="H893" t="s">
        <v>38</v>
      </c>
    </row>
    <row r="894" spans="1:8" x14ac:dyDescent="0.35">
      <c r="A894">
        <v>2893</v>
      </c>
      <c r="B894" t="s">
        <v>925</v>
      </c>
      <c r="C894" t="s">
        <v>17</v>
      </c>
      <c r="D894" t="s">
        <v>14</v>
      </c>
      <c r="E894" s="1">
        <v>45786</v>
      </c>
      <c r="F894">
        <v>43580</v>
      </c>
      <c r="G894">
        <v>36388</v>
      </c>
      <c r="H894" t="s">
        <v>31</v>
      </c>
    </row>
    <row r="895" spans="1:8" x14ac:dyDescent="0.35">
      <c r="A895">
        <v>2894</v>
      </c>
      <c r="B895" t="s">
        <v>926</v>
      </c>
      <c r="C895" t="s">
        <v>9</v>
      </c>
      <c r="D895" t="s">
        <v>27</v>
      </c>
      <c r="E895" s="1">
        <v>45665</v>
      </c>
      <c r="F895">
        <v>35166</v>
      </c>
      <c r="G895">
        <v>25991</v>
      </c>
      <c r="H895" t="s">
        <v>15</v>
      </c>
    </row>
    <row r="896" spans="1:8" x14ac:dyDescent="0.35">
      <c r="A896">
        <v>2895</v>
      </c>
      <c r="B896" t="s">
        <v>927</v>
      </c>
      <c r="C896" t="s">
        <v>56</v>
      </c>
      <c r="D896" t="s">
        <v>14</v>
      </c>
      <c r="E896" s="1">
        <v>45758</v>
      </c>
      <c r="F896">
        <v>49240</v>
      </c>
      <c r="G896">
        <v>40160</v>
      </c>
      <c r="H896" t="s">
        <v>11</v>
      </c>
    </row>
    <row r="897" spans="1:8" x14ac:dyDescent="0.35">
      <c r="A897">
        <v>2896</v>
      </c>
      <c r="B897" t="s">
        <v>928</v>
      </c>
      <c r="C897" t="s">
        <v>45</v>
      </c>
      <c r="D897" t="s">
        <v>37</v>
      </c>
      <c r="E897" s="1">
        <v>45833</v>
      </c>
      <c r="F897">
        <v>45991</v>
      </c>
      <c r="G897">
        <v>34862</v>
      </c>
      <c r="H897" t="s">
        <v>67</v>
      </c>
    </row>
    <row r="898" spans="1:8" x14ac:dyDescent="0.35">
      <c r="A898">
        <v>2897</v>
      </c>
      <c r="B898" t="s">
        <v>929</v>
      </c>
      <c r="C898" t="s">
        <v>56</v>
      </c>
      <c r="D898" t="s">
        <v>37</v>
      </c>
      <c r="E898" s="1">
        <v>45764</v>
      </c>
      <c r="F898">
        <v>58556</v>
      </c>
      <c r="G898">
        <v>48247</v>
      </c>
      <c r="H898" t="s">
        <v>11</v>
      </c>
    </row>
    <row r="899" spans="1:8" x14ac:dyDescent="0.35">
      <c r="A899">
        <v>2898</v>
      </c>
      <c r="B899" t="s">
        <v>930</v>
      </c>
      <c r="C899" t="s">
        <v>33</v>
      </c>
      <c r="D899" t="s">
        <v>21</v>
      </c>
      <c r="E899" s="1">
        <v>45758</v>
      </c>
      <c r="F899">
        <v>52969</v>
      </c>
      <c r="G899">
        <v>50297</v>
      </c>
      <c r="H899" t="s">
        <v>11</v>
      </c>
    </row>
    <row r="900" spans="1:8" x14ac:dyDescent="0.35">
      <c r="A900">
        <v>2899</v>
      </c>
      <c r="B900" t="s">
        <v>931</v>
      </c>
      <c r="C900" t="s">
        <v>9</v>
      </c>
      <c r="D900" t="s">
        <v>37</v>
      </c>
      <c r="E900" s="1">
        <v>45917</v>
      </c>
      <c r="F900">
        <v>30561</v>
      </c>
      <c r="G900">
        <v>17399</v>
      </c>
      <c r="H900" t="s">
        <v>53</v>
      </c>
    </row>
    <row r="901" spans="1:8" x14ac:dyDescent="0.35">
      <c r="A901">
        <v>2900</v>
      </c>
      <c r="B901" t="s">
        <v>932</v>
      </c>
      <c r="C901" t="s">
        <v>56</v>
      </c>
      <c r="D901" t="s">
        <v>27</v>
      </c>
      <c r="E901" s="1">
        <v>45903</v>
      </c>
      <c r="F901">
        <v>36901</v>
      </c>
      <c r="G901">
        <v>29622</v>
      </c>
      <c r="H901" t="s">
        <v>53</v>
      </c>
    </row>
    <row r="902" spans="1:8" x14ac:dyDescent="0.35">
      <c r="A902">
        <v>2901</v>
      </c>
      <c r="B902" t="s">
        <v>933</v>
      </c>
      <c r="C902" t="s">
        <v>24</v>
      </c>
      <c r="D902" t="s">
        <v>27</v>
      </c>
      <c r="E902" s="1">
        <v>45932</v>
      </c>
      <c r="F902">
        <v>50020</v>
      </c>
      <c r="G902">
        <v>42489</v>
      </c>
      <c r="H902" t="s">
        <v>22</v>
      </c>
    </row>
    <row r="903" spans="1:8" x14ac:dyDescent="0.35">
      <c r="A903">
        <v>2902</v>
      </c>
      <c r="B903" t="s">
        <v>934</v>
      </c>
      <c r="C903" t="s">
        <v>17</v>
      </c>
      <c r="D903" t="s">
        <v>27</v>
      </c>
      <c r="E903" s="1">
        <v>45689</v>
      </c>
      <c r="F903">
        <v>45917</v>
      </c>
      <c r="G903">
        <v>36399</v>
      </c>
      <c r="H903" t="s">
        <v>77</v>
      </c>
    </row>
    <row r="904" spans="1:8" x14ac:dyDescent="0.35">
      <c r="A904">
        <v>2903</v>
      </c>
      <c r="B904" t="s">
        <v>935</v>
      </c>
      <c r="C904" t="s">
        <v>33</v>
      </c>
      <c r="D904" t="s">
        <v>21</v>
      </c>
      <c r="E904" s="1">
        <v>45794</v>
      </c>
      <c r="F904">
        <v>21988</v>
      </c>
      <c r="G904">
        <v>13326</v>
      </c>
      <c r="H904" t="s">
        <v>31</v>
      </c>
    </row>
    <row r="905" spans="1:8" x14ac:dyDescent="0.35">
      <c r="A905">
        <v>2904</v>
      </c>
      <c r="B905" t="s">
        <v>936</v>
      </c>
      <c r="C905" t="s">
        <v>9</v>
      </c>
      <c r="D905" t="s">
        <v>21</v>
      </c>
      <c r="E905" s="1">
        <v>45669</v>
      </c>
      <c r="F905">
        <v>34256</v>
      </c>
      <c r="G905">
        <v>32269</v>
      </c>
      <c r="H905" t="s">
        <v>15</v>
      </c>
    </row>
    <row r="906" spans="1:8" x14ac:dyDescent="0.35">
      <c r="A906">
        <v>2905</v>
      </c>
      <c r="B906" t="s">
        <v>937</v>
      </c>
      <c r="C906" t="s">
        <v>56</v>
      </c>
      <c r="D906" t="s">
        <v>37</v>
      </c>
      <c r="E906" s="1">
        <v>45959</v>
      </c>
      <c r="F906">
        <v>42192</v>
      </c>
      <c r="G906">
        <v>42102</v>
      </c>
      <c r="H906" t="s">
        <v>22</v>
      </c>
    </row>
    <row r="907" spans="1:8" x14ac:dyDescent="0.35">
      <c r="A907">
        <v>2906</v>
      </c>
      <c r="B907" t="s">
        <v>938</v>
      </c>
      <c r="C907" t="s">
        <v>45</v>
      </c>
      <c r="D907" t="s">
        <v>10</v>
      </c>
      <c r="E907" s="1">
        <v>45673</v>
      </c>
      <c r="F907">
        <v>48230</v>
      </c>
      <c r="G907">
        <v>39509</v>
      </c>
      <c r="H907" t="s">
        <v>15</v>
      </c>
    </row>
    <row r="908" spans="1:8" x14ac:dyDescent="0.35">
      <c r="A908">
        <v>2907</v>
      </c>
      <c r="B908" t="s">
        <v>939</v>
      </c>
      <c r="C908" t="s">
        <v>24</v>
      </c>
      <c r="D908" t="s">
        <v>10</v>
      </c>
      <c r="E908" s="1">
        <v>45786</v>
      </c>
      <c r="F908">
        <v>59930</v>
      </c>
      <c r="G908">
        <v>46982</v>
      </c>
      <c r="H908" t="s">
        <v>31</v>
      </c>
    </row>
    <row r="909" spans="1:8" x14ac:dyDescent="0.35">
      <c r="A909">
        <v>2908</v>
      </c>
      <c r="B909" t="s">
        <v>940</v>
      </c>
      <c r="C909" t="s">
        <v>24</v>
      </c>
      <c r="D909" t="s">
        <v>21</v>
      </c>
      <c r="E909" s="1">
        <v>45720</v>
      </c>
      <c r="F909">
        <v>42625</v>
      </c>
      <c r="G909">
        <v>38566</v>
      </c>
      <c r="H909" t="s">
        <v>19</v>
      </c>
    </row>
    <row r="910" spans="1:8" x14ac:dyDescent="0.35">
      <c r="A910">
        <v>2909</v>
      </c>
      <c r="B910" t="s">
        <v>941</v>
      </c>
      <c r="C910" t="s">
        <v>56</v>
      </c>
      <c r="D910" t="s">
        <v>37</v>
      </c>
      <c r="E910" s="1">
        <v>45766</v>
      </c>
      <c r="F910">
        <v>52088</v>
      </c>
      <c r="G910">
        <v>39062</v>
      </c>
      <c r="H910" t="s">
        <v>11</v>
      </c>
    </row>
    <row r="911" spans="1:8" x14ac:dyDescent="0.35">
      <c r="A911">
        <v>2910</v>
      </c>
      <c r="B911" t="s">
        <v>942</v>
      </c>
      <c r="C911" t="s">
        <v>17</v>
      </c>
      <c r="D911" t="s">
        <v>10</v>
      </c>
      <c r="E911" s="1">
        <v>45678</v>
      </c>
      <c r="F911">
        <v>34114</v>
      </c>
      <c r="G911">
        <v>31341</v>
      </c>
      <c r="H911" t="s">
        <v>15</v>
      </c>
    </row>
    <row r="912" spans="1:8" x14ac:dyDescent="0.35">
      <c r="A912">
        <v>2911</v>
      </c>
      <c r="B912" t="s">
        <v>943</v>
      </c>
      <c r="C912" t="s">
        <v>56</v>
      </c>
      <c r="D912" t="s">
        <v>37</v>
      </c>
      <c r="E912" s="1">
        <v>45815</v>
      </c>
      <c r="F912">
        <v>58401</v>
      </c>
      <c r="G912">
        <v>45242</v>
      </c>
      <c r="H912" t="s">
        <v>67</v>
      </c>
    </row>
    <row r="913" spans="1:8" x14ac:dyDescent="0.35">
      <c r="A913">
        <v>2912</v>
      </c>
      <c r="B913" t="s">
        <v>944</v>
      </c>
      <c r="C913" t="s">
        <v>33</v>
      </c>
      <c r="D913" t="s">
        <v>37</v>
      </c>
      <c r="E913" s="1">
        <v>45926</v>
      </c>
      <c r="F913">
        <v>25755</v>
      </c>
      <c r="G913">
        <v>15877</v>
      </c>
      <c r="H913" t="s">
        <v>53</v>
      </c>
    </row>
    <row r="914" spans="1:8" x14ac:dyDescent="0.35">
      <c r="A914">
        <v>2913</v>
      </c>
      <c r="B914" t="s">
        <v>945</v>
      </c>
      <c r="C914" t="s">
        <v>56</v>
      </c>
      <c r="D914" t="s">
        <v>37</v>
      </c>
      <c r="E914" s="1">
        <v>45819</v>
      </c>
      <c r="F914">
        <v>30825</v>
      </c>
      <c r="G914">
        <v>22442</v>
      </c>
      <c r="H914" t="s">
        <v>67</v>
      </c>
    </row>
    <row r="915" spans="1:8" x14ac:dyDescent="0.35">
      <c r="A915">
        <v>2914</v>
      </c>
      <c r="B915" t="s">
        <v>946</v>
      </c>
      <c r="C915" t="s">
        <v>24</v>
      </c>
      <c r="D915" t="s">
        <v>18</v>
      </c>
      <c r="E915" s="1">
        <v>45917</v>
      </c>
      <c r="F915">
        <v>42693</v>
      </c>
      <c r="G915">
        <v>32515</v>
      </c>
      <c r="H915" t="s">
        <v>53</v>
      </c>
    </row>
    <row r="916" spans="1:8" x14ac:dyDescent="0.35">
      <c r="A916">
        <v>2915</v>
      </c>
      <c r="B916" t="s">
        <v>947</v>
      </c>
      <c r="C916" t="s">
        <v>9</v>
      </c>
      <c r="D916" t="s">
        <v>27</v>
      </c>
      <c r="E916" s="1">
        <v>45759</v>
      </c>
      <c r="F916">
        <v>24117</v>
      </c>
      <c r="G916">
        <v>12302</v>
      </c>
      <c r="H916" t="s">
        <v>11</v>
      </c>
    </row>
    <row r="917" spans="1:8" x14ac:dyDescent="0.35">
      <c r="A917">
        <v>2916</v>
      </c>
      <c r="B917" t="s">
        <v>948</v>
      </c>
      <c r="C917" t="s">
        <v>56</v>
      </c>
      <c r="D917" t="s">
        <v>37</v>
      </c>
      <c r="E917" s="1">
        <v>45880</v>
      </c>
      <c r="F917">
        <v>44729</v>
      </c>
      <c r="G917">
        <v>37320</v>
      </c>
      <c r="H917" t="s">
        <v>38</v>
      </c>
    </row>
    <row r="918" spans="1:8" x14ac:dyDescent="0.35">
      <c r="A918">
        <v>2917</v>
      </c>
      <c r="B918" t="s">
        <v>949</v>
      </c>
      <c r="C918" t="s">
        <v>17</v>
      </c>
      <c r="D918" t="s">
        <v>18</v>
      </c>
      <c r="E918" s="1">
        <v>45716</v>
      </c>
      <c r="F918">
        <v>52182</v>
      </c>
      <c r="G918">
        <v>41805</v>
      </c>
      <c r="H918" t="s">
        <v>77</v>
      </c>
    </row>
    <row r="919" spans="1:8" x14ac:dyDescent="0.35">
      <c r="A919">
        <v>2918</v>
      </c>
      <c r="B919" t="s">
        <v>950</v>
      </c>
      <c r="C919" t="s">
        <v>9</v>
      </c>
      <c r="D919" t="s">
        <v>21</v>
      </c>
      <c r="E919" s="1">
        <v>45904</v>
      </c>
      <c r="F919">
        <v>48890</v>
      </c>
      <c r="G919">
        <v>44450</v>
      </c>
      <c r="H919" t="s">
        <v>53</v>
      </c>
    </row>
    <row r="920" spans="1:8" x14ac:dyDescent="0.35">
      <c r="A920">
        <v>2919</v>
      </c>
      <c r="B920" t="s">
        <v>951</v>
      </c>
      <c r="C920" t="s">
        <v>45</v>
      </c>
      <c r="D920" t="s">
        <v>10</v>
      </c>
      <c r="E920" s="1">
        <v>45785</v>
      </c>
      <c r="F920">
        <v>49340</v>
      </c>
      <c r="G920">
        <v>41993</v>
      </c>
      <c r="H920" t="s">
        <v>31</v>
      </c>
    </row>
    <row r="921" spans="1:8" x14ac:dyDescent="0.35">
      <c r="A921">
        <v>2920</v>
      </c>
      <c r="B921" t="s">
        <v>952</v>
      </c>
      <c r="C921" t="s">
        <v>13</v>
      </c>
      <c r="D921" t="s">
        <v>27</v>
      </c>
      <c r="E921" s="1">
        <v>45940</v>
      </c>
      <c r="F921">
        <v>21518</v>
      </c>
      <c r="G921">
        <v>20510</v>
      </c>
      <c r="H921" t="s">
        <v>22</v>
      </c>
    </row>
    <row r="922" spans="1:8" x14ac:dyDescent="0.35">
      <c r="A922">
        <v>2921</v>
      </c>
      <c r="B922" t="s">
        <v>953</v>
      </c>
      <c r="C922" t="s">
        <v>56</v>
      </c>
      <c r="D922" t="s">
        <v>10</v>
      </c>
      <c r="E922" s="1">
        <v>45982</v>
      </c>
      <c r="F922">
        <v>50949</v>
      </c>
      <c r="G922">
        <v>47166</v>
      </c>
      <c r="H922" t="s">
        <v>29</v>
      </c>
    </row>
    <row r="923" spans="1:8" x14ac:dyDescent="0.35">
      <c r="A923">
        <v>2922</v>
      </c>
      <c r="B923" t="s">
        <v>954</v>
      </c>
      <c r="C923" t="s">
        <v>17</v>
      </c>
      <c r="D923" t="s">
        <v>27</v>
      </c>
      <c r="E923" s="1">
        <v>45682</v>
      </c>
      <c r="F923">
        <v>42547</v>
      </c>
      <c r="G923">
        <v>35901</v>
      </c>
      <c r="H923" t="s">
        <v>15</v>
      </c>
    </row>
    <row r="924" spans="1:8" x14ac:dyDescent="0.35">
      <c r="A924">
        <v>2923</v>
      </c>
      <c r="B924" t="s">
        <v>955</v>
      </c>
      <c r="C924" t="s">
        <v>9</v>
      </c>
      <c r="D924" t="s">
        <v>10</v>
      </c>
      <c r="E924" s="1">
        <v>45788</v>
      </c>
      <c r="F924">
        <v>36346</v>
      </c>
      <c r="G924">
        <v>32048</v>
      </c>
      <c r="H924" t="s">
        <v>31</v>
      </c>
    </row>
    <row r="925" spans="1:8" x14ac:dyDescent="0.35">
      <c r="A925">
        <v>2924</v>
      </c>
      <c r="B925" t="s">
        <v>956</v>
      </c>
      <c r="C925" t="s">
        <v>17</v>
      </c>
      <c r="D925" t="s">
        <v>27</v>
      </c>
      <c r="E925" s="1">
        <v>46010</v>
      </c>
      <c r="F925">
        <v>22600</v>
      </c>
      <c r="G925">
        <v>17932</v>
      </c>
      <c r="H925" t="s">
        <v>25</v>
      </c>
    </row>
    <row r="926" spans="1:8" x14ac:dyDescent="0.35">
      <c r="A926">
        <v>2925</v>
      </c>
      <c r="B926" t="s">
        <v>957</v>
      </c>
      <c r="C926" t="s">
        <v>45</v>
      </c>
      <c r="D926" t="s">
        <v>10</v>
      </c>
      <c r="E926" s="1">
        <v>45853</v>
      </c>
      <c r="F926">
        <v>49267</v>
      </c>
      <c r="G926">
        <v>44980</v>
      </c>
      <c r="H926" t="s">
        <v>43</v>
      </c>
    </row>
    <row r="927" spans="1:8" x14ac:dyDescent="0.35">
      <c r="A927">
        <v>2926</v>
      </c>
      <c r="B927" t="s">
        <v>958</v>
      </c>
      <c r="C927" t="s">
        <v>24</v>
      </c>
      <c r="D927" t="s">
        <v>10</v>
      </c>
      <c r="E927" s="1">
        <v>45938</v>
      </c>
      <c r="F927">
        <v>56322</v>
      </c>
      <c r="G927">
        <v>54270</v>
      </c>
      <c r="H927" t="s">
        <v>22</v>
      </c>
    </row>
    <row r="928" spans="1:8" x14ac:dyDescent="0.35">
      <c r="A928">
        <v>2927</v>
      </c>
      <c r="B928" t="s">
        <v>959</v>
      </c>
      <c r="C928" t="s">
        <v>17</v>
      </c>
      <c r="D928" t="s">
        <v>10</v>
      </c>
      <c r="E928" s="1">
        <v>45811</v>
      </c>
      <c r="F928">
        <v>46990</v>
      </c>
      <c r="G928">
        <v>40981</v>
      </c>
      <c r="H928" t="s">
        <v>67</v>
      </c>
    </row>
    <row r="929" spans="1:8" x14ac:dyDescent="0.35">
      <c r="A929">
        <v>2928</v>
      </c>
      <c r="B929" t="s">
        <v>960</v>
      </c>
      <c r="C929" t="s">
        <v>9</v>
      </c>
      <c r="D929" t="s">
        <v>10</v>
      </c>
      <c r="E929" s="1">
        <v>45790</v>
      </c>
      <c r="F929">
        <v>36193</v>
      </c>
      <c r="G929">
        <v>24693</v>
      </c>
      <c r="H929" t="s">
        <v>31</v>
      </c>
    </row>
    <row r="930" spans="1:8" x14ac:dyDescent="0.35">
      <c r="A930">
        <v>2929</v>
      </c>
      <c r="B930" t="s">
        <v>961</v>
      </c>
      <c r="C930" t="s">
        <v>17</v>
      </c>
      <c r="D930" t="s">
        <v>21</v>
      </c>
      <c r="E930" s="1">
        <v>45884</v>
      </c>
      <c r="F930">
        <v>50109</v>
      </c>
      <c r="G930">
        <v>48393</v>
      </c>
      <c r="H930" t="s">
        <v>38</v>
      </c>
    </row>
    <row r="931" spans="1:8" x14ac:dyDescent="0.35">
      <c r="A931">
        <v>2930</v>
      </c>
      <c r="B931" t="s">
        <v>962</v>
      </c>
      <c r="C931" t="s">
        <v>17</v>
      </c>
      <c r="D931" t="s">
        <v>37</v>
      </c>
      <c r="E931" s="1">
        <v>45846</v>
      </c>
      <c r="F931">
        <v>39233</v>
      </c>
      <c r="G931">
        <v>38923</v>
      </c>
      <c r="H931" t="s">
        <v>43</v>
      </c>
    </row>
    <row r="932" spans="1:8" x14ac:dyDescent="0.35">
      <c r="A932">
        <v>2931</v>
      </c>
      <c r="B932" t="s">
        <v>963</v>
      </c>
      <c r="C932" t="s">
        <v>17</v>
      </c>
      <c r="D932" t="s">
        <v>14</v>
      </c>
      <c r="E932" s="1">
        <v>45922</v>
      </c>
      <c r="F932">
        <v>36194</v>
      </c>
      <c r="G932">
        <v>21310</v>
      </c>
      <c r="H932" t="s">
        <v>53</v>
      </c>
    </row>
    <row r="933" spans="1:8" x14ac:dyDescent="0.35">
      <c r="A933">
        <v>2932</v>
      </c>
      <c r="B933" t="s">
        <v>964</v>
      </c>
      <c r="C933" t="s">
        <v>33</v>
      </c>
      <c r="D933" t="s">
        <v>18</v>
      </c>
      <c r="E933" s="1">
        <v>45791</v>
      </c>
      <c r="F933">
        <v>54510</v>
      </c>
      <c r="G933">
        <v>40119</v>
      </c>
      <c r="H933" t="s">
        <v>31</v>
      </c>
    </row>
    <row r="934" spans="1:8" x14ac:dyDescent="0.35">
      <c r="A934">
        <v>2933</v>
      </c>
      <c r="B934" t="s">
        <v>965</v>
      </c>
      <c r="C934" t="s">
        <v>33</v>
      </c>
      <c r="D934" t="s">
        <v>14</v>
      </c>
      <c r="E934" s="1">
        <v>45868</v>
      </c>
      <c r="F934">
        <v>21306</v>
      </c>
      <c r="G934">
        <v>16768</v>
      </c>
      <c r="H934" t="s">
        <v>43</v>
      </c>
    </row>
    <row r="935" spans="1:8" x14ac:dyDescent="0.35">
      <c r="A935">
        <v>2934</v>
      </c>
      <c r="B935" t="s">
        <v>966</v>
      </c>
      <c r="C935" t="s">
        <v>24</v>
      </c>
      <c r="D935" t="s">
        <v>14</v>
      </c>
      <c r="E935" s="1">
        <v>45717</v>
      </c>
      <c r="F935">
        <v>23849</v>
      </c>
      <c r="G935">
        <v>22589</v>
      </c>
      <c r="H935" t="s">
        <v>19</v>
      </c>
    </row>
    <row r="936" spans="1:8" x14ac:dyDescent="0.35">
      <c r="A936">
        <v>2935</v>
      </c>
      <c r="B936" t="s">
        <v>967</v>
      </c>
      <c r="C936" t="s">
        <v>56</v>
      </c>
      <c r="D936" t="s">
        <v>27</v>
      </c>
      <c r="E936" s="1">
        <v>46021</v>
      </c>
      <c r="F936">
        <v>32360</v>
      </c>
      <c r="G936">
        <v>19203</v>
      </c>
      <c r="H936" t="s">
        <v>25</v>
      </c>
    </row>
    <row r="937" spans="1:8" x14ac:dyDescent="0.35">
      <c r="A937">
        <v>2936</v>
      </c>
      <c r="B937" t="s">
        <v>968</v>
      </c>
      <c r="C937" t="s">
        <v>17</v>
      </c>
      <c r="D937" t="s">
        <v>37</v>
      </c>
      <c r="E937" s="1">
        <v>46021</v>
      </c>
      <c r="F937">
        <v>49231</v>
      </c>
      <c r="G937">
        <v>45299</v>
      </c>
      <c r="H937" t="s">
        <v>25</v>
      </c>
    </row>
    <row r="938" spans="1:8" x14ac:dyDescent="0.35">
      <c r="A938">
        <v>2937</v>
      </c>
      <c r="B938" t="s">
        <v>969</v>
      </c>
      <c r="C938" t="s">
        <v>45</v>
      </c>
      <c r="D938" t="s">
        <v>27</v>
      </c>
      <c r="E938" s="1">
        <v>45870</v>
      </c>
      <c r="F938">
        <v>56963</v>
      </c>
      <c r="G938">
        <v>45503</v>
      </c>
      <c r="H938" t="s">
        <v>38</v>
      </c>
    </row>
    <row r="939" spans="1:8" x14ac:dyDescent="0.35">
      <c r="A939">
        <v>2938</v>
      </c>
      <c r="B939" t="s">
        <v>970</v>
      </c>
      <c r="C939" t="s">
        <v>56</v>
      </c>
      <c r="D939" t="s">
        <v>37</v>
      </c>
      <c r="E939" s="1">
        <v>45873</v>
      </c>
      <c r="F939">
        <v>38689</v>
      </c>
      <c r="G939">
        <v>38105</v>
      </c>
      <c r="H939" t="s">
        <v>38</v>
      </c>
    </row>
    <row r="940" spans="1:8" x14ac:dyDescent="0.35">
      <c r="A940">
        <v>2939</v>
      </c>
      <c r="B940" t="s">
        <v>971</v>
      </c>
      <c r="C940" t="s">
        <v>45</v>
      </c>
      <c r="D940" t="s">
        <v>37</v>
      </c>
      <c r="E940" s="1">
        <v>45883</v>
      </c>
      <c r="F940">
        <v>49084</v>
      </c>
      <c r="G940">
        <v>35202</v>
      </c>
      <c r="H940" t="s">
        <v>38</v>
      </c>
    </row>
    <row r="941" spans="1:8" x14ac:dyDescent="0.35">
      <c r="A941">
        <v>2940</v>
      </c>
      <c r="B941" t="s">
        <v>972</v>
      </c>
      <c r="C941" t="s">
        <v>56</v>
      </c>
      <c r="D941" t="s">
        <v>10</v>
      </c>
      <c r="E941" s="1">
        <v>45788</v>
      </c>
      <c r="F941">
        <v>29280</v>
      </c>
      <c r="G941">
        <v>18289</v>
      </c>
      <c r="H941" t="s">
        <v>31</v>
      </c>
    </row>
    <row r="942" spans="1:8" x14ac:dyDescent="0.35">
      <c r="A942">
        <v>2941</v>
      </c>
      <c r="B942" t="s">
        <v>973</v>
      </c>
      <c r="C942" t="s">
        <v>24</v>
      </c>
      <c r="D942" t="s">
        <v>21</v>
      </c>
      <c r="E942" s="1">
        <v>45733</v>
      </c>
      <c r="F942">
        <v>22642</v>
      </c>
      <c r="G942">
        <v>8817</v>
      </c>
      <c r="H942" t="s">
        <v>19</v>
      </c>
    </row>
    <row r="943" spans="1:8" x14ac:dyDescent="0.35">
      <c r="A943">
        <v>2942</v>
      </c>
      <c r="B943" t="s">
        <v>974</v>
      </c>
      <c r="C943" t="s">
        <v>17</v>
      </c>
      <c r="D943" t="s">
        <v>10</v>
      </c>
      <c r="E943" s="1">
        <v>45943</v>
      </c>
      <c r="F943">
        <v>34296</v>
      </c>
      <c r="G943">
        <v>26680</v>
      </c>
      <c r="H943" t="s">
        <v>22</v>
      </c>
    </row>
    <row r="944" spans="1:8" x14ac:dyDescent="0.35">
      <c r="A944">
        <v>2943</v>
      </c>
      <c r="B944" t="s">
        <v>975</v>
      </c>
      <c r="C944" t="s">
        <v>17</v>
      </c>
      <c r="D944" t="s">
        <v>21</v>
      </c>
      <c r="E944" s="1">
        <v>45934</v>
      </c>
      <c r="F944">
        <v>35438</v>
      </c>
      <c r="G944">
        <v>26887</v>
      </c>
      <c r="H944" t="s">
        <v>22</v>
      </c>
    </row>
    <row r="945" spans="1:8" x14ac:dyDescent="0.35">
      <c r="A945">
        <v>2944</v>
      </c>
      <c r="B945" t="s">
        <v>976</v>
      </c>
      <c r="C945" t="s">
        <v>13</v>
      </c>
      <c r="D945" t="s">
        <v>27</v>
      </c>
      <c r="E945" s="1">
        <v>45813</v>
      </c>
      <c r="F945">
        <v>57525</v>
      </c>
      <c r="G945">
        <v>43514</v>
      </c>
      <c r="H945" t="s">
        <v>67</v>
      </c>
    </row>
    <row r="946" spans="1:8" x14ac:dyDescent="0.35">
      <c r="A946">
        <v>2945</v>
      </c>
      <c r="B946" t="s">
        <v>977</v>
      </c>
      <c r="C946" t="s">
        <v>45</v>
      </c>
      <c r="D946" t="s">
        <v>21</v>
      </c>
      <c r="E946" s="1">
        <v>45905</v>
      </c>
      <c r="F946">
        <v>22994</v>
      </c>
      <c r="G946">
        <v>20128</v>
      </c>
      <c r="H946" t="s">
        <v>53</v>
      </c>
    </row>
    <row r="947" spans="1:8" x14ac:dyDescent="0.35">
      <c r="A947">
        <v>2946</v>
      </c>
      <c r="B947" t="s">
        <v>978</v>
      </c>
      <c r="C947" t="s">
        <v>56</v>
      </c>
      <c r="D947" t="s">
        <v>27</v>
      </c>
      <c r="E947" s="1">
        <v>45875</v>
      </c>
      <c r="F947">
        <v>54039</v>
      </c>
      <c r="G947">
        <v>39674</v>
      </c>
      <c r="H947" t="s">
        <v>38</v>
      </c>
    </row>
    <row r="948" spans="1:8" x14ac:dyDescent="0.35">
      <c r="A948">
        <v>2947</v>
      </c>
      <c r="B948" t="s">
        <v>979</v>
      </c>
      <c r="C948" t="s">
        <v>56</v>
      </c>
      <c r="D948" t="s">
        <v>14</v>
      </c>
      <c r="E948" s="1">
        <v>45847</v>
      </c>
      <c r="F948">
        <v>21813</v>
      </c>
      <c r="G948">
        <v>15915</v>
      </c>
      <c r="H948" t="s">
        <v>43</v>
      </c>
    </row>
    <row r="949" spans="1:8" x14ac:dyDescent="0.35">
      <c r="A949">
        <v>2948</v>
      </c>
      <c r="B949" t="s">
        <v>980</v>
      </c>
      <c r="C949" t="s">
        <v>33</v>
      </c>
      <c r="D949" t="s">
        <v>14</v>
      </c>
      <c r="E949" s="1">
        <v>45820</v>
      </c>
      <c r="F949">
        <v>47491</v>
      </c>
      <c r="G949">
        <v>45480</v>
      </c>
      <c r="H949" t="s">
        <v>67</v>
      </c>
    </row>
    <row r="950" spans="1:8" x14ac:dyDescent="0.35">
      <c r="A950">
        <v>2949</v>
      </c>
      <c r="B950" t="s">
        <v>981</v>
      </c>
      <c r="C950" t="s">
        <v>13</v>
      </c>
      <c r="D950" t="s">
        <v>21</v>
      </c>
      <c r="E950" s="1">
        <v>45837</v>
      </c>
      <c r="F950">
        <v>38845</v>
      </c>
      <c r="G950">
        <v>32594</v>
      </c>
      <c r="H950" t="s">
        <v>67</v>
      </c>
    </row>
    <row r="951" spans="1:8" x14ac:dyDescent="0.35">
      <c r="A951">
        <v>2950</v>
      </c>
      <c r="B951" t="s">
        <v>982</v>
      </c>
      <c r="C951" t="s">
        <v>9</v>
      </c>
      <c r="D951" t="s">
        <v>21</v>
      </c>
      <c r="E951" s="1">
        <v>45691</v>
      </c>
      <c r="F951">
        <v>57164</v>
      </c>
      <c r="G951">
        <v>52225</v>
      </c>
      <c r="H951" t="s">
        <v>77</v>
      </c>
    </row>
    <row r="952" spans="1:8" x14ac:dyDescent="0.35">
      <c r="A952">
        <v>2951</v>
      </c>
      <c r="B952" t="s">
        <v>983</v>
      </c>
      <c r="C952" t="s">
        <v>9</v>
      </c>
      <c r="D952" t="s">
        <v>27</v>
      </c>
      <c r="E952" s="1">
        <v>45698</v>
      </c>
      <c r="F952">
        <v>33318</v>
      </c>
      <c r="G952">
        <v>29312</v>
      </c>
      <c r="H952" t="s">
        <v>77</v>
      </c>
    </row>
    <row r="953" spans="1:8" x14ac:dyDescent="0.35">
      <c r="A953">
        <v>2952</v>
      </c>
      <c r="B953" t="s">
        <v>984</v>
      </c>
      <c r="C953" t="s">
        <v>33</v>
      </c>
      <c r="D953" t="s">
        <v>10</v>
      </c>
      <c r="E953" s="1">
        <v>45964</v>
      </c>
      <c r="F953">
        <v>37200</v>
      </c>
      <c r="G953">
        <v>35575</v>
      </c>
      <c r="H953" t="s">
        <v>29</v>
      </c>
    </row>
    <row r="954" spans="1:8" x14ac:dyDescent="0.35">
      <c r="A954">
        <v>2953</v>
      </c>
      <c r="B954" t="s">
        <v>985</v>
      </c>
      <c r="C954" t="s">
        <v>33</v>
      </c>
      <c r="D954" t="s">
        <v>27</v>
      </c>
      <c r="E954" s="1">
        <v>45995</v>
      </c>
      <c r="F954">
        <v>20082</v>
      </c>
      <c r="G954">
        <v>9126</v>
      </c>
      <c r="H954" t="s">
        <v>25</v>
      </c>
    </row>
    <row r="955" spans="1:8" x14ac:dyDescent="0.35">
      <c r="A955">
        <v>2954</v>
      </c>
      <c r="B955" t="s">
        <v>986</v>
      </c>
      <c r="C955" t="s">
        <v>33</v>
      </c>
      <c r="D955" t="s">
        <v>10</v>
      </c>
      <c r="E955" s="1">
        <v>45971</v>
      </c>
      <c r="F955">
        <v>21920</v>
      </c>
      <c r="G955">
        <v>21030</v>
      </c>
      <c r="H955" t="s">
        <v>29</v>
      </c>
    </row>
    <row r="956" spans="1:8" x14ac:dyDescent="0.35">
      <c r="A956">
        <v>2955</v>
      </c>
      <c r="B956" t="s">
        <v>987</v>
      </c>
      <c r="C956" t="s">
        <v>45</v>
      </c>
      <c r="D956" t="s">
        <v>14</v>
      </c>
      <c r="E956" s="1">
        <v>45732</v>
      </c>
      <c r="F956">
        <v>31683</v>
      </c>
      <c r="G956">
        <v>17404</v>
      </c>
      <c r="H956" t="s">
        <v>19</v>
      </c>
    </row>
    <row r="957" spans="1:8" x14ac:dyDescent="0.35">
      <c r="A957">
        <v>2956</v>
      </c>
      <c r="B957" t="s">
        <v>988</v>
      </c>
      <c r="C957" t="s">
        <v>45</v>
      </c>
      <c r="D957" t="s">
        <v>37</v>
      </c>
      <c r="E957" s="1">
        <v>45936</v>
      </c>
      <c r="F957">
        <v>31336</v>
      </c>
      <c r="G957">
        <v>25258</v>
      </c>
      <c r="H957" t="s">
        <v>22</v>
      </c>
    </row>
    <row r="958" spans="1:8" x14ac:dyDescent="0.35">
      <c r="A958">
        <v>2957</v>
      </c>
      <c r="B958" t="s">
        <v>989</v>
      </c>
      <c r="C958" t="s">
        <v>24</v>
      </c>
      <c r="D958" t="s">
        <v>21</v>
      </c>
      <c r="E958" s="1">
        <v>45833</v>
      </c>
      <c r="F958">
        <v>35596</v>
      </c>
      <c r="G958">
        <v>22349</v>
      </c>
      <c r="H958" t="s">
        <v>67</v>
      </c>
    </row>
    <row r="959" spans="1:8" x14ac:dyDescent="0.35">
      <c r="A959">
        <v>2958</v>
      </c>
      <c r="B959" t="s">
        <v>990</v>
      </c>
      <c r="C959" t="s">
        <v>24</v>
      </c>
      <c r="D959" t="s">
        <v>10</v>
      </c>
      <c r="E959" s="1">
        <v>45807</v>
      </c>
      <c r="F959">
        <v>22093</v>
      </c>
      <c r="G959">
        <v>8337</v>
      </c>
      <c r="H959" t="s">
        <v>31</v>
      </c>
    </row>
    <row r="960" spans="1:8" x14ac:dyDescent="0.35">
      <c r="A960">
        <v>2959</v>
      </c>
      <c r="B960" t="s">
        <v>991</v>
      </c>
      <c r="C960" t="s">
        <v>33</v>
      </c>
      <c r="D960" t="s">
        <v>27</v>
      </c>
      <c r="E960" s="1">
        <v>45930</v>
      </c>
      <c r="F960">
        <v>32905</v>
      </c>
      <c r="G960">
        <v>25869</v>
      </c>
      <c r="H960" t="s">
        <v>53</v>
      </c>
    </row>
    <row r="961" spans="1:8" x14ac:dyDescent="0.35">
      <c r="A961">
        <v>2960</v>
      </c>
      <c r="B961" t="s">
        <v>992</v>
      </c>
      <c r="C961" t="s">
        <v>13</v>
      </c>
      <c r="D961" t="s">
        <v>14</v>
      </c>
      <c r="E961" s="1">
        <v>45982</v>
      </c>
      <c r="F961">
        <v>44351</v>
      </c>
      <c r="G961">
        <v>30602</v>
      </c>
      <c r="H961" t="s">
        <v>29</v>
      </c>
    </row>
    <row r="962" spans="1:8" x14ac:dyDescent="0.35">
      <c r="A962">
        <v>2961</v>
      </c>
      <c r="B962" t="s">
        <v>993</v>
      </c>
      <c r="C962" t="s">
        <v>56</v>
      </c>
      <c r="D962" t="s">
        <v>10</v>
      </c>
      <c r="E962" s="1">
        <v>45765</v>
      </c>
      <c r="F962">
        <v>50981</v>
      </c>
      <c r="G962">
        <v>42058</v>
      </c>
      <c r="H962" t="s">
        <v>11</v>
      </c>
    </row>
    <row r="963" spans="1:8" x14ac:dyDescent="0.35">
      <c r="A963">
        <v>2962</v>
      </c>
      <c r="B963" t="s">
        <v>994</v>
      </c>
      <c r="C963" t="s">
        <v>45</v>
      </c>
      <c r="D963" t="s">
        <v>27</v>
      </c>
      <c r="E963" s="1">
        <v>45796</v>
      </c>
      <c r="F963">
        <v>28367</v>
      </c>
      <c r="G963">
        <v>24406</v>
      </c>
      <c r="H963" t="s">
        <v>31</v>
      </c>
    </row>
    <row r="964" spans="1:8" x14ac:dyDescent="0.35">
      <c r="A964">
        <v>2963</v>
      </c>
      <c r="B964" t="s">
        <v>995</v>
      </c>
      <c r="C964" t="s">
        <v>13</v>
      </c>
      <c r="D964" t="s">
        <v>21</v>
      </c>
      <c r="E964" s="1">
        <v>46007</v>
      </c>
      <c r="F964">
        <v>25285</v>
      </c>
      <c r="G964">
        <v>12392</v>
      </c>
      <c r="H964" t="s">
        <v>25</v>
      </c>
    </row>
    <row r="965" spans="1:8" x14ac:dyDescent="0.35">
      <c r="A965">
        <v>2964</v>
      </c>
      <c r="B965" t="s">
        <v>996</v>
      </c>
      <c r="C965" t="s">
        <v>17</v>
      </c>
      <c r="D965" t="s">
        <v>21</v>
      </c>
      <c r="E965" s="1">
        <v>45928</v>
      </c>
      <c r="F965">
        <v>57705</v>
      </c>
      <c r="G965">
        <v>55201</v>
      </c>
      <c r="H965" t="s">
        <v>53</v>
      </c>
    </row>
    <row r="966" spans="1:8" x14ac:dyDescent="0.35">
      <c r="A966">
        <v>2965</v>
      </c>
      <c r="B966" t="s">
        <v>997</v>
      </c>
      <c r="C966" t="s">
        <v>45</v>
      </c>
      <c r="D966" t="s">
        <v>18</v>
      </c>
      <c r="E966" s="1">
        <v>46004</v>
      </c>
      <c r="F966">
        <v>36753</v>
      </c>
      <c r="G966">
        <v>27947</v>
      </c>
      <c r="H966" t="s">
        <v>25</v>
      </c>
    </row>
    <row r="967" spans="1:8" x14ac:dyDescent="0.35">
      <c r="A967">
        <v>2966</v>
      </c>
      <c r="B967" t="s">
        <v>998</v>
      </c>
      <c r="C967" t="s">
        <v>45</v>
      </c>
      <c r="D967" t="s">
        <v>37</v>
      </c>
      <c r="E967" s="1">
        <v>45946</v>
      </c>
      <c r="F967">
        <v>38485</v>
      </c>
      <c r="G967">
        <v>34679</v>
      </c>
      <c r="H967" t="s">
        <v>22</v>
      </c>
    </row>
    <row r="968" spans="1:8" x14ac:dyDescent="0.35">
      <c r="A968">
        <v>2967</v>
      </c>
      <c r="B968" t="s">
        <v>999</v>
      </c>
      <c r="C968" t="s">
        <v>24</v>
      </c>
      <c r="D968" t="s">
        <v>18</v>
      </c>
      <c r="E968" s="1">
        <v>45869</v>
      </c>
      <c r="F968">
        <v>32977</v>
      </c>
      <c r="G968">
        <v>26877</v>
      </c>
      <c r="H968" t="s">
        <v>43</v>
      </c>
    </row>
    <row r="969" spans="1:8" x14ac:dyDescent="0.35">
      <c r="A969">
        <v>2968</v>
      </c>
      <c r="B969" t="s">
        <v>1000</v>
      </c>
      <c r="C969" t="s">
        <v>56</v>
      </c>
      <c r="D969" t="s">
        <v>14</v>
      </c>
      <c r="E969" s="1">
        <v>45929</v>
      </c>
      <c r="F969">
        <v>39874</v>
      </c>
      <c r="G969">
        <v>38155</v>
      </c>
      <c r="H969" t="s">
        <v>53</v>
      </c>
    </row>
    <row r="970" spans="1:8" x14ac:dyDescent="0.35">
      <c r="A970">
        <v>2969</v>
      </c>
      <c r="B970" t="s">
        <v>1001</v>
      </c>
      <c r="C970" t="s">
        <v>56</v>
      </c>
      <c r="D970" t="s">
        <v>10</v>
      </c>
      <c r="E970" s="1">
        <v>45723</v>
      </c>
      <c r="F970">
        <v>27674</v>
      </c>
      <c r="G970">
        <v>14713</v>
      </c>
      <c r="H970" t="s">
        <v>19</v>
      </c>
    </row>
    <row r="971" spans="1:8" x14ac:dyDescent="0.35">
      <c r="A971">
        <v>2970</v>
      </c>
      <c r="B971" t="s">
        <v>1002</v>
      </c>
      <c r="C971" t="s">
        <v>9</v>
      </c>
      <c r="D971" t="s">
        <v>14</v>
      </c>
      <c r="E971" s="1">
        <v>45905</v>
      </c>
      <c r="F971">
        <v>49038</v>
      </c>
      <c r="G971">
        <v>35480</v>
      </c>
      <c r="H971" t="s">
        <v>53</v>
      </c>
    </row>
    <row r="972" spans="1:8" x14ac:dyDescent="0.35">
      <c r="A972">
        <v>2971</v>
      </c>
      <c r="B972" t="s">
        <v>1003</v>
      </c>
      <c r="C972" t="s">
        <v>9</v>
      </c>
      <c r="D972" t="s">
        <v>27</v>
      </c>
      <c r="E972" s="1">
        <v>45813</v>
      </c>
      <c r="F972">
        <v>49315</v>
      </c>
      <c r="G972">
        <v>42629</v>
      </c>
      <c r="H972" t="s">
        <v>67</v>
      </c>
    </row>
    <row r="973" spans="1:8" x14ac:dyDescent="0.35">
      <c r="A973">
        <v>2972</v>
      </c>
      <c r="B973" t="s">
        <v>1004</v>
      </c>
      <c r="C973" t="s">
        <v>9</v>
      </c>
      <c r="D973" t="s">
        <v>21</v>
      </c>
      <c r="E973" s="1">
        <v>45704</v>
      </c>
      <c r="F973">
        <v>23676</v>
      </c>
      <c r="G973">
        <v>22089</v>
      </c>
      <c r="H973" t="s">
        <v>77</v>
      </c>
    </row>
    <row r="974" spans="1:8" x14ac:dyDescent="0.35">
      <c r="A974">
        <v>2973</v>
      </c>
      <c r="B974" t="s">
        <v>1005</v>
      </c>
      <c r="C974" t="s">
        <v>9</v>
      </c>
      <c r="D974" t="s">
        <v>18</v>
      </c>
      <c r="E974" s="1">
        <v>45858</v>
      </c>
      <c r="F974">
        <v>22426</v>
      </c>
      <c r="G974">
        <v>15426</v>
      </c>
      <c r="H974" t="s">
        <v>43</v>
      </c>
    </row>
    <row r="975" spans="1:8" x14ac:dyDescent="0.35">
      <c r="A975">
        <v>2974</v>
      </c>
      <c r="B975" t="s">
        <v>1006</v>
      </c>
      <c r="C975" t="s">
        <v>17</v>
      </c>
      <c r="D975" t="s">
        <v>18</v>
      </c>
      <c r="E975" s="1">
        <v>45805</v>
      </c>
      <c r="F975">
        <v>44473</v>
      </c>
      <c r="G975">
        <v>34670</v>
      </c>
      <c r="H975" t="s">
        <v>31</v>
      </c>
    </row>
    <row r="976" spans="1:8" x14ac:dyDescent="0.35">
      <c r="A976">
        <v>2975</v>
      </c>
      <c r="B976" t="s">
        <v>1007</v>
      </c>
      <c r="C976" t="s">
        <v>17</v>
      </c>
      <c r="D976" t="s">
        <v>18</v>
      </c>
      <c r="E976" s="1">
        <v>45781</v>
      </c>
      <c r="F976">
        <v>22962</v>
      </c>
      <c r="G976">
        <v>22066</v>
      </c>
      <c r="H976" t="s">
        <v>31</v>
      </c>
    </row>
    <row r="977" spans="1:8" x14ac:dyDescent="0.35">
      <c r="A977">
        <v>2976</v>
      </c>
      <c r="B977" t="s">
        <v>1008</v>
      </c>
      <c r="C977" t="s">
        <v>45</v>
      </c>
      <c r="D977" t="s">
        <v>14</v>
      </c>
      <c r="E977" s="1">
        <v>45658</v>
      </c>
      <c r="F977">
        <v>49943</v>
      </c>
      <c r="G977">
        <v>44385</v>
      </c>
      <c r="H977" t="s">
        <v>15</v>
      </c>
    </row>
    <row r="978" spans="1:8" x14ac:dyDescent="0.35">
      <c r="A978">
        <v>2977</v>
      </c>
      <c r="B978" t="s">
        <v>1009</v>
      </c>
      <c r="C978" t="s">
        <v>33</v>
      </c>
      <c r="D978" t="s">
        <v>21</v>
      </c>
      <c r="E978" s="1">
        <v>45904</v>
      </c>
      <c r="F978">
        <v>20859</v>
      </c>
      <c r="G978">
        <v>12390</v>
      </c>
      <c r="H978" t="s">
        <v>53</v>
      </c>
    </row>
    <row r="979" spans="1:8" x14ac:dyDescent="0.35">
      <c r="A979">
        <v>2978</v>
      </c>
      <c r="B979" t="s">
        <v>1010</v>
      </c>
      <c r="C979" t="s">
        <v>24</v>
      </c>
      <c r="D979" t="s">
        <v>10</v>
      </c>
      <c r="E979" s="1">
        <v>46000</v>
      </c>
      <c r="F979">
        <v>24138</v>
      </c>
      <c r="G979">
        <v>19491</v>
      </c>
      <c r="H979" t="s">
        <v>25</v>
      </c>
    </row>
    <row r="980" spans="1:8" x14ac:dyDescent="0.35">
      <c r="A980">
        <v>2979</v>
      </c>
      <c r="B980" t="s">
        <v>1011</v>
      </c>
      <c r="C980" t="s">
        <v>24</v>
      </c>
      <c r="D980" t="s">
        <v>27</v>
      </c>
      <c r="E980" s="1">
        <v>45785</v>
      </c>
      <c r="F980">
        <v>55192</v>
      </c>
      <c r="G980">
        <v>45364</v>
      </c>
      <c r="H980" t="s">
        <v>31</v>
      </c>
    </row>
    <row r="981" spans="1:8" x14ac:dyDescent="0.35">
      <c r="A981">
        <v>2980</v>
      </c>
      <c r="B981" t="s">
        <v>1012</v>
      </c>
      <c r="C981" t="s">
        <v>9</v>
      </c>
      <c r="D981" t="s">
        <v>10</v>
      </c>
      <c r="E981" s="1">
        <v>45848</v>
      </c>
      <c r="F981">
        <v>45640</v>
      </c>
      <c r="G981">
        <v>35290</v>
      </c>
      <c r="H981" t="s">
        <v>43</v>
      </c>
    </row>
    <row r="982" spans="1:8" x14ac:dyDescent="0.35">
      <c r="A982">
        <v>2981</v>
      </c>
      <c r="B982" t="s">
        <v>1013</v>
      </c>
      <c r="C982" t="s">
        <v>45</v>
      </c>
      <c r="D982" t="s">
        <v>14</v>
      </c>
      <c r="E982" s="1">
        <v>45724</v>
      </c>
      <c r="F982">
        <v>30409</v>
      </c>
      <c r="G982">
        <v>27977</v>
      </c>
      <c r="H982" t="s">
        <v>19</v>
      </c>
    </row>
    <row r="983" spans="1:8" x14ac:dyDescent="0.35">
      <c r="A983">
        <v>2982</v>
      </c>
      <c r="B983" t="s">
        <v>1014</v>
      </c>
      <c r="C983" t="s">
        <v>13</v>
      </c>
      <c r="D983" t="s">
        <v>27</v>
      </c>
      <c r="E983" s="1">
        <v>45661</v>
      </c>
      <c r="F983">
        <v>24017</v>
      </c>
      <c r="G983">
        <v>20113</v>
      </c>
      <c r="H983" t="s">
        <v>15</v>
      </c>
    </row>
    <row r="984" spans="1:8" x14ac:dyDescent="0.35">
      <c r="A984">
        <v>2983</v>
      </c>
      <c r="B984" t="s">
        <v>1015</v>
      </c>
      <c r="C984" t="s">
        <v>33</v>
      </c>
      <c r="D984" t="s">
        <v>18</v>
      </c>
      <c r="E984" s="1">
        <v>45960</v>
      </c>
      <c r="F984">
        <v>30451</v>
      </c>
      <c r="G984">
        <v>17403</v>
      </c>
      <c r="H984" t="s">
        <v>22</v>
      </c>
    </row>
    <row r="985" spans="1:8" x14ac:dyDescent="0.35">
      <c r="A985">
        <v>2984</v>
      </c>
      <c r="B985" t="s">
        <v>1016</v>
      </c>
      <c r="C985" t="s">
        <v>45</v>
      </c>
      <c r="D985" t="s">
        <v>37</v>
      </c>
      <c r="E985" s="1">
        <v>45951</v>
      </c>
      <c r="F985">
        <v>48327</v>
      </c>
      <c r="G985">
        <v>36873</v>
      </c>
      <c r="H985" t="s">
        <v>22</v>
      </c>
    </row>
    <row r="986" spans="1:8" x14ac:dyDescent="0.35">
      <c r="A986">
        <v>2985</v>
      </c>
      <c r="B986" t="s">
        <v>1017</v>
      </c>
      <c r="C986" t="s">
        <v>33</v>
      </c>
      <c r="D986" t="s">
        <v>14</v>
      </c>
      <c r="E986" s="1">
        <v>45800</v>
      </c>
      <c r="F986">
        <v>30278</v>
      </c>
      <c r="G986">
        <v>23441</v>
      </c>
      <c r="H986" t="s">
        <v>31</v>
      </c>
    </row>
    <row r="987" spans="1:8" x14ac:dyDescent="0.35">
      <c r="A987">
        <v>2986</v>
      </c>
      <c r="B987" t="s">
        <v>1018</v>
      </c>
      <c r="C987" t="s">
        <v>33</v>
      </c>
      <c r="D987" t="s">
        <v>14</v>
      </c>
      <c r="E987" s="1">
        <v>45848</v>
      </c>
      <c r="F987">
        <v>44944</v>
      </c>
      <c r="G987">
        <v>43495</v>
      </c>
      <c r="H987" t="s">
        <v>43</v>
      </c>
    </row>
    <row r="988" spans="1:8" x14ac:dyDescent="0.35">
      <c r="A988">
        <v>2987</v>
      </c>
      <c r="B988" t="s">
        <v>1019</v>
      </c>
      <c r="C988" t="s">
        <v>33</v>
      </c>
      <c r="D988" t="s">
        <v>21</v>
      </c>
      <c r="E988" s="1">
        <v>45678</v>
      </c>
      <c r="F988">
        <v>21134</v>
      </c>
      <c r="G988">
        <v>16634</v>
      </c>
      <c r="H988" t="s">
        <v>15</v>
      </c>
    </row>
    <row r="989" spans="1:8" x14ac:dyDescent="0.35">
      <c r="A989">
        <v>2988</v>
      </c>
      <c r="B989" t="s">
        <v>1020</v>
      </c>
      <c r="C989" t="s">
        <v>45</v>
      </c>
      <c r="D989" t="s">
        <v>10</v>
      </c>
      <c r="E989" s="1">
        <v>45884</v>
      </c>
      <c r="F989">
        <v>50131</v>
      </c>
      <c r="G989">
        <v>44677</v>
      </c>
      <c r="H989" t="s">
        <v>38</v>
      </c>
    </row>
    <row r="990" spans="1:8" x14ac:dyDescent="0.35">
      <c r="A990">
        <v>2989</v>
      </c>
      <c r="B990" t="s">
        <v>1021</v>
      </c>
      <c r="C990" t="s">
        <v>9</v>
      </c>
      <c r="D990" t="s">
        <v>14</v>
      </c>
      <c r="E990" s="1">
        <v>45970</v>
      </c>
      <c r="F990">
        <v>57887</v>
      </c>
      <c r="G990">
        <v>48463</v>
      </c>
      <c r="H990" t="s">
        <v>29</v>
      </c>
    </row>
    <row r="991" spans="1:8" x14ac:dyDescent="0.35">
      <c r="A991">
        <v>2990</v>
      </c>
      <c r="B991" t="s">
        <v>1022</v>
      </c>
      <c r="C991" t="s">
        <v>24</v>
      </c>
      <c r="D991" t="s">
        <v>14</v>
      </c>
      <c r="E991" s="1">
        <v>45774</v>
      </c>
      <c r="F991">
        <v>58462</v>
      </c>
      <c r="G991">
        <v>54345</v>
      </c>
      <c r="H991" t="s">
        <v>11</v>
      </c>
    </row>
    <row r="992" spans="1:8" x14ac:dyDescent="0.35">
      <c r="A992">
        <v>2991</v>
      </c>
      <c r="B992" t="s">
        <v>1023</v>
      </c>
      <c r="C992" t="s">
        <v>24</v>
      </c>
      <c r="D992" t="s">
        <v>18</v>
      </c>
      <c r="E992" s="1">
        <v>45959</v>
      </c>
      <c r="F992">
        <v>42520</v>
      </c>
      <c r="G992">
        <v>33651</v>
      </c>
      <c r="H992" t="s">
        <v>22</v>
      </c>
    </row>
    <row r="993" spans="1:8" x14ac:dyDescent="0.35">
      <c r="A993">
        <v>2992</v>
      </c>
      <c r="B993" t="s">
        <v>1024</v>
      </c>
      <c r="C993" t="s">
        <v>9</v>
      </c>
      <c r="D993" t="s">
        <v>18</v>
      </c>
      <c r="E993" s="1">
        <v>45799</v>
      </c>
      <c r="F993">
        <v>41869</v>
      </c>
      <c r="G993">
        <v>31019</v>
      </c>
      <c r="H993" t="s">
        <v>31</v>
      </c>
    </row>
    <row r="994" spans="1:8" x14ac:dyDescent="0.35">
      <c r="A994">
        <v>2993</v>
      </c>
      <c r="B994" t="s">
        <v>1025</v>
      </c>
      <c r="C994" t="s">
        <v>33</v>
      </c>
      <c r="D994" t="s">
        <v>27</v>
      </c>
      <c r="E994" s="1">
        <v>45696</v>
      </c>
      <c r="F994">
        <v>56932</v>
      </c>
      <c r="G994">
        <v>54904</v>
      </c>
      <c r="H994" t="s">
        <v>77</v>
      </c>
    </row>
    <row r="995" spans="1:8" x14ac:dyDescent="0.35">
      <c r="A995">
        <v>2994</v>
      </c>
      <c r="B995" t="s">
        <v>1026</v>
      </c>
      <c r="C995" t="s">
        <v>13</v>
      </c>
      <c r="D995" t="s">
        <v>37</v>
      </c>
      <c r="E995" s="1">
        <v>46012</v>
      </c>
      <c r="F995">
        <v>25039</v>
      </c>
      <c r="G995">
        <v>11520</v>
      </c>
      <c r="H995" t="s">
        <v>25</v>
      </c>
    </row>
    <row r="996" spans="1:8" x14ac:dyDescent="0.35">
      <c r="A996">
        <v>2995</v>
      </c>
      <c r="B996" t="s">
        <v>1027</v>
      </c>
      <c r="C996" t="s">
        <v>56</v>
      </c>
      <c r="D996" t="s">
        <v>21</v>
      </c>
      <c r="E996" s="1">
        <v>45909</v>
      </c>
      <c r="F996">
        <v>41281</v>
      </c>
      <c r="G996">
        <v>26938</v>
      </c>
      <c r="H996" t="s">
        <v>53</v>
      </c>
    </row>
    <row r="997" spans="1:8" x14ac:dyDescent="0.35">
      <c r="A997">
        <v>2996</v>
      </c>
      <c r="B997" t="s">
        <v>1028</v>
      </c>
      <c r="C997" t="s">
        <v>45</v>
      </c>
      <c r="D997" t="s">
        <v>37</v>
      </c>
      <c r="E997" s="1">
        <v>45990</v>
      </c>
      <c r="F997">
        <v>30442</v>
      </c>
      <c r="G997">
        <v>23597</v>
      </c>
      <c r="H997" t="s">
        <v>29</v>
      </c>
    </row>
    <row r="998" spans="1:8" x14ac:dyDescent="0.35">
      <c r="A998">
        <v>2997</v>
      </c>
      <c r="B998" t="s">
        <v>1029</v>
      </c>
      <c r="C998" t="s">
        <v>56</v>
      </c>
      <c r="D998" t="s">
        <v>27</v>
      </c>
      <c r="E998" s="1">
        <v>45864</v>
      </c>
      <c r="F998">
        <v>28252</v>
      </c>
      <c r="G998">
        <v>24494</v>
      </c>
      <c r="H998" t="s">
        <v>43</v>
      </c>
    </row>
    <row r="999" spans="1:8" x14ac:dyDescent="0.35">
      <c r="A999">
        <v>2998</v>
      </c>
      <c r="B999" t="s">
        <v>1030</v>
      </c>
      <c r="C999" t="s">
        <v>9</v>
      </c>
      <c r="D999" t="s">
        <v>18</v>
      </c>
      <c r="E999" s="1">
        <v>45867</v>
      </c>
      <c r="F999">
        <v>47586</v>
      </c>
      <c r="G999">
        <v>41682</v>
      </c>
      <c r="H999" t="s">
        <v>43</v>
      </c>
    </row>
    <row r="1000" spans="1:8" x14ac:dyDescent="0.35">
      <c r="A1000">
        <v>2999</v>
      </c>
      <c r="B1000" t="s">
        <v>1031</v>
      </c>
      <c r="C1000" t="s">
        <v>13</v>
      </c>
      <c r="D1000" t="s">
        <v>10</v>
      </c>
      <c r="E1000" s="1">
        <v>45772</v>
      </c>
      <c r="F1000">
        <v>37568</v>
      </c>
      <c r="G1000">
        <v>32944</v>
      </c>
      <c r="H1000" t="s">
        <v>11</v>
      </c>
    </row>
    <row r="1001" spans="1:8" x14ac:dyDescent="0.35">
      <c r="A1001">
        <v>3000</v>
      </c>
      <c r="B1001" t="s">
        <v>1032</v>
      </c>
      <c r="C1001" t="s">
        <v>45</v>
      </c>
      <c r="D1001" t="s">
        <v>18</v>
      </c>
      <c r="E1001" s="1">
        <v>45882</v>
      </c>
      <c r="F1001">
        <v>40810</v>
      </c>
      <c r="G1001">
        <v>30581</v>
      </c>
      <c r="H1001" t="s">
        <v>38</v>
      </c>
    </row>
    <row r="1002" spans="1:8" x14ac:dyDescent="0.35">
      <c r="A1002">
        <v>3001</v>
      </c>
      <c r="B1002" t="s">
        <v>1033</v>
      </c>
      <c r="C1002" t="s">
        <v>9</v>
      </c>
      <c r="D1002" t="s">
        <v>21</v>
      </c>
      <c r="E1002" s="1">
        <v>45791</v>
      </c>
      <c r="F1002">
        <v>21551</v>
      </c>
      <c r="G1002">
        <v>10710</v>
      </c>
      <c r="H1002" t="s">
        <v>31</v>
      </c>
    </row>
    <row r="1003" spans="1:8" x14ac:dyDescent="0.35">
      <c r="A1003">
        <v>3002</v>
      </c>
      <c r="B1003" t="s">
        <v>1034</v>
      </c>
      <c r="C1003" t="s">
        <v>33</v>
      </c>
      <c r="D1003" t="s">
        <v>18</v>
      </c>
      <c r="E1003" s="1">
        <v>45908</v>
      </c>
      <c r="F1003">
        <v>32625</v>
      </c>
      <c r="G1003">
        <v>18661</v>
      </c>
      <c r="H1003" t="s">
        <v>53</v>
      </c>
    </row>
    <row r="1004" spans="1:8" x14ac:dyDescent="0.35">
      <c r="A1004">
        <v>3003</v>
      </c>
      <c r="B1004" t="s">
        <v>1035</v>
      </c>
      <c r="C1004" t="s">
        <v>24</v>
      </c>
      <c r="D1004" t="s">
        <v>21</v>
      </c>
      <c r="E1004" s="1">
        <v>45876</v>
      </c>
      <c r="F1004">
        <v>54397</v>
      </c>
      <c r="G1004">
        <v>45549</v>
      </c>
      <c r="H1004" t="s">
        <v>38</v>
      </c>
    </row>
    <row r="1005" spans="1:8" x14ac:dyDescent="0.35">
      <c r="A1005">
        <v>3004</v>
      </c>
      <c r="B1005" t="s">
        <v>1036</v>
      </c>
      <c r="C1005" t="s">
        <v>56</v>
      </c>
      <c r="D1005" t="s">
        <v>21</v>
      </c>
      <c r="E1005" s="1">
        <v>45748</v>
      </c>
      <c r="F1005">
        <v>46249</v>
      </c>
      <c r="G1005">
        <v>46084</v>
      </c>
      <c r="H1005" t="s">
        <v>11</v>
      </c>
    </row>
    <row r="1006" spans="1:8" x14ac:dyDescent="0.35">
      <c r="A1006">
        <v>3005</v>
      </c>
      <c r="B1006" t="s">
        <v>1037</v>
      </c>
      <c r="C1006" t="s">
        <v>17</v>
      </c>
      <c r="D1006" t="s">
        <v>21</v>
      </c>
      <c r="E1006" s="1">
        <v>46011</v>
      </c>
      <c r="F1006">
        <v>21361</v>
      </c>
      <c r="G1006">
        <v>8225</v>
      </c>
      <c r="H1006" t="s">
        <v>25</v>
      </c>
    </row>
    <row r="1007" spans="1:8" x14ac:dyDescent="0.35">
      <c r="A1007">
        <v>3006</v>
      </c>
      <c r="B1007" t="s">
        <v>1038</v>
      </c>
      <c r="C1007" t="s">
        <v>17</v>
      </c>
      <c r="D1007" t="s">
        <v>27</v>
      </c>
      <c r="E1007" s="1">
        <v>45703</v>
      </c>
      <c r="F1007">
        <v>46149</v>
      </c>
      <c r="G1007">
        <v>41558</v>
      </c>
      <c r="H1007" t="s">
        <v>77</v>
      </c>
    </row>
    <row r="1008" spans="1:8" x14ac:dyDescent="0.35">
      <c r="A1008">
        <v>3007</v>
      </c>
      <c r="B1008" t="s">
        <v>1039</v>
      </c>
      <c r="C1008" t="s">
        <v>13</v>
      </c>
      <c r="D1008" t="s">
        <v>21</v>
      </c>
      <c r="E1008" s="1">
        <v>45695</v>
      </c>
      <c r="F1008">
        <v>24370</v>
      </c>
      <c r="G1008">
        <v>23781</v>
      </c>
      <c r="H1008" t="s">
        <v>77</v>
      </c>
    </row>
    <row r="1009" spans="1:8" x14ac:dyDescent="0.35">
      <c r="A1009">
        <v>3008</v>
      </c>
      <c r="B1009" t="s">
        <v>1040</v>
      </c>
      <c r="C1009" t="s">
        <v>33</v>
      </c>
      <c r="D1009" t="s">
        <v>21</v>
      </c>
      <c r="E1009" s="1">
        <v>45799</v>
      </c>
      <c r="F1009">
        <v>25283</v>
      </c>
      <c r="G1009">
        <v>20759</v>
      </c>
      <c r="H1009" t="s">
        <v>31</v>
      </c>
    </row>
    <row r="1010" spans="1:8" x14ac:dyDescent="0.35">
      <c r="A1010">
        <v>3009</v>
      </c>
      <c r="B1010" t="s">
        <v>1041</v>
      </c>
      <c r="C1010" t="s">
        <v>56</v>
      </c>
      <c r="D1010" t="s">
        <v>10</v>
      </c>
      <c r="E1010" s="1">
        <v>45757</v>
      </c>
      <c r="F1010">
        <v>27610</v>
      </c>
      <c r="G1010">
        <v>24789</v>
      </c>
      <c r="H1010" t="s">
        <v>11</v>
      </c>
    </row>
    <row r="1011" spans="1:8" x14ac:dyDescent="0.35">
      <c r="A1011">
        <v>3010</v>
      </c>
      <c r="B1011" t="s">
        <v>1042</v>
      </c>
      <c r="C1011" t="s">
        <v>33</v>
      </c>
      <c r="D1011" t="s">
        <v>37</v>
      </c>
      <c r="E1011" s="1">
        <v>45985</v>
      </c>
      <c r="F1011">
        <v>34924</v>
      </c>
      <c r="G1011">
        <v>22474</v>
      </c>
      <c r="H1011" t="s">
        <v>29</v>
      </c>
    </row>
    <row r="1012" spans="1:8" x14ac:dyDescent="0.35">
      <c r="A1012">
        <v>3011</v>
      </c>
      <c r="B1012" t="s">
        <v>1043</v>
      </c>
      <c r="C1012" t="s">
        <v>56</v>
      </c>
      <c r="D1012" t="s">
        <v>14</v>
      </c>
      <c r="E1012" s="1">
        <v>45847</v>
      </c>
      <c r="F1012">
        <v>30626</v>
      </c>
      <c r="G1012">
        <v>24117</v>
      </c>
      <c r="H1012" t="s">
        <v>43</v>
      </c>
    </row>
    <row r="1013" spans="1:8" x14ac:dyDescent="0.35">
      <c r="A1013">
        <v>3012</v>
      </c>
      <c r="B1013" t="s">
        <v>1044</v>
      </c>
      <c r="C1013" t="s">
        <v>13</v>
      </c>
      <c r="D1013" t="s">
        <v>37</v>
      </c>
      <c r="E1013" s="1">
        <v>45692</v>
      </c>
      <c r="F1013">
        <v>54761</v>
      </c>
      <c r="G1013">
        <v>47068</v>
      </c>
      <c r="H1013" t="s">
        <v>77</v>
      </c>
    </row>
    <row r="1014" spans="1:8" x14ac:dyDescent="0.35">
      <c r="A1014">
        <v>3013</v>
      </c>
      <c r="B1014" t="s">
        <v>1045</v>
      </c>
      <c r="C1014" t="s">
        <v>13</v>
      </c>
      <c r="D1014" t="s">
        <v>21</v>
      </c>
      <c r="E1014" s="1">
        <v>45804</v>
      </c>
      <c r="F1014">
        <v>20869</v>
      </c>
      <c r="G1014">
        <v>11415</v>
      </c>
      <c r="H1014" t="s">
        <v>31</v>
      </c>
    </row>
    <row r="1015" spans="1:8" x14ac:dyDescent="0.35">
      <c r="A1015">
        <v>3014</v>
      </c>
      <c r="B1015" t="s">
        <v>1046</v>
      </c>
      <c r="C1015" t="s">
        <v>17</v>
      </c>
      <c r="D1015" t="s">
        <v>10</v>
      </c>
      <c r="E1015" s="1">
        <v>45687</v>
      </c>
      <c r="F1015">
        <v>51552</v>
      </c>
      <c r="G1015">
        <v>51481</v>
      </c>
      <c r="H1015" t="s">
        <v>15</v>
      </c>
    </row>
    <row r="1016" spans="1:8" x14ac:dyDescent="0.35">
      <c r="A1016">
        <v>3015</v>
      </c>
      <c r="B1016" t="s">
        <v>1047</v>
      </c>
      <c r="C1016" t="s">
        <v>33</v>
      </c>
      <c r="D1016" t="s">
        <v>18</v>
      </c>
      <c r="E1016" s="1">
        <v>45991</v>
      </c>
      <c r="F1016">
        <v>21014</v>
      </c>
      <c r="G1016">
        <v>9306</v>
      </c>
      <c r="H1016" t="s">
        <v>29</v>
      </c>
    </row>
    <row r="1017" spans="1:8" x14ac:dyDescent="0.35">
      <c r="A1017">
        <v>3016</v>
      </c>
      <c r="B1017" t="s">
        <v>1048</v>
      </c>
      <c r="C1017" t="s">
        <v>45</v>
      </c>
      <c r="D1017" t="s">
        <v>10</v>
      </c>
      <c r="E1017" s="1">
        <v>45741</v>
      </c>
      <c r="F1017">
        <v>30103</v>
      </c>
      <c r="G1017">
        <v>17161</v>
      </c>
      <c r="H1017" t="s">
        <v>19</v>
      </c>
    </row>
    <row r="1018" spans="1:8" x14ac:dyDescent="0.35">
      <c r="A1018">
        <v>3017</v>
      </c>
      <c r="B1018" t="s">
        <v>1049</v>
      </c>
      <c r="C1018" t="s">
        <v>17</v>
      </c>
      <c r="D1018" t="s">
        <v>21</v>
      </c>
      <c r="E1018" s="1">
        <v>45938</v>
      </c>
      <c r="F1018">
        <v>36986</v>
      </c>
      <c r="G1018">
        <v>33406</v>
      </c>
      <c r="H1018" t="s">
        <v>22</v>
      </c>
    </row>
    <row r="1019" spans="1:8" x14ac:dyDescent="0.35">
      <c r="A1019">
        <v>3018</v>
      </c>
      <c r="B1019" t="s">
        <v>1050</v>
      </c>
      <c r="C1019" t="s">
        <v>33</v>
      </c>
      <c r="D1019" t="s">
        <v>10</v>
      </c>
      <c r="E1019" s="1">
        <v>46001</v>
      </c>
      <c r="F1019">
        <v>50471</v>
      </c>
      <c r="G1019">
        <v>42509</v>
      </c>
      <c r="H1019" t="s">
        <v>25</v>
      </c>
    </row>
    <row r="1020" spans="1:8" x14ac:dyDescent="0.35">
      <c r="A1020">
        <v>3019</v>
      </c>
      <c r="B1020" t="s">
        <v>1051</v>
      </c>
      <c r="C1020" t="s">
        <v>17</v>
      </c>
      <c r="D1020" t="s">
        <v>10</v>
      </c>
      <c r="E1020" s="1">
        <v>45927</v>
      </c>
      <c r="F1020">
        <v>53458</v>
      </c>
      <c r="G1020">
        <v>53190</v>
      </c>
      <c r="H1020" t="s">
        <v>53</v>
      </c>
    </row>
    <row r="1021" spans="1:8" x14ac:dyDescent="0.35">
      <c r="A1021">
        <v>3020</v>
      </c>
      <c r="B1021" t="s">
        <v>1052</v>
      </c>
      <c r="C1021" t="s">
        <v>45</v>
      </c>
      <c r="D1021" t="s">
        <v>21</v>
      </c>
      <c r="E1021" s="1">
        <v>45811</v>
      </c>
      <c r="F1021">
        <v>45069</v>
      </c>
      <c r="G1021">
        <v>35101</v>
      </c>
      <c r="H1021" t="s">
        <v>67</v>
      </c>
    </row>
    <row r="1022" spans="1:8" x14ac:dyDescent="0.35">
      <c r="A1022">
        <v>3021</v>
      </c>
      <c r="B1022" t="s">
        <v>1053</v>
      </c>
      <c r="C1022" t="s">
        <v>24</v>
      </c>
      <c r="D1022" t="s">
        <v>27</v>
      </c>
      <c r="E1022" s="1">
        <v>45759</v>
      </c>
      <c r="F1022">
        <v>36873</v>
      </c>
      <c r="G1022">
        <v>34411</v>
      </c>
      <c r="H1022" t="s">
        <v>11</v>
      </c>
    </row>
    <row r="1023" spans="1:8" x14ac:dyDescent="0.35">
      <c r="A1023">
        <v>3022</v>
      </c>
      <c r="B1023" t="s">
        <v>1054</v>
      </c>
      <c r="C1023" t="s">
        <v>24</v>
      </c>
      <c r="D1023" t="s">
        <v>10</v>
      </c>
      <c r="E1023" s="1">
        <v>45872</v>
      </c>
      <c r="F1023">
        <v>43248</v>
      </c>
      <c r="G1023">
        <v>33788</v>
      </c>
      <c r="H1023" t="s">
        <v>38</v>
      </c>
    </row>
    <row r="1024" spans="1:8" x14ac:dyDescent="0.35">
      <c r="A1024">
        <v>3023</v>
      </c>
      <c r="B1024" t="s">
        <v>1055</v>
      </c>
      <c r="C1024" t="s">
        <v>24</v>
      </c>
      <c r="D1024" t="s">
        <v>14</v>
      </c>
      <c r="E1024" s="1">
        <v>45807</v>
      </c>
      <c r="F1024">
        <v>43624</v>
      </c>
      <c r="G1024">
        <v>42609</v>
      </c>
      <c r="H1024" t="s">
        <v>31</v>
      </c>
    </row>
    <row r="1025" spans="1:8" x14ac:dyDescent="0.35">
      <c r="A1025">
        <v>3024</v>
      </c>
      <c r="B1025" t="s">
        <v>1056</v>
      </c>
      <c r="C1025" t="s">
        <v>24</v>
      </c>
      <c r="D1025" t="s">
        <v>14</v>
      </c>
      <c r="E1025" s="1">
        <v>45740</v>
      </c>
      <c r="F1025">
        <v>49061</v>
      </c>
      <c r="G1025">
        <v>38147</v>
      </c>
      <c r="H1025" t="s">
        <v>19</v>
      </c>
    </row>
    <row r="1026" spans="1:8" x14ac:dyDescent="0.35">
      <c r="A1026">
        <v>3025</v>
      </c>
      <c r="B1026" t="s">
        <v>1057</v>
      </c>
      <c r="C1026" t="s">
        <v>9</v>
      </c>
      <c r="D1026" t="s">
        <v>10</v>
      </c>
      <c r="E1026" s="1">
        <v>45767</v>
      </c>
      <c r="F1026">
        <v>44170</v>
      </c>
      <c r="G1026">
        <v>34895</v>
      </c>
      <c r="H1026" t="s">
        <v>11</v>
      </c>
    </row>
    <row r="1027" spans="1:8" x14ac:dyDescent="0.35">
      <c r="A1027">
        <v>3026</v>
      </c>
      <c r="B1027" t="s">
        <v>1058</v>
      </c>
      <c r="C1027" t="s">
        <v>56</v>
      </c>
      <c r="D1027" t="s">
        <v>27</v>
      </c>
      <c r="E1027" s="1">
        <v>45932</v>
      </c>
      <c r="F1027">
        <v>28024</v>
      </c>
      <c r="G1027">
        <v>15731</v>
      </c>
      <c r="H1027" t="s">
        <v>22</v>
      </c>
    </row>
    <row r="1028" spans="1:8" x14ac:dyDescent="0.35">
      <c r="A1028">
        <v>3027</v>
      </c>
      <c r="B1028" t="s">
        <v>1059</v>
      </c>
      <c r="C1028" t="s">
        <v>9</v>
      </c>
      <c r="D1028" t="s">
        <v>18</v>
      </c>
      <c r="E1028" s="1">
        <v>45858</v>
      </c>
      <c r="F1028">
        <v>36678</v>
      </c>
      <c r="G1028">
        <v>23409</v>
      </c>
      <c r="H1028" t="s">
        <v>43</v>
      </c>
    </row>
    <row r="1029" spans="1:8" x14ac:dyDescent="0.35">
      <c r="A1029">
        <v>3028</v>
      </c>
      <c r="B1029" t="s">
        <v>1060</v>
      </c>
      <c r="C1029" t="s">
        <v>9</v>
      </c>
      <c r="D1029" t="s">
        <v>21</v>
      </c>
      <c r="E1029" s="1">
        <v>45941</v>
      </c>
      <c r="F1029">
        <v>58256</v>
      </c>
      <c r="G1029">
        <v>43351</v>
      </c>
      <c r="H1029" t="s">
        <v>22</v>
      </c>
    </row>
    <row r="1030" spans="1:8" x14ac:dyDescent="0.35">
      <c r="A1030">
        <v>3029</v>
      </c>
      <c r="B1030" t="s">
        <v>1061</v>
      </c>
      <c r="C1030" t="s">
        <v>9</v>
      </c>
      <c r="D1030" t="s">
        <v>14</v>
      </c>
      <c r="E1030" s="1">
        <v>45830</v>
      </c>
      <c r="F1030">
        <v>40411</v>
      </c>
      <c r="G1030">
        <v>32427</v>
      </c>
      <c r="H1030" t="s">
        <v>67</v>
      </c>
    </row>
    <row r="1031" spans="1:8" x14ac:dyDescent="0.35">
      <c r="A1031">
        <v>3030</v>
      </c>
      <c r="B1031" t="s">
        <v>1062</v>
      </c>
      <c r="C1031" t="s">
        <v>24</v>
      </c>
      <c r="D1031" t="s">
        <v>18</v>
      </c>
      <c r="E1031" s="1">
        <v>45984</v>
      </c>
      <c r="F1031">
        <v>39296</v>
      </c>
      <c r="G1031">
        <v>38890</v>
      </c>
      <c r="H1031" t="s">
        <v>29</v>
      </c>
    </row>
    <row r="1032" spans="1:8" x14ac:dyDescent="0.35">
      <c r="A1032">
        <v>3031</v>
      </c>
      <c r="B1032" t="s">
        <v>1063</v>
      </c>
      <c r="C1032" t="s">
        <v>45</v>
      </c>
      <c r="D1032" t="s">
        <v>10</v>
      </c>
      <c r="E1032" s="1">
        <v>45863</v>
      </c>
      <c r="F1032">
        <v>46293</v>
      </c>
      <c r="G1032">
        <v>38909</v>
      </c>
      <c r="H1032" t="s">
        <v>43</v>
      </c>
    </row>
    <row r="1033" spans="1:8" x14ac:dyDescent="0.35">
      <c r="A1033">
        <v>3032</v>
      </c>
      <c r="B1033" t="s">
        <v>1064</v>
      </c>
      <c r="C1033" t="s">
        <v>13</v>
      </c>
      <c r="D1033" t="s">
        <v>18</v>
      </c>
      <c r="E1033" s="1">
        <v>45720</v>
      </c>
      <c r="F1033">
        <v>47172</v>
      </c>
      <c r="G1033">
        <v>41123</v>
      </c>
      <c r="H1033" t="s">
        <v>19</v>
      </c>
    </row>
    <row r="1034" spans="1:8" x14ac:dyDescent="0.35">
      <c r="A1034">
        <v>3033</v>
      </c>
      <c r="B1034" t="s">
        <v>1065</v>
      </c>
      <c r="C1034" t="s">
        <v>13</v>
      </c>
      <c r="D1034" t="s">
        <v>37</v>
      </c>
      <c r="E1034" s="1">
        <v>45730</v>
      </c>
      <c r="F1034">
        <v>41128</v>
      </c>
      <c r="G1034">
        <v>34959</v>
      </c>
      <c r="H1034" t="s">
        <v>19</v>
      </c>
    </row>
    <row r="1035" spans="1:8" x14ac:dyDescent="0.35">
      <c r="A1035">
        <v>3034</v>
      </c>
      <c r="B1035" t="s">
        <v>1066</v>
      </c>
      <c r="C1035" t="s">
        <v>56</v>
      </c>
      <c r="D1035" t="s">
        <v>14</v>
      </c>
      <c r="E1035" s="1">
        <v>45908</v>
      </c>
      <c r="F1035">
        <v>38257</v>
      </c>
      <c r="G1035">
        <v>30275</v>
      </c>
      <c r="H1035" t="s">
        <v>53</v>
      </c>
    </row>
    <row r="1036" spans="1:8" x14ac:dyDescent="0.35">
      <c r="A1036">
        <v>3035</v>
      </c>
      <c r="B1036" t="s">
        <v>1067</v>
      </c>
      <c r="C1036" t="s">
        <v>24</v>
      </c>
      <c r="D1036" t="s">
        <v>10</v>
      </c>
      <c r="E1036" s="1">
        <v>45781</v>
      </c>
      <c r="F1036">
        <v>32855</v>
      </c>
      <c r="G1036">
        <v>21587</v>
      </c>
      <c r="H1036" t="s">
        <v>31</v>
      </c>
    </row>
    <row r="1037" spans="1:8" x14ac:dyDescent="0.35">
      <c r="A1037">
        <v>3036</v>
      </c>
      <c r="B1037" t="s">
        <v>1068</v>
      </c>
      <c r="C1037" t="s">
        <v>24</v>
      </c>
      <c r="D1037" t="s">
        <v>21</v>
      </c>
      <c r="E1037" s="1">
        <v>45778</v>
      </c>
      <c r="F1037">
        <v>39642</v>
      </c>
      <c r="G1037">
        <v>38657</v>
      </c>
      <c r="H1037" t="s">
        <v>31</v>
      </c>
    </row>
    <row r="1038" spans="1:8" x14ac:dyDescent="0.35">
      <c r="A1038">
        <v>3037</v>
      </c>
      <c r="B1038" t="s">
        <v>1069</v>
      </c>
      <c r="C1038" t="s">
        <v>24</v>
      </c>
      <c r="D1038" t="s">
        <v>27</v>
      </c>
      <c r="E1038" s="1">
        <v>45932</v>
      </c>
      <c r="F1038">
        <v>55585</v>
      </c>
      <c r="G1038">
        <v>43790</v>
      </c>
      <c r="H1038" t="s">
        <v>22</v>
      </c>
    </row>
    <row r="1039" spans="1:8" x14ac:dyDescent="0.35">
      <c r="A1039">
        <v>3038</v>
      </c>
      <c r="B1039" t="s">
        <v>1070</v>
      </c>
      <c r="C1039" t="s">
        <v>17</v>
      </c>
      <c r="D1039" t="s">
        <v>10</v>
      </c>
      <c r="E1039" s="1">
        <v>45777</v>
      </c>
      <c r="F1039">
        <v>40025</v>
      </c>
      <c r="G1039">
        <v>35540</v>
      </c>
      <c r="H1039" t="s">
        <v>11</v>
      </c>
    </row>
    <row r="1040" spans="1:8" x14ac:dyDescent="0.35">
      <c r="A1040">
        <v>3039</v>
      </c>
      <c r="B1040" t="s">
        <v>1071</v>
      </c>
      <c r="C1040" t="s">
        <v>33</v>
      </c>
      <c r="D1040" t="s">
        <v>21</v>
      </c>
      <c r="E1040" s="1">
        <v>45974</v>
      </c>
      <c r="F1040">
        <v>24458</v>
      </c>
      <c r="G1040">
        <v>15557</v>
      </c>
      <c r="H1040" t="s">
        <v>29</v>
      </c>
    </row>
    <row r="1041" spans="1:8" x14ac:dyDescent="0.35">
      <c r="A1041">
        <v>3040</v>
      </c>
      <c r="B1041" t="s">
        <v>1072</v>
      </c>
      <c r="C1041" t="s">
        <v>17</v>
      </c>
      <c r="D1041" t="s">
        <v>27</v>
      </c>
      <c r="E1041" s="1">
        <v>45821</v>
      </c>
      <c r="F1041">
        <v>25307</v>
      </c>
      <c r="G1041">
        <v>22689</v>
      </c>
      <c r="H1041" t="s">
        <v>67</v>
      </c>
    </row>
    <row r="1042" spans="1:8" x14ac:dyDescent="0.35">
      <c r="A1042">
        <v>3041</v>
      </c>
      <c r="B1042" t="s">
        <v>1073</v>
      </c>
      <c r="C1042" t="s">
        <v>33</v>
      </c>
      <c r="D1042" t="s">
        <v>27</v>
      </c>
      <c r="E1042" s="1">
        <v>45943</v>
      </c>
      <c r="F1042">
        <v>38425</v>
      </c>
      <c r="G1042">
        <v>24666</v>
      </c>
      <c r="H1042" t="s">
        <v>22</v>
      </c>
    </row>
    <row r="1043" spans="1:8" x14ac:dyDescent="0.35">
      <c r="A1043">
        <v>3042</v>
      </c>
      <c r="B1043" t="s">
        <v>1074</v>
      </c>
      <c r="C1043" t="s">
        <v>24</v>
      </c>
      <c r="D1043" t="s">
        <v>10</v>
      </c>
      <c r="E1043" s="1">
        <v>45922</v>
      </c>
      <c r="F1043">
        <v>48273</v>
      </c>
      <c r="G1043">
        <v>35232</v>
      </c>
      <c r="H1043" t="s">
        <v>53</v>
      </c>
    </row>
    <row r="1044" spans="1:8" x14ac:dyDescent="0.35">
      <c r="A1044">
        <v>3043</v>
      </c>
      <c r="B1044" t="s">
        <v>1075</v>
      </c>
      <c r="C1044" t="s">
        <v>24</v>
      </c>
      <c r="D1044" t="s">
        <v>18</v>
      </c>
      <c r="E1044" s="1">
        <v>45977</v>
      </c>
      <c r="F1044">
        <v>58506</v>
      </c>
      <c r="G1044">
        <v>52217</v>
      </c>
      <c r="H1044" t="s">
        <v>29</v>
      </c>
    </row>
    <row r="1045" spans="1:8" x14ac:dyDescent="0.35">
      <c r="A1045">
        <v>3044</v>
      </c>
      <c r="B1045" t="s">
        <v>1076</v>
      </c>
      <c r="C1045" t="s">
        <v>17</v>
      </c>
      <c r="D1045" t="s">
        <v>18</v>
      </c>
      <c r="E1045" s="1">
        <v>45818</v>
      </c>
      <c r="F1045">
        <v>25668</v>
      </c>
      <c r="G1045">
        <v>16065</v>
      </c>
      <c r="H1045" t="s">
        <v>67</v>
      </c>
    </row>
    <row r="1046" spans="1:8" x14ac:dyDescent="0.35">
      <c r="A1046">
        <v>3045</v>
      </c>
      <c r="B1046" t="s">
        <v>1077</v>
      </c>
      <c r="C1046" t="s">
        <v>17</v>
      </c>
      <c r="D1046" t="s">
        <v>27</v>
      </c>
      <c r="E1046" s="1">
        <v>45965</v>
      </c>
      <c r="F1046">
        <v>45934</v>
      </c>
      <c r="G1046">
        <v>39006</v>
      </c>
      <c r="H1046" t="s">
        <v>29</v>
      </c>
    </row>
    <row r="1047" spans="1:8" x14ac:dyDescent="0.35">
      <c r="A1047">
        <v>3046</v>
      </c>
      <c r="B1047" t="s">
        <v>1078</v>
      </c>
      <c r="C1047" t="s">
        <v>33</v>
      </c>
      <c r="D1047" t="s">
        <v>18</v>
      </c>
      <c r="E1047" s="1">
        <v>45746</v>
      </c>
      <c r="F1047">
        <v>27697</v>
      </c>
      <c r="G1047">
        <v>22329</v>
      </c>
      <c r="H1047" t="s">
        <v>19</v>
      </c>
    </row>
    <row r="1048" spans="1:8" x14ac:dyDescent="0.35">
      <c r="A1048">
        <v>3047</v>
      </c>
      <c r="B1048" t="s">
        <v>1079</v>
      </c>
      <c r="C1048" t="s">
        <v>13</v>
      </c>
      <c r="D1048" t="s">
        <v>37</v>
      </c>
      <c r="E1048" s="1">
        <v>45799</v>
      </c>
      <c r="F1048">
        <v>44417</v>
      </c>
      <c r="G1048">
        <v>39796</v>
      </c>
      <c r="H1048" t="s">
        <v>31</v>
      </c>
    </row>
    <row r="1049" spans="1:8" x14ac:dyDescent="0.35">
      <c r="A1049">
        <v>3048</v>
      </c>
      <c r="B1049" t="s">
        <v>1080</v>
      </c>
      <c r="C1049" t="s">
        <v>33</v>
      </c>
      <c r="D1049" t="s">
        <v>27</v>
      </c>
      <c r="E1049" s="1">
        <v>45860</v>
      </c>
      <c r="F1049">
        <v>36446</v>
      </c>
      <c r="G1049">
        <v>26769</v>
      </c>
      <c r="H1049" t="s">
        <v>43</v>
      </c>
    </row>
    <row r="1050" spans="1:8" x14ac:dyDescent="0.35">
      <c r="A1050">
        <v>3049</v>
      </c>
      <c r="B1050" t="s">
        <v>1081</v>
      </c>
      <c r="C1050" t="s">
        <v>17</v>
      </c>
      <c r="D1050" t="s">
        <v>27</v>
      </c>
      <c r="E1050" s="1">
        <v>45966</v>
      </c>
      <c r="F1050">
        <v>30751</v>
      </c>
      <c r="G1050">
        <v>16403</v>
      </c>
      <c r="H1050" t="s">
        <v>29</v>
      </c>
    </row>
    <row r="1051" spans="1:8" x14ac:dyDescent="0.35">
      <c r="A1051">
        <v>3050</v>
      </c>
      <c r="B1051" t="s">
        <v>1082</v>
      </c>
      <c r="C1051" t="s">
        <v>45</v>
      </c>
      <c r="D1051" t="s">
        <v>21</v>
      </c>
      <c r="E1051" s="1">
        <v>45884</v>
      </c>
      <c r="F1051">
        <v>27352</v>
      </c>
      <c r="G1051">
        <v>16210</v>
      </c>
      <c r="H1051" t="s">
        <v>38</v>
      </c>
    </row>
    <row r="1052" spans="1:8" x14ac:dyDescent="0.35">
      <c r="A1052">
        <v>3051</v>
      </c>
      <c r="B1052" t="s">
        <v>1083</v>
      </c>
      <c r="C1052" t="s">
        <v>17</v>
      </c>
      <c r="D1052" t="s">
        <v>18</v>
      </c>
      <c r="E1052" s="1">
        <v>45991</v>
      </c>
      <c r="F1052">
        <v>33516</v>
      </c>
      <c r="G1052">
        <v>18797</v>
      </c>
      <c r="H1052" t="s">
        <v>29</v>
      </c>
    </row>
    <row r="1053" spans="1:8" x14ac:dyDescent="0.35">
      <c r="A1053">
        <v>3052</v>
      </c>
      <c r="B1053" t="s">
        <v>1084</v>
      </c>
      <c r="C1053" t="s">
        <v>45</v>
      </c>
      <c r="D1053" t="s">
        <v>27</v>
      </c>
      <c r="E1053" s="1">
        <v>45879</v>
      </c>
      <c r="F1053">
        <v>43299</v>
      </c>
      <c r="G1053">
        <v>30456</v>
      </c>
      <c r="H1053" t="s">
        <v>38</v>
      </c>
    </row>
    <row r="1054" spans="1:8" x14ac:dyDescent="0.35">
      <c r="A1054">
        <v>3053</v>
      </c>
      <c r="B1054" t="s">
        <v>1085</v>
      </c>
      <c r="C1054" t="s">
        <v>56</v>
      </c>
      <c r="D1054" t="s">
        <v>37</v>
      </c>
      <c r="E1054" s="1">
        <v>45698</v>
      </c>
      <c r="F1054">
        <v>51957</v>
      </c>
      <c r="G1054">
        <v>40831</v>
      </c>
      <c r="H1054" t="s">
        <v>77</v>
      </c>
    </row>
    <row r="1055" spans="1:8" x14ac:dyDescent="0.35">
      <c r="A1055">
        <v>3054</v>
      </c>
      <c r="B1055" t="s">
        <v>1086</v>
      </c>
      <c r="C1055" t="s">
        <v>17</v>
      </c>
      <c r="D1055" t="s">
        <v>21</v>
      </c>
      <c r="E1055" s="1">
        <v>45853</v>
      </c>
      <c r="F1055">
        <v>48927</v>
      </c>
      <c r="G1055">
        <v>41361</v>
      </c>
      <c r="H1055" t="s">
        <v>43</v>
      </c>
    </row>
    <row r="1056" spans="1:8" x14ac:dyDescent="0.35">
      <c r="A1056">
        <v>3055</v>
      </c>
      <c r="B1056" t="s">
        <v>1087</v>
      </c>
      <c r="C1056" t="s">
        <v>56</v>
      </c>
      <c r="D1056" t="s">
        <v>10</v>
      </c>
      <c r="E1056" s="1">
        <v>45725</v>
      </c>
      <c r="F1056">
        <v>56412</v>
      </c>
      <c r="G1056">
        <v>44106</v>
      </c>
      <c r="H1056" t="s">
        <v>19</v>
      </c>
    </row>
    <row r="1057" spans="1:8" x14ac:dyDescent="0.35">
      <c r="A1057">
        <v>3056</v>
      </c>
      <c r="B1057" t="s">
        <v>1088</v>
      </c>
      <c r="C1057" t="s">
        <v>13</v>
      </c>
      <c r="D1057" t="s">
        <v>27</v>
      </c>
      <c r="E1057" s="1">
        <v>45921</v>
      </c>
      <c r="F1057">
        <v>49493</v>
      </c>
      <c r="G1057">
        <v>44823</v>
      </c>
      <c r="H1057" t="s">
        <v>53</v>
      </c>
    </row>
    <row r="1058" spans="1:8" x14ac:dyDescent="0.35">
      <c r="A1058">
        <v>3057</v>
      </c>
      <c r="B1058" t="s">
        <v>1089</v>
      </c>
      <c r="C1058" t="s">
        <v>33</v>
      </c>
      <c r="D1058" t="s">
        <v>37</v>
      </c>
      <c r="E1058" s="1">
        <v>45659</v>
      </c>
      <c r="F1058">
        <v>46711</v>
      </c>
      <c r="G1058">
        <v>39053</v>
      </c>
      <c r="H1058" t="s">
        <v>15</v>
      </c>
    </row>
    <row r="1059" spans="1:8" x14ac:dyDescent="0.35">
      <c r="A1059">
        <v>3058</v>
      </c>
      <c r="B1059" t="s">
        <v>1090</v>
      </c>
      <c r="C1059" t="s">
        <v>45</v>
      </c>
      <c r="D1059" t="s">
        <v>14</v>
      </c>
      <c r="E1059" s="1">
        <v>46018</v>
      </c>
      <c r="F1059">
        <v>28003</v>
      </c>
      <c r="G1059">
        <v>27000</v>
      </c>
      <c r="H1059" t="s">
        <v>25</v>
      </c>
    </row>
    <row r="1060" spans="1:8" x14ac:dyDescent="0.35">
      <c r="A1060">
        <v>3059</v>
      </c>
      <c r="B1060" t="s">
        <v>1091</v>
      </c>
      <c r="C1060" t="s">
        <v>33</v>
      </c>
      <c r="D1060" t="s">
        <v>37</v>
      </c>
      <c r="E1060" s="1">
        <v>45782</v>
      </c>
      <c r="F1060">
        <v>51707</v>
      </c>
      <c r="G1060">
        <v>41049</v>
      </c>
      <c r="H1060" t="s">
        <v>31</v>
      </c>
    </row>
    <row r="1061" spans="1:8" x14ac:dyDescent="0.35">
      <c r="A1061">
        <v>3060</v>
      </c>
      <c r="B1061" t="s">
        <v>1092</v>
      </c>
      <c r="C1061" t="s">
        <v>56</v>
      </c>
      <c r="D1061" t="s">
        <v>37</v>
      </c>
      <c r="E1061" s="1">
        <v>45767</v>
      </c>
      <c r="F1061">
        <v>23278</v>
      </c>
      <c r="G1061">
        <v>15774</v>
      </c>
      <c r="H1061" t="s">
        <v>11</v>
      </c>
    </row>
    <row r="1062" spans="1:8" x14ac:dyDescent="0.35">
      <c r="A1062">
        <v>3061</v>
      </c>
      <c r="B1062" t="s">
        <v>1093</v>
      </c>
      <c r="C1062" t="s">
        <v>45</v>
      </c>
      <c r="D1062" t="s">
        <v>21</v>
      </c>
      <c r="E1062" s="1">
        <v>45743</v>
      </c>
      <c r="F1062">
        <v>27296</v>
      </c>
      <c r="G1062">
        <v>24830</v>
      </c>
      <c r="H1062" t="s">
        <v>19</v>
      </c>
    </row>
    <row r="1063" spans="1:8" x14ac:dyDescent="0.35">
      <c r="A1063">
        <v>3062</v>
      </c>
      <c r="B1063" t="s">
        <v>1094</v>
      </c>
      <c r="C1063" t="s">
        <v>33</v>
      </c>
      <c r="D1063" t="s">
        <v>10</v>
      </c>
      <c r="E1063" s="1">
        <v>45777</v>
      </c>
      <c r="F1063">
        <v>45398</v>
      </c>
      <c r="G1063">
        <v>35268</v>
      </c>
      <c r="H1063" t="s">
        <v>11</v>
      </c>
    </row>
    <row r="1064" spans="1:8" x14ac:dyDescent="0.35">
      <c r="A1064">
        <v>3063</v>
      </c>
      <c r="B1064" t="s">
        <v>1095</v>
      </c>
      <c r="C1064" t="s">
        <v>17</v>
      </c>
      <c r="D1064" t="s">
        <v>14</v>
      </c>
      <c r="E1064" s="1">
        <v>45784</v>
      </c>
      <c r="F1064">
        <v>55842</v>
      </c>
      <c r="G1064">
        <v>53903</v>
      </c>
      <c r="H1064" t="s">
        <v>31</v>
      </c>
    </row>
    <row r="1065" spans="1:8" x14ac:dyDescent="0.35">
      <c r="A1065">
        <v>3064</v>
      </c>
      <c r="B1065" t="s">
        <v>1096</v>
      </c>
      <c r="C1065" t="s">
        <v>24</v>
      </c>
      <c r="D1065" t="s">
        <v>18</v>
      </c>
      <c r="E1065" s="1">
        <v>45912</v>
      </c>
      <c r="F1065">
        <v>33261</v>
      </c>
      <c r="G1065">
        <v>31626</v>
      </c>
      <c r="H1065" t="s">
        <v>53</v>
      </c>
    </row>
    <row r="1066" spans="1:8" x14ac:dyDescent="0.35">
      <c r="A1066">
        <v>3065</v>
      </c>
      <c r="B1066" t="s">
        <v>1097</v>
      </c>
      <c r="C1066" t="s">
        <v>56</v>
      </c>
      <c r="D1066" t="s">
        <v>18</v>
      </c>
      <c r="E1066" s="1">
        <v>45840</v>
      </c>
      <c r="F1066">
        <v>31173</v>
      </c>
      <c r="G1066">
        <v>21283</v>
      </c>
      <c r="H1066" t="s">
        <v>43</v>
      </c>
    </row>
    <row r="1067" spans="1:8" x14ac:dyDescent="0.35">
      <c r="A1067">
        <v>3066</v>
      </c>
      <c r="B1067" t="s">
        <v>1098</v>
      </c>
      <c r="C1067" t="s">
        <v>33</v>
      </c>
      <c r="D1067" t="s">
        <v>37</v>
      </c>
      <c r="E1067" s="1">
        <v>45673</v>
      </c>
      <c r="F1067">
        <v>50449</v>
      </c>
      <c r="G1067">
        <v>42354</v>
      </c>
      <c r="H1067" t="s">
        <v>15</v>
      </c>
    </row>
    <row r="1068" spans="1:8" x14ac:dyDescent="0.35">
      <c r="A1068">
        <v>3067</v>
      </c>
      <c r="B1068" t="s">
        <v>1099</v>
      </c>
      <c r="C1068" t="s">
        <v>56</v>
      </c>
      <c r="D1068" t="s">
        <v>21</v>
      </c>
      <c r="E1068" s="1">
        <v>45719</v>
      </c>
      <c r="F1068">
        <v>21637</v>
      </c>
      <c r="G1068">
        <v>15372</v>
      </c>
      <c r="H1068" t="s">
        <v>19</v>
      </c>
    </row>
    <row r="1069" spans="1:8" x14ac:dyDescent="0.35">
      <c r="A1069">
        <v>3068</v>
      </c>
      <c r="B1069" t="s">
        <v>1100</v>
      </c>
      <c r="C1069" t="s">
        <v>9</v>
      </c>
      <c r="D1069" t="s">
        <v>21</v>
      </c>
      <c r="E1069" s="1">
        <v>45815</v>
      </c>
      <c r="F1069">
        <v>51781</v>
      </c>
      <c r="G1069">
        <v>39062</v>
      </c>
      <c r="H1069" t="s">
        <v>67</v>
      </c>
    </row>
    <row r="1070" spans="1:8" x14ac:dyDescent="0.35">
      <c r="A1070">
        <v>3069</v>
      </c>
      <c r="B1070" t="s">
        <v>1101</v>
      </c>
      <c r="C1070" t="s">
        <v>56</v>
      </c>
      <c r="D1070" t="s">
        <v>18</v>
      </c>
      <c r="E1070" s="1">
        <v>45925</v>
      </c>
      <c r="F1070">
        <v>33652</v>
      </c>
      <c r="G1070">
        <v>23369</v>
      </c>
      <c r="H1070" t="s">
        <v>53</v>
      </c>
    </row>
    <row r="1071" spans="1:8" x14ac:dyDescent="0.35">
      <c r="A1071">
        <v>3070</v>
      </c>
      <c r="B1071" t="s">
        <v>1102</v>
      </c>
      <c r="C1071" t="s">
        <v>45</v>
      </c>
      <c r="D1071" t="s">
        <v>14</v>
      </c>
      <c r="E1071" s="1">
        <v>45692</v>
      </c>
      <c r="F1071">
        <v>25103</v>
      </c>
      <c r="G1071">
        <v>23208</v>
      </c>
      <c r="H1071" t="s">
        <v>77</v>
      </c>
    </row>
    <row r="1072" spans="1:8" x14ac:dyDescent="0.35">
      <c r="A1072">
        <v>3071</v>
      </c>
      <c r="B1072" t="s">
        <v>1103</v>
      </c>
      <c r="C1072" t="s">
        <v>9</v>
      </c>
      <c r="D1072" t="s">
        <v>10</v>
      </c>
      <c r="E1072" s="1">
        <v>45924</v>
      </c>
      <c r="F1072">
        <v>45500</v>
      </c>
      <c r="G1072">
        <v>31269</v>
      </c>
      <c r="H1072" t="s">
        <v>53</v>
      </c>
    </row>
    <row r="1073" spans="1:8" x14ac:dyDescent="0.35">
      <c r="A1073">
        <v>3072</v>
      </c>
      <c r="B1073" t="s">
        <v>1104</v>
      </c>
      <c r="C1073" t="s">
        <v>45</v>
      </c>
      <c r="D1073" t="s">
        <v>14</v>
      </c>
      <c r="E1073" s="1">
        <v>45721</v>
      </c>
      <c r="F1073">
        <v>54800</v>
      </c>
      <c r="G1073">
        <v>41172</v>
      </c>
      <c r="H1073" t="s">
        <v>19</v>
      </c>
    </row>
    <row r="1074" spans="1:8" x14ac:dyDescent="0.35">
      <c r="A1074">
        <v>3073</v>
      </c>
      <c r="B1074" t="s">
        <v>1105</v>
      </c>
      <c r="C1074" t="s">
        <v>24</v>
      </c>
      <c r="D1074" t="s">
        <v>27</v>
      </c>
      <c r="E1074" s="1">
        <v>45707</v>
      </c>
      <c r="F1074">
        <v>55529</v>
      </c>
      <c r="G1074">
        <v>49005</v>
      </c>
      <c r="H1074" t="s">
        <v>77</v>
      </c>
    </row>
    <row r="1075" spans="1:8" x14ac:dyDescent="0.35">
      <c r="A1075">
        <v>3074</v>
      </c>
      <c r="B1075" t="s">
        <v>1106</v>
      </c>
      <c r="C1075" t="s">
        <v>9</v>
      </c>
      <c r="D1075" t="s">
        <v>27</v>
      </c>
      <c r="E1075" s="1">
        <v>45912</v>
      </c>
      <c r="F1075">
        <v>38452</v>
      </c>
      <c r="G1075">
        <v>26020</v>
      </c>
      <c r="H1075" t="s">
        <v>53</v>
      </c>
    </row>
    <row r="1076" spans="1:8" x14ac:dyDescent="0.35">
      <c r="A1076">
        <v>3075</v>
      </c>
      <c r="B1076" t="s">
        <v>1107</v>
      </c>
      <c r="C1076" t="s">
        <v>17</v>
      </c>
      <c r="D1076" t="s">
        <v>10</v>
      </c>
      <c r="E1076" s="1">
        <v>45806</v>
      </c>
      <c r="F1076">
        <v>51174</v>
      </c>
      <c r="G1076">
        <v>39584</v>
      </c>
      <c r="H1076" t="s">
        <v>31</v>
      </c>
    </row>
    <row r="1077" spans="1:8" x14ac:dyDescent="0.35">
      <c r="A1077">
        <v>3076</v>
      </c>
      <c r="B1077" t="s">
        <v>1108</v>
      </c>
      <c r="C1077" t="s">
        <v>56</v>
      </c>
      <c r="D1077" t="s">
        <v>18</v>
      </c>
      <c r="E1077" s="1">
        <v>45982</v>
      </c>
      <c r="F1077">
        <v>55436</v>
      </c>
      <c r="G1077">
        <v>40738</v>
      </c>
      <c r="H1077" t="s">
        <v>29</v>
      </c>
    </row>
    <row r="1078" spans="1:8" x14ac:dyDescent="0.35">
      <c r="A1078">
        <v>3077</v>
      </c>
      <c r="B1078" t="s">
        <v>1109</v>
      </c>
      <c r="C1078" t="s">
        <v>33</v>
      </c>
      <c r="D1078" t="s">
        <v>10</v>
      </c>
      <c r="E1078" s="1">
        <v>45961</v>
      </c>
      <c r="F1078">
        <v>35954</v>
      </c>
      <c r="G1078">
        <v>34881</v>
      </c>
      <c r="H1078" t="s">
        <v>22</v>
      </c>
    </row>
    <row r="1079" spans="1:8" x14ac:dyDescent="0.35">
      <c r="A1079">
        <v>3078</v>
      </c>
      <c r="B1079" t="s">
        <v>1110</v>
      </c>
      <c r="C1079" t="s">
        <v>13</v>
      </c>
      <c r="D1079" t="s">
        <v>21</v>
      </c>
      <c r="E1079" s="1">
        <v>45933</v>
      </c>
      <c r="F1079">
        <v>37186</v>
      </c>
      <c r="G1079">
        <v>32002</v>
      </c>
      <c r="H1079" t="s">
        <v>22</v>
      </c>
    </row>
    <row r="1080" spans="1:8" x14ac:dyDescent="0.35">
      <c r="A1080">
        <v>3079</v>
      </c>
      <c r="B1080" t="s">
        <v>1111</v>
      </c>
      <c r="C1080" t="s">
        <v>56</v>
      </c>
      <c r="D1080" t="s">
        <v>27</v>
      </c>
      <c r="E1080" s="1">
        <v>46014</v>
      </c>
      <c r="F1080">
        <v>32356</v>
      </c>
      <c r="G1080">
        <v>29954</v>
      </c>
      <c r="H1080" t="s">
        <v>25</v>
      </c>
    </row>
    <row r="1081" spans="1:8" x14ac:dyDescent="0.35">
      <c r="A1081">
        <v>3080</v>
      </c>
      <c r="B1081" t="s">
        <v>1112</v>
      </c>
      <c r="C1081" t="s">
        <v>56</v>
      </c>
      <c r="D1081" t="s">
        <v>37</v>
      </c>
      <c r="E1081" s="1">
        <v>45829</v>
      </c>
      <c r="F1081">
        <v>52963</v>
      </c>
      <c r="G1081">
        <v>48068</v>
      </c>
      <c r="H1081" t="s">
        <v>67</v>
      </c>
    </row>
    <row r="1082" spans="1:8" x14ac:dyDescent="0.35">
      <c r="A1082">
        <v>3081</v>
      </c>
      <c r="B1082" t="s">
        <v>1113</v>
      </c>
      <c r="C1082" t="s">
        <v>24</v>
      </c>
      <c r="D1082" t="s">
        <v>37</v>
      </c>
      <c r="E1082" s="1">
        <v>45858</v>
      </c>
      <c r="F1082">
        <v>22187</v>
      </c>
      <c r="G1082">
        <v>14856</v>
      </c>
      <c r="H1082" t="s">
        <v>43</v>
      </c>
    </row>
    <row r="1083" spans="1:8" x14ac:dyDescent="0.35">
      <c r="A1083">
        <v>3082</v>
      </c>
      <c r="B1083" t="s">
        <v>1114</v>
      </c>
      <c r="C1083" t="s">
        <v>17</v>
      </c>
      <c r="D1083" t="s">
        <v>18</v>
      </c>
      <c r="E1083" s="1">
        <v>45981</v>
      </c>
      <c r="F1083">
        <v>31707</v>
      </c>
      <c r="G1083">
        <v>20303</v>
      </c>
      <c r="H1083" t="s">
        <v>29</v>
      </c>
    </row>
    <row r="1084" spans="1:8" x14ac:dyDescent="0.35">
      <c r="A1084">
        <v>3083</v>
      </c>
      <c r="B1084" t="s">
        <v>1115</v>
      </c>
      <c r="C1084" t="s">
        <v>13</v>
      </c>
      <c r="D1084" t="s">
        <v>21</v>
      </c>
      <c r="E1084" s="1">
        <v>45692</v>
      </c>
      <c r="F1084">
        <v>55098</v>
      </c>
      <c r="G1084">
        <v>42869</v>
      </c>
      <c r="H1084" t="s">
        <v>77</v>
      </c>
    </row>
    <row r="1085" spans="1:8" x14ac:dyDescent="0.35">
      <c r="A1085">
        <v>3084</v>
      </c>
      <c r="B1085" t="s">
        <v>1116</v>
      </c>
      <c r="C1085" t="s">
        <v>9</v>
      </c>
      <c r="D1085" t="s">
        <v>14</v>
      </c>
      <c r="E1085" s="1">
        <v>45873</v>
      </c>
      <c r="F1085">
        <v>46935</v>
      </c>
      <c r="G1085">
        <v>37592</v>
      </c>
      <c r="H1085" t="s">
        <v>38</v>
      </c>
    </row>
    <row r="1086" spans="1:8" x14ac:dyDescent="0.35">
      <c r="A1086">
        <v>3085</v>
      </c>
      <c r="B1086" t="s">
        <v>1117</v>
      </c>
      <c r="C1086" t="s">
        <v>9</v>
      </c>
      <c r="D1086" t="s">
        <v>21</v>
      </c>
      <c r="E1086" s="1">
        <v>45722</v>
      </c>
      <c r="F1086">
        <v>41225</v>
      </c>
      <c r="G1086">
        <v>30588</v>
      </c>
      <c r="H1086" t="s">
        <v>19</v>
      </c>
    </row>
    <row r="1087" spans="1:8" x14ac:dyDescent="0.35">
      <c r="A1087">
        <v>3086</v>
      </c>
      <c r="B1087" t="s">
        <v>1118</v>
      </c>
      <c r="C1087" t="s">
        <v>9</v>
      </c>
      <c r="D1087" t="s">
        <v>37</v>
      </c>
      <c r="E1087" s="1">
        <v>45665</v>
      </c>
      <c r="F1087">
        <v>23606</v>
      </c>
      <c r="G1087">
        <v>21650</v>
      </c>
      <c r="H1087" t="s">
        <v>15</v>
      </c>
    </row>
    <row r="1088" spans="1:8" x14ac:dyDescent="0.35">
      <c r="A1088">
        <v>3087</v>
      </c>
      <c r="B1088" t="s">
        <v>1119</v>
      </c>
      <c r="C1088" t="s">
        <v>45</v>
      </c>
      <c r="D1088" t="s">
        <v>37</v>
      </c>
      <c r="E1088" s="1">
        <v>45958</v>
      </c>
      <c r="F1088">
        <v>52828</v>
      </c>
      <c r="G1088">
        <v>45805</v>
      </c>
      <c r="H1088" t="s">
        <v>22</v>
      </c>
    </row>
    <row r="1089" spans="1:8" x14ac:dyDescent="0.35">
      <c r="A1089">
        <v>3088</v>
      </c>
      <c r="B1089" t="s">
        <v>1120</v>
      </c>
      <c r="C1089" t="s">
        <v>45</v>
      </c>
      <c r="D1089" t="s">
        <v>27</v>
      </c>
      <c r="E1089" s="1">
        <v>46000</v>
      </c>
      <c r="F1089">
        <v>46489</v>
      </c>
      <c r="G1089">
        <v>33739</v>
      </c>
      <c r="H1089" t="s">
        <v>25</v>
      </c>
    </row>
    <row r="1090" spans="1:8" x14ac:dyDescent="0.35">
      <c r="A1090">
        <v>3089</v>
      </c>
      <c r="B1090" t="s">
        <v>1121</v>
      </c>
      <c r="C1090" t="s">
        <v>33</v>
      </c>
      <c r="D1090" t="s">
        <v>21</v>
      </c>
      <c r="E1090" s="1">
        <v>45989</v>
      </c>
      <c r="F1090">
        <v>34387</v>
      </c>
      <c r="G1090">
        <v>20325</v>
      </c>
      <c r="H1090" t="s">
        <v>29</v>
      </c>
    </row>
    <row r="1091" spans="1:8" x14ac:dyDescent="0.35">
      <c r="A1091">
        <v>3090</v>
      </c>
      <c r="B1091" t="s">
        <v>1122</v>
      </c>
      <c r="C1091" t="s">
        <v>13</v>
      </c>
      <c r="D1091" t="s">
        <v>21</v>
      </c>
      <c r="E1091" s="1">
        <v>45733</v>
      </c>
      <c r="F1091">
        <v>23927</v>
      </c>
      <c r="G1091">
        <v>9594</v>
      </c>
      <c r="H1091" t="s">
        <v>19</v>
      </c>
    </row>
    <row r="1092" spans="1:8" x14ac:dyDescent="0.35">
      <c r="A1092">
        <v>3091</v>
      </c>
      <c r="B1092" t="s">
        <v>1123</v>
      </c>
      <c r="C1092" t="s">
        <v>9</v>
      </c>
      <c r="D1092" t="s">
        <v>37</v>
      </c>
      <c r="E1092" s="1">
        <v>45831</v>
      </c>
      <c r="F1092">
        <v>26296</v>
      </c>
      <c r="G1092">
        <v>22389</v>
      </c>
      <c r="H1092" t="s">
        <v>67</v>
      </c>
    </row>
    <row r="1093" spans="1:8" x14ac:dyDescent="0.35">
      <c r="A1093">
        <v>3092</v>
      </c>
      <c r="B1093" t="s">
        <v>1124</v>
      </c>
      <c r="C1093" t="s">
        <v>45</v>
      </c>
      <c r="D1093" t="s">
        <v>14</v>
      </c>
      <c r="E1093" s="1">
        <v>45704</v>
      </c>
      <c r="F1093">
        <v>50444</v>
      </c>
      <c r="G1093">
        <v>49637</v>
      </c>
      <c r="H1093" t="s">
        <v>77</v>
      </c>
    </row>
    <row r="1094" spans="1:8" x14ac:dyDescent="0.35">
      <c r="A1094">
        <v>3093</v>
      </c>
      <c r="B1094" t="s">
        <v>1125</v>
      </c>
      <c r="C1094" t="s">
        <v>33</v>
      </c>
      <c r="D1094" t="s">
        <v>18</v>
      </c>
      <c r="E1094" s="1">
        <v>45672</v>
      </c>
      <c r="F1094">
        <v>22591</v>
      </c>
      <c r="G1094">
        <v>14213</v>
      </c>
      <c r="H1094" t="s">
        <v>15</v>
      </c>
    </row>
    <row r="1095" spans="1:8" x14ac:dyDescent="0.35">
      <c r="A1095">
        <v>3094</v>
      </c>
      <c r="B1095" t="s">
        <v>1126</v>
      </c>
      <c r="C1095" t="s">
        <v>17</v>
      </c>
      <c r="D1095" t="s">
        <v>18</v>
      </c>
      <c r="E1095" s="1">
        <v>46018</v>
      </c>
      <c r="F1095">
        <v>46147</v>
      </c>
      <c r="G1095">
        <v>32116</v>
      </c>
      <c r="H1095" t="s">
        <v>25</v>
      </c>
    </row>
    <row r="1096" spans="1:8" x14ac:dyDescent="0.35">
      <c r="A1096">
        <v>3095</v>
      </c>
      <c r="B1096" t="s">
        <v>1127</v>
      </c>
      <c r="C1096" t="s">
        <v>33</v>
      </c>
      <c r="D1096" t="s">
        <v>21</v>
      </c>
      <c r="E1096" s="1">
        <v>45804</v>
      </c>
      <c r="F1096">
        <v>58889</v>
      </c>
      <c r="G1096">
        <v>54062</v>
      </c>
      <c r="H1096" t="s">
        <v>31</v>
      </c>
    </row>
    <row r="1097" spans="1:8" x14ac:dyDescent="0.35">
      <c r="A1097">
        <v>3096</v>
      </c>
      <c r="B1097" t="s">
        <v>1128</v>
      </c>
      <c r="C1097" t="s">
        <v>45</v>
      </c>
      <c r="D1097" t="s">
        <v>18</v>
      </c>
      <c r="E1097" s="1">
        <v>45683</v>
      </c>
      <c r="F1097">
        <v>21200</v>
      </c>
      <c r="G1097">
        <v>6977</v>
      </c>
      <c r="H1097" t="s">
        <v>15</v>
      </c>
    </row>
    <row r="1098" spans="1:8" x14ac:dyDescent="0.35">
      <c r="A1098">
        <v>3097</v>
      </c>
      <c r="B1098" t="s">
        <v>1129</v>
      </c>
      <c r="C1098" t="s">
        <v>24</v>
      </c>
      <c r="D1098" t="s">
        <v>37</v>
      </c>
      <c r="E1098" s="1">
        <v>45965</v>
      </c>
      <c r="F1098">
        <v>35721</v>
      </c>
      <c r="G1098">
        <v>22220</v>
      </c>
      <c r="H1098" t="s">
        <v>29</v>
      </c>
    </row>
    <row r="1099" spans="1:8" x14ac:dyDescent="0.35">
      <c r="A1099">
        <v>3098</v>
      </c>
      <c r="B1099" t="s">
        <v>1130</v>
      </c>
      <c r="C1099" t="s">
        <v>24</v>
      </c>
      <c r="D1099" t="s">
        <v>37</v>
      </c>
      <c r="E1099" s="1">
        <v>45750</v>
      </c>
      <c r="F1099">
        <v>39238</v>
      </c>
      <c r="G1099">
        <v>25539</v>
      </c>
      <c r="H1099" t="s">
        <v>11</v>
      </c>
    </row>
    <row r="1100" spans="1:8" x14ac:dyDescent="0.35">
      <c r="A1100">
        <v>3099</v>
      </c>
      <c r="B1100" t="s">
        <v>1131</v>
      </c>
      <c r="C1100" t="s">
        <v>9</v>
      </c>
      <c r="D1100" t="s">
        <v>21</v>
      </c>
      <c r="E1100" s="1">
        <v>45889</v>
      </c>
      <c r="F1100">
        <v>31087</v>
      </c>
      <c r="G1100">
        <v>26563</v>
      </c>
      <c r="H1100" t="s">
        <v>38</v>
      </c>
    </row>
    <row r="1101" spans="1:8" x14ac:dyDescent="0.35">
      <c r="A1101">
        <v>3100</v>
      </c>
      <c r="B1101" t="s">
        <v>1132</v>
      </c>
      <c r="C1101" t="s">
        <v>24</v>
      </c>
      <c r="D1101" t="s">
        <v>21</v>
      </c>
      <c r="E1101" s="1">
        <v>45678</v>
      </c>
      <c r="F1101">
        <v>50816</v>
      </c>
      <c r="G1101">
        <v>41317</v>
      </c>
      <c r="H1101" t="s">
        <v>15</v>
      </c>
    </row>
    <row r="1102" spans="1:8" x14ac:dyDescent="0.35">
      <c r="A1102">
        <v>3101</v>
      </c>
      <c r="B1102" t="s">
        <v>1133</v>
      </c>
      <c r="C1102" t="s">
        <v>9</v>
      </c>
      <c r="D1102" t="s">
        <v>27</v>
      </c>
      <c r="E1102" s="1">
        <v>45964</v>
      </c>
      <c r="F1102">
        <v>43408</v>
      </c>
      <c r="G1102">
        <v>41124</v>
      </c>
      <c r="H1102" t="s">
        <v>29</v>
      </c>
    </row>
    <row r="1103" spans="1:8" x14ac:dyDescent="0.35">
      <c r="A1103">
        <v>3102</v>
      </c>
      <c r="B1103" t="s">
        <v>1134</v>
      </c>
      <c r="C1103" t="s">
        <v>9</v>
      </c>
      <c r="D1103" t="s">
        <v>21</v>
      </c>
      <c r="E1103" s="1">
        <v>45695</v>
      </c>
      <c r="F1103">
        <v>59740</v>
      </c>
      <c r="G1103">
        <v>54427</v>
      </c>
      <c r="H1103" t="s">
        <v>77</v>
      </c>
    </row>
    <row r="1104" spans="1:8" x14ac:dyDescent="0.35">
      <c r="A1104">
        <v>3103</v>
      </c>
      <c r="B1104" t="s">
        <v>1135</v>
      </c>
      <c r="C1104" t="s">
        <v>45</v>
      </c>
      <c r="D1104" t="s">
        <v>14</v>
      </c>
      <c r="E1104" s="1">
        <v>45933</v>
      </c>
      <c r="F1104">
        <v>20136</v>
      </c>
      <c r="G1104">
        <v>6538</v>
      </c>
      <c r="H1104" t="s">
        <v>22</v>
      </c>
    </row>
    <row r="1105" spans="1:8" x14ac:dyDescent="0.35">
      <c r="A1105">
        <v>3104</v>
      </c>
      <c r="B1105" t="s">
        <v>1136</v>
      </c>
      <c r="C1105" t="s">
        <v>24</v>
      </c>
      <c r="D1105" t="s">
        <v>18</v>
      </c>
      <c r="E1105" s="1">
        <v>45814</v>
      </c>
      <c r="F1105">
        <v>37413</v>
      </c>
      <c r="G1105">
        <v>24355</v>
      </c>
      <c r="H1105" t="s">
        <v>67</v>
      </c>
    </row>
    <row r="1106" spans="1:8" x14ac:dyDescent="0.35">
      <c r="A1106">
        <v>3105</v>
      </c>
      <c r="B1106" t="s">
        <v>1137</v>
      </c>
      <c r="C1106" t="s">
        <v>9</v>
      </c>
      <c r="D1106" t="s">
        <v>21</v>
      </c>
      <c r="E1106" s="1">
        <v>45836</v>
      </c>
      <c r="F1106">
        <v>38978</v>
      </c>
      <c r="G1106">
        <v>38221</v>
      </c>
      <c r="H1106" t="s">
        <v>67</v>
      </c>
    </row>
    <row r="1107" spans="1:8" x14ac:dyDescent="0.35">
      <c r="A1107">
        <v>3106</v>
      </c>
      <c r="B1107" t="s">
        <v>1138</v>
      </c>
      <c r="C1107" t="s">
        <v>13</v>
      </c>
      <c r="D1107" t="s">
        <v>10</v>
      </c>
      <c r="E1107" s="1">
        <v>45789</v>
      </c>
      <c r="F1107">
        <v>20661</v>
      </c>
      <c r="G1107">
        <v>8238</v>
      </c>
      <c r="H1107" t="s">
        <v>31</v>
      </c>
    </row>
    <row r="1108" spans="1:8" x14ac:dyDescent="0.35">
      <c r="A1108">
        <v>3107</v>
      </c>
      <c r="B1108" t="s">
        <v>1139</v>
      </c>
      <c r="C1108" t="s">
        <v>17</v>
      </c>
      <c r="D1108" t="s">
        <v>27</v>
      </c>
      <c r="E1108" s="1">
        <v>45968</v>
      </c>
      <c r="F1108">
        <v>55240</v>
      </c>
      <c r="G1108">
        <v>50353</v>
      </c>
      <c r="H1108" t="s">
        <v>29</v>
      </c>
    </row>
    <row r="1109" spans="1:8" x14ac:dyDescent="0.35">
      <c r="A1109">
        <v>3108</v>
      </c>
      <c r="B1109" t="s">
        <v>1140</v>
      </c>
      <c r="C1109" t="s">
        <v>33</v>
      </c>
      <c r="D1109" t="s">
        <v>10</v>
      </c>
      <c r="E1109" s="1">
        <v>46005</v>
      </c>
      <c r="F1109">
        <v>47253</v>
      </c>
      <c r="G1109">
        <v>43399</v>
      </c>
      <c r="H1109" t="s">
        <v>25</v>
      </c>
    </row>
    <row r="1110" spans="1:8" x14ac:dyDescent="0.35">
      <c r="A1110">
        <v>3109</v>
      </c>
      <c r="B1110" t="s">
        <v>1141</v>
      </c>
      <c r="C1110" t="s">
        <v>33</v>
      </c>
      <c r="D1110" t="s">
        <v>37</v>
      </c>
      <c r="E1110" s="1">
        <v>45685</v>
      </c>
      <c r="F1110">
        <v>46884</v>
      </c>
      <c r="G1110">
        <v>34426</v>
      </c>
      <c r="H1110" t="s">
        <v>15</v>
      </c>
    </row>
    <row r="1111" spans="1:8" x14ac:dyDescent="0.35">
      <c r="A1111">
        <v>3110</v>
      </c>
      <c r="B1111" t="s">
        <v>1142</v>
      </c>
      <c r="C1111" t="s">
        <v>45</v>
      </c>
      <c r="D1111" t="s">
        <v>18</v>
      </c>
      <c r="E1111" s="1">
        <v>45917</v>
      </c>
      <c r="F1111">
        <v>52854</v>
      </c>
      <c r="G1111">
        <v>42456</v>
      </c>
      <c r="H1111" t="s">
        <v>53</v>
      </c>
    </row>
    <row r="1112" spans="1:8" x14ac:dyDescent="0.35">
      <c r="A1112">
        <v>3111</v>
      </c>
      <c r="B1112" t="s">
        <v>1143</v>
      </c>
      <c r="C1112" t="s">
        <v>24</v>
      </c>
      <c r="D1112" t="s">
        <v>21</v>
      </c>
      <c r="E1112" s="1">
        <v>45733</v>
      </c>
      <c r="F1112">
        <v>30704</v>
      </c>
      <c r="G1112">
        <v>16168</v>
      </c>
      <c r="H1112" t="s">
        <v>19</v>
      </c>
    </row>
    <row r="1113" spans="1:8" x14ac:dyDescent="0.35">
      <c r="A1113">
        <v>3112</v>
      </c>
      <c r="B1113" t="s">
        <v>1144</v>
      </c>
      <c r="C1113" t="s">
        <v>24</v>
      </c>
      <c r="D1113" t="s">
        <v>10</v>
      </c>
      <c r="E1113" s="1">
        <v>45724</v>
      </c>
      <c r="F1113">
        <v>58987</v>
      </c>
      <c r="G1113">
        <v>55429</v>
      </c>
      <c r="H1113" t="s">
        <v>19</v>
      </c>
    </row>
    <row r="1114" spans="1:8" x14ac:dyDescent="0.35">
      <c r="A1114">
        <v>3113</v>
      </c>
      <c r="B1114" t="s">
        <v>1145</v>
      </c>
      <c r="C1114" t="s">
        <v>9</v>
      </c>
      <c r="D1114" t="s">
        <v>18</v>
      </c>
      <c r="E1114" s="1">
        <v>45999</v>
      </c>
      <c r="F1114">
        <v>44527</v>
      </c>
      <c r="G1114">
        <v>34755</v>
      </c>
      <c r="H1114" t="s">
        <v>25</v>
      </c>
    </row>
    <row r="1115" spans="1:8" x14ac:dyDescent="0.35">
      <c r="A1115">
        <v>3114</v>
      </c>
      <c r="B1115" t="s">
        <v>1146</v>
      </c>
      <c r="C1115" t="s">
        <v>56</v>
      </c>
      <c r="D1115" t="s">
        <v>37</v>
      </c>
      <c r="E1115" s="1">
        <v>45851</v>
      </c>
      <c r="F1115">
        <v>36322</v>
      </c>
      <c r="G1115">
        <v>35361</v>
      </c>
      <c r="H1115" t="s">
        <v>43</v>
      </c>
    </row>
    <row r="1116" spans="1:8" x14ac:dyDescent="0.35">
      <c r="A1116">
        <v>3115</v>
      </c>
      <c r="B1116" t="s">
        <v>1147</v>
      </c>
      <c r="C1116" t="s">
        <v>9</v>
      </c>
      <c r="D1116" t="s">
        <v>14</v>
      </c>
      <c r="E1116" s="1">
        <v>45819</v>
      </c>
      <c r="F1116">
        <v>26968</v>
      </c>
      <c r="G1116">
        <v>23121</v>
      </c>
      <c r="H1116" t="s">
        <v>67</v>
      </c>
    </row>
    <row r="1117" spans="1:8" x14ac:dyDescent="0.35">
      <c r="A1117">
        <v>3116</v>
      </c>
      <c r="B1117" t="s">
        <v>1148</v>
      </c>
      <c r="C1117" t="s">
        <v>17</v>
      </c>
      <c r="D1117" t="s">
        <v>27</v>
      </c>
      <c r="E1117" s="1">
        <v>46004</v>
      </c>
      <c r="F1117">
        <v>47518</v>
      </c>
      <c r="G1117">
        <v>40792</v>
      </c>
      <c r="H1117" t="s">
        <v>25</v>
      </c>
    </row>
    <row r="1118" spans="1:8" x14ac:dyDescent="0.35">
      <c r="A1118">
        <v>3117</v>
      </c>
      <c r="B1118" t="s">
        <v>1149</v>
      </c>
      <c r="C1118" t="s">
        <v>13</v>
      </c>
      <c r="D1118" t="s">
        <v>18</v>
      </c>
      <c r="E1118" s="1">
        <v>46018</v>
      </c>
      <c r="F1118">
        <v>47886</v>
      </c>
      <c r="G1118">
        <v>44311</v>
      </c>
      <c r="H1118" t="s">
        <v>25</v>
      </c>
    </row>
    <row r="1119" spans="1:8" x14ac:dyDescent="0.35">
      <c r="A1119">
        <v>3118</v>
      </c>
      <c r="B1119" t="s">
        <v>1150</v>
      </c>
      <c r="C1119" t="s">
        <v>33</v>
      </c>
      <c r="D1119" t="s">
        <v>18</v>
      </c>
      <c r="E1119" s="1">
        <v>45914</v>
      </c>
      <c r="F1119">
        <v>21700</v>
      </c>
      <c r="G1119">
        <v>12633</v>
      </c>
      <c r="H1119" t="s">
        <v>53</v>
      </c>
    </row>
    <row r="1120" spans="1:8" x14ac:dyDescent="0.35">
      <c r="A1120">
        <v>3119</v>
      </c>
      <c r="B1120" t="s">
        <v>1151</v>
      </c>
      <c r="C1120" t="s">
        <v>9</v>
      </c>
      <c r="D1120" t="s">
        <v>14</v>
      </c>
      <c r="E1120" s="1">
        <v>45729</v>
      </c>
      <c r="F1120">
        <v>48246</v>
      </c>
      <c r="G1120">
        <v>45828</v>
      </c>
      <c r="H1120" t="s">
        <v>19</v>
      </c>
    </row>
    <row r="1121" spans="1:8" x14ac:dyDescent="0.35">
      <c r="A1121">
        <v>3120</v>
      </c>
      <c r="B1121" t="s">
        <v>1152</v>
      </c>
      <c r="C1121" t="s">
        <v>56</v>
      </c>
      <c r="D1121" t="s">
        <v>18</v>
      </c>
      <c r="E1121" s="1">
        <v>45744</v>
      </c>
      <c r="F1121">
        <v>55468</v>
      </c>
      <c r="G1121">
        <v>51270</v>
      </c>
      <c r="H1121" t="s">
        <v>19</v>
      </c>
    </row>
    <row r="1122" spans="1:8" x14ac:dyDescent="0.35">
      <c r="A1122">
        <v>3121</v>
      </c>
      <c r="B1122" t="s">
        <v>1153</v>
      </c>
      <c r="C1122" t="s">
        <v>56</v>
      </c>
      <c r="D1122" t="s">
        <v>37</v>
      </c>
      <c r="E1122" s="1">
        <v>45919</v>
      </c>
      <c r="F1122">
        <v>43199</v>
      </c>
      <c r="G1122">
        <v>42198</v>
      </c>
      <c r="H1122" t="s">
        <v>53</v>
      </c>
    </row>
    <row r="1123" spans="1:8" x14ac:dyDescent="0.35">
      <c r="A1123">
        <v>3122</v>
      </c>
      <c r="B1123" t="s">
        <v>1154</v>
      </c>
      <c r="C1123" t="s">
        <v>9</v>
      </c>
      <c r="D1123" t="s">
        <v>37</v>
      </c>
      <c r="E1123" s="1">
        <v>45871</v>
      </c>
      <c r="F1123">
        <v>52115</v>
      </c>
      <c r="G1123">
        <v>46871</v>
      </c>
      <c r="H1123" t="s">
        <v>38</v>
      </c>
    </row>
    <row r="1124" spans="1:8" x14ac:dyDescent="0.35">
      <c r="A1124">
        <v>3123</v>
      </c>
      <c r="B1124" t="s">
        <v>1155</v>
      </c>
      <c r="C1124" t="s">
        <v>45</v>
      </c>
      <c r="D1124" t="s">
        <v>14</v>
      </c>
      <c r="E1124" s="1">
        <v>45810</v>
      </c>
      <c r="F1124">
        <v>25520</v>
      </c>
      <c r="G1124">
        <v>13944</v>
      </c>
      <c r="H1124" t="s">
        <v>67</v>
      </c>
    </row>
    <row r="1125" spans="1:8" x14ac:dyDescent="0.35">
      <c r="A1125">
        <v>3124</v>
      </c>
      <c r="B1125" t="s">
        <v>1156</v>
      </c>
      <c r="C1125" t="s">
        <v>33</v>
      </c>
      <c r="D1125" t="s">
        <v>27</v>
      </c>
      <c r="E1125" s="1">
        <v>45867</v>
      </c>
      <c r="F1125">
        <v>56455</v>
      </c>
      <c r="G1125">
        <v>49336</v>
      </c>
      <c r="H1125" t="s">
        <v>43</v>
      </c>
    </row>
    <row r="1126" spans="1:8" x14ac:dyDescent="0.35">
      <c r="A1126">
        <v>3125</v>
      </c>
      <c r="B1126" t="s">
        <v>1157</v>
      </c>
      <c r="C1126" t="s">
        <v>45</v>
      </c>
      <c r="D1126" t="s">
        <v>21</v>
      </c>
      <c r="E1126" s="1">
        <v>45718</v>
      </c>
      <c r="F1126">
        <v>40929</v>
      </c>
      <c r="G1126">
        <v>36863</v>
      </c>
      <c r="H1126" t="s">
        <v>19</v>
      </c>
    </row>
    <row r="1127" spans="1:8" x14ac:dyDescent="0.35">
      <c r="A1127">
        <v>3126</v>
      </c>
      <c r="B1127" t="s">
        <v>1158</v>
      </c>
      <c r="C1127" t="s">
        <v>13</v>
      </c>
      <c r="D1127" t="s">
        <v>10</v>
      </c>
      <c r="E1127" s="1">
        <v>45925</v>
      </c>
      <c r="F1127">
        <v>34955</v>
      </c>
      <c r="G1127">
        <v>32110</v>
      </c>
      <c r="H1127" t="s">
        <v>53</v>
      </c>
    </row>
    <row r="1128" spans="1:8" x14ac:dyDescent="0.35">
      <c r="A1128">
        <v>3127</v>
      </c>
      <c r="B1128" t="s">
        <v>1159</v>
      </c>
      <c r="C1128" t="s">
        <v>56</v>
      </c>
      <c r="D1128" t="s">
        <v>21</v>
      </c>
      <c r="E1128" s="1">
        <v>45919</v>
      </c>
      <c r="F1128">
        <v>33917</v>
      </c>
      <c r="G1128">
        <v>24244</v>
      </c>
      <c r="H1128" t="s">
        <v>53</v>
      </c>
    </row>
    <row r="1129" spans="1:8" x14ac:dyDescent="0.35">
      <c r="A1129">
        <v>3128</v>
      </c>
      <c r="B1129" t="s">
        <v>1160</v>
      </c>
      <c r="C1129" t="s">
        <v>56</v>
      </c>
      <c r="D1129" t="s">
        <v>18</v>
      </c>
      <c r="E1129" s="1">
        <v>45875</v>
      </c>
      <c r="F1129">
        <v>24757</v>
      </c>
      <c r="G1129">
        <v>13264</v>
      </c>
      <c r="H1129" t="s">
        <v>38</v>
      </c>
    </row>
    <row r="1130" spans="1:8" x14ac:dyDescent="0.35">
      <c r="A1130">
        <v>3129</v>
      </c>
      <c r="B1130" t="s">
        <v>1161</v>
      </c>
      <c r="C1130" t="s">
        <v>17</v>
      </c>
      <c r="D1130" t="s">
        <v>10</v>
      </c>
      <c r="E1130" s="1">
        <v>45940</v>
      </c>
      <c r="F1130">
        <v>33045</v>
      </c>
      <c r="G1130">
        <v>24196</v>
      </c>
      <c r="H1130" t="s">
        <v>22</v>
      </c>
    </row>
    <row r="1131" spans="1:8" x14ac:dyDescent="0.35">
      <c r="A1131">
        <v>3130</v>
      </c>
      <c r="B1131" t="s">
        <v>1162</v>
      </c>
      <c r="C1131" t="s">
        <v>13</v>
      </c>
      <c r="D1131" t="s">
        <v>14</v>
      </c>
      <c r="E1131" s="1">
        <v>45793</v>
      </c>
      <c r="F1131">
        <v>24733</v>
      </c>
      <c r="G1131">
        <v>19417</v>
      </c>
      <c r="H1131" t="s">
        <v>31</v>
      </c>
    </row>
    <row r="1132" spans="1:8" x14ac:dyDescent="0.35">
      <c r="A1132">
        <v>3131</v>
      </c>
      <c r="B1132" t="s">
        <v>1163</v>
      </c>
      <c r="C1132" t="s">
        <v>56</v>
      </c>
      <c r="D1132" t="s">
        <v>14</v>
      </c>
      <c r="E1132" s="1">
        <v>46019</v>
      </c>
      <c r="F1132">
        <v>50954</v>
      </c>
      <c r="G1132">
        <v>39982</v>
      </c>
      <c r="H1132" t="s">
        <v>25</v>
      </c>
    </row>
    <row r="1133" spans="1:8" x14ac:dyDescent="0.35">
      <c r="A1133">
        <v>3132</v>
      </c>
      <c r="B1133" t="s">
        <v>1164</v>
      </c>
      <c r="C1133" t="s">
        <v>13</v>
      </c>
      <c r="D1133" t="s">
        <v>27</v>
      </c>
      <c r="E1133" s="1">
        <v>45750</v>
      </c>
      <c r="F1133">
        <v>51135</v>
      </c>
      <c r="G1133">
        <v>50713</v>
      </c>
      <c r="H1133" t="s">
        <v>11</v>
      </c>
    </row>
    <row r="1134" spans="1:8" x14ac:dyDescent="0.35">
      <c r="A1134">
        <v>3133</v>
      </c>
      <c r="B1134" t="s">
        <v>1165</v>
      </c>
      <c r="C1134" t="s">
        <v>33</v>
      </c>
      <c r="D1134" t="s">
        <v>10</v>
      </c>
      <c r="E1134" s="1">
        <v>45766</v>
      </c>
      <c r="F1134">
        <v>27081</v>
      </c>
      <c r="G1134">
        <v>20366</v>
      </c>
      <c r="H1134" t="s">
        <v>11</v>
      </c>
    </row>
    <row r="1135" spans="1:8" x14ac:dyDescent="0.35">
      <c r="A1135">
        <v>3134</v>
      </c>
      <c r="B1135" t="s">
        <v>1166</v>
      </c>
      <c r="C1135" t="s">
        <v>24</v>
      </c>
      <c r="D1135" t="s">
        <v>37</v>
      </c>
      <c r="E1135" s="1">
        <v>45898</v>
      </c>
      <c r="F1135">
        <v>43501</v>
      </c>
      <c r="G1135">
        <v>31628</v>
      </c>
      <c r="H1135" t="s">
        <v>38</v>
      </c>
    </row>
    <row r="1136" spans="1:8" x14ac:dyDescent="0.35">
      <c r="A1136">
        <v>3135</v>
      </c>
      <c r="B1136" t="s">
        <v>1167</v>
      </c>
      <c r="C1136" t="s">
        <v>56</v>
      </c>
      <c r="D1136" t="s">
        <v>10</v>
      </c>
      <c r="E1136" s="1">
        <v>46012</v>
      </c>
      <c r="F1136">
        <v>41113</v>
      </c>
      <c r="G1136">
        <v>36847</v>
      </c>
      <c r="H1136" t="s">
        <v>25</v>
      </c>
    </row>
    <row r="1137" spans="1:8" x14ac:dyDescent="0.35">
      <c r="A1137">
        <v>3136</v>
      </c>
      <c r="B1137" t="s">
        <v>1168</v>
      </c>
      <c r="C1137" t="s">
        <v>17</v>
      </c>
      <c r="D1137" t="s">
        <v>18</v>
      </c>
      <c r="E1137" s="1">
        <v>45799</v>
      </c>
      <c r="F1137">
        <v>54441</v>
      </c>
      <c r="G1137">
        <v>46892</v>
      </c>
      <c r="H1137" t="s">
        <v>31</v>
      </c>
    </row>
    <row r="1138" spans="1:8" x14ac:dyDescent="0.35">
      <c r="A1138">
        <v>3137</v>
      </c>
      <c r="B1138" t="s">
        <v>1169</v>
      </c>
      <c r="C1138" t="s">
        <v>33</v>
      </c>
      <c r="D1138" t="s">
        <v>37</v>
      </c>
      <c r="E1138" s="1">
        <v>45948</v>
      </c>
      <c r="F1138">
        <v>44690</v>
      </c>
      <c r="G1138">
        <v>38374</v>
      </c>
      <c r="H1138" t="s">
        <v>22</v>
      </c>
    </row>
    <row r="1139" spans="1:8" x14ac:dyDescent="0.35">
      <c r="A1139">
        <v>3138</v>
      </c>
      <c r="B1139" t="s">
        <v>1170</v>
      </c>
      <c r="C1139" t="s">
        <v>9</v>
      </c>
      <c r="D1139" t="s">
        <v>14</v>
      </c>
      <c r="E1139" s="1">
        <v>45894</v>
      </c>
      <c r="F1139">
        <v>49345</v>
      </c>
      <c r="G1139">
        <v>46635</v>
      </c>
      <c r="H1139" t="s">
        <v>38</v>
      </c>
    </row>
    <row r="1140" spans="1:8" x14ac:dyDescent="0.35">
      <c r="A1140">
        <v>3139</v>
      </c>
      <c r="B1140" t="s">
        <v>1171</v>
      </c>
      <c r="C1140" t="s">
        <v>13</v>
      </c>
      <c r="D1140" t="s">
        <v>10</v>
      </c>
      <c r="E1140" s="1">
        <v>45997</v>
      </c>
      <c r="F1140">
        <v>46829</v>
      </c>
      <c r="G1140">
        <v>38185</v>
      </c>
      <c r="H1140" t="s">
        <v>25</v>
      </c>
    </row>
    <row r="1141" spans="1:8" x14ac:dyDescent="0.35">
      <c r="A1141">
        <v>3140</v>
      </c>
      <c r="B1141" t="s">
        <v>1172</v>
      </c>
      <c r="C1141" t="s">
        <v>9</v>
      </c>
      <c r="D1141" t="s">
        <v>21</v>
      </c>
      <c r="E1141" s="1">
        <v>45969</v>
      </c>
      <c r="F1141">
        <v>55062</v>
      </c>
      <c r="G1141">
        <v>44473</v>
      </c>
      <c r="H1141" t="s">
        <v>29</v>
      </c>
    </row>
    <row r="1142" spans="1:8" x14ac:dyDescent="0.35">
      <c r="A1142">
        <v>3141</v>
      </c>
      <c r="B1142" t="s">
        <v>1173</v>
      </c>
      <c r="C1142" t="s">
        <v>45</v>
      </c>
      <c r="D1142" t="s">
        <v>27</v>
      </c>
      <c r="E1142" s="1">
        <v>45834</v>
      </c>
      <c r="F1142">
        <v>23630</v>
      </c>
      <c r="G1142">
        <v>15561</v>
      </c>
      <c r="H1142" t="s">
        <v>67</v>
      </c>
    </row>
    <row r="1143" spans="1:8" x14ac:dyDescent="0.35">
      <c r="A1143">
        <v>3142</v>
      </c>
      <c r="B1143" t="s">
        <v>1174</v>
      </c>
      <c r="C1143" t="s">
        <v>33</v>
      </c>
      <c r="D1143" t="s">
        <v>21</v>
      </c>
      <c r="E1143" s="1">
        <v>45798</v>
      </c>
      <c r="F1143">
        <v>51870</v>
      </c>
      <c r="G1143">
        <v>41703</v>
      </c>
      <c r="H1143" t="s">
        <v>31</v>
      </c>
    </row>
    <row r="1144" spans="1:8" x14ac:dyDescent="0.35">
      <c r="A1144">
        <v>3143</v>
      </c>
      <c r="B1144" t="s">
        <v>1175</v>
      </c>
      <c r="C1144" t="s">
        <v>9</v>
      </c>
      <c r="D1144" t="s">
        <v>27</v>
      </c>
      <c r="E1144" s="1">
        <v>45846</v>
      </c>
      <c r="F1144">
        <v>23453</v>
      </c>
      <c r="G1144">
        <v>21796</v>
      </c>
      <c r="H1144" t="s">
        <v>43</v>
      </c>
    </row>
    <row r="1145" spans="1:8" x14ac:dyDescent="0.35">
      <c r="A1145">
        <v>3144</v>
      </c>
      <c r="B1145" t="s">
        <v>1176</v>
      </c>
      <c r="C1145" t="s">
        <v>56</v>
      </c>
      <c r="D1145" t="s">
        <v>18</v>
      </c>
      <c r="E1145" s="1">
        <v>45706</v>
      </c>
      <c r="F1145">
        <v>57275</v>
      </c>
      <c r="G1145">
        <v>54734</v>
      </c>
      <c r="H1145" t="s">
        <v>77</v>
      </c>
    </row>
    <row r="1146" spans="1:8" x14ac:dyDescent="0.35">
      <c r="A1146">
        <v>3145</v>
      </c>
      <c r="B1146" t="s">
        <v>1177</v>
      </c>
      <c r="C1146" t="s">
        <v>13</v>
      </c>
      <c r="D1146" t="s">
        <v>21</v>
      </c>
      <c r="E1146" s="1">
        <v>45959</v>
      </c>
      <c r="F1146">
        <v>58396</v>
      </c>
      <c r="G1146">
        <v>51633</v>
      </c>
      <c r="H1146" t="s">
        <v>22</v>
      </c>
    </row>
    <row r="1147" spans="1:8" x14ac:dyDescent="0.35">
      <c r="A1147">
        <v>3146</v>
      </c>
      <c r="B1147" t="s">
        <v>1178</v>
      </c>
      <c r="C1147" t="s">
        <v>24</v>
      </c>
      <c r="D1147" t="s">
        <v>10</v>
      </c>
      <c r="E1147" s="1">
        <v>45847</v>
      </c>
      <c r="F1147">
        <v>28328</v>
      </c>
      <c r="G1147">
        <v>25253</v>
      </c>
      <c r="H1147" t="s">
        <v>43</v>
      </c>
    </row>
    <row r="1148" spans="1:8" x14ac:dyDescent="0.35">
      <c r="A1148">
        <v>3147</v>
      </c>
      <c r="B1148" t="s">
        <v>1179</v>
      </c>
      <c r="C1148" t="s">
        <v>33</v>
      </c>
      <c r="D1148" t="s">
        <v>10</v>
      </c>
      <c r="E1148" s="1">
        <v>45793</v>
      </c>
      <c r="F1148">
        <v>35534</v>
      </c>
      <c r="G1148">
        <v>32370</v>
      </c>
      <c r="H1148" t="s">
        <v>31</v>
      </c>
    </row>
    <row r="1149" spans="1:8" x14ac:dyDescent="0.35">
      <c r="A1149">
        <v>3148</v>
      </c>
      <c r="B1149" t="s">
        <v>1180</v>
      </c>
      <c r="C1149" t="s">
        <v>56</v>
      </c>
      <c r="D1149" t="s">
        <v>21</v>
      </c>
      <c r="E1149" s="1">
        <v>45700</v>
      </c>
      <c r="F1149">
        <v>39744</v>
      </c>
      <c r="G1149">
        <v>28586</v>
      </c>
      <c r="H1149" t="s">
        <v>77</v>
      </c>
    </row>
    <row r="1150" spans="1:8" x14ac:dyDescent="0.35">
      <c r="A1150">
        <v>3149</v>
      </c>
      <c r="B1150" t="s">
        <v>1181</v>
      </c>
      <c r="C1150" t="s">
        <v>17</v>
      </c>
      <c r="D1150" t="s">
        <v>10</v>
      </c>
      <c r="E1150" s="1">
        <v>46010</v>
      </c>
      <c r="F1150">
        <v>39389</v>
      </c>
      <c r="G1150">
        <v>37336</v>
      </c>
      <c r="H1150" t="s">
        <v>25</v>
      </c>
    </row>
    <row r="1151" spans="1:8" x14ac:dyDescent="0.35">
      <c r="A1151">
        <v>3150</v>
      </c>
      <c r="B1151" t="s">
        <v>1182</v>
      </c>
      <c r="C1151" t="s">
        <v>45</v>
      </c>
      <c r="D1151" t="s">
        <v>18</v>
      </c>
      <c r="E1151" s="1">
        <v>45747</v>
      </c>
      <c r="F1151">
        <v>56320</v>
      </c>
      <c r="G1151">
        <v>47841</v>
      </c>
      <c r="H1151" t="s">
        <v>19</v>
      </c>
    </row>
    <row r="1152" spans="1:8" x14ac:dyDescent="0.35">
      <c r="A1152">
        <v>3151</v>
      </c>
      <c r="B1152" t="s">
        <v>1183</v>
      </c>
      <c r="C1152" t="s">
        <v>13</v>
      </c>
      <c r="D1152" t="s">
        <v>37</v>
      </c>
      <c r="E1152" s="1">
        <v>45952</v>
      </c>
      <c r="F1152">
        <v>55010</v>
      </c>
      <c r="G1152">
        <v>49273</v>
      </c>
      <c r="H1152" t="s">
        <v>22</v>
      </c>
    </row>
    <row r="1153" spans="1:8" x14ac:dyDescent="0.35">
      <c r="A1153">
        <v>3152</v>
      </c>
      <c r="B1153" t="s">
        <v>1184</v>
      </c>
      <c r="C1153" t="s">
        <v>33</v>
      </c>
      <c r="D1153" t="s">
        <v>18</v>
      </c>
      <c r="E1153" s="1">
        <v>45998</v>
      </c>
      <c r="F1153">
        <v>34665</v>
      </c>
      <c r="G1153">
        <v>31448</v>
      </c>
      <c r="H1153" t="s">
        <v>25</v>
      </c>
    </row>
    <row r="1154" spans="1:8" x14ac:dyDescent="0.35">
      <c r="A1154">
        <v>3153</v>
      </c>
      <c r="B1154" t="s">
        <v>1185</v>
      </c>
      <c r="C1154" t="s">
        <v>33</v>
      </c>
      <c r="D1154" t="s">
        <v>27</v>
      </c>
      <c r="E1154" s="1">
        <v>45902</v>
      </c>
      <c r="F1154">
        <v>57865</v>
      </c>
      <c r="G1154">
        <v>45819</v>
      </c>
      <c r="H1154" t="s">
        <v>53</v>
      </c>
    </row>
    <row r="1155" spans="1:8" x14ac:dyDescent="0.35">
      <c r="A1155">
        <v>3154</v>
      </c>
      <c r="B1155" t="s">
        <v>1186</v>
      </c>
      <c r="C1155" t="s">
        <v>24</v>
      </c>
      <c r="D1155" t="s">
        <v>18</v>
      </c>
      <c r="E1155" s="1">
        <v>45849</v>
      </c>
      <c r="F1155">
        <v>28640</v>
      </c>
      <c r="G1155">
        <v>27193</v>
      </c>
      <c r="H1155" t="s">
        <v>43</v>
      </c>
    </row>
    <row r="1156" spans="1:8" x14ac:dyDescent="0.35">
      <c r="A1156">
        <v>3155</v>
      </c>
      <c r="B1156" t="s">
        <v>1187</v>
      </c>
      <c r="C1156" t="s">
        <v>24</v>
      </c>
      <c r="D1156" t="s">
        <v>27</v>
      </c>
      <c r="E1156" s="1">
        <v>45975</v>
      </c>
      <c r="F1156">
        <v>54716</v>
      </c>
      <c r="G1156">
        <v>48707</v>
      </c>
      <c r="H1156" t="s">
        <v>29</v>
      </c>
    </row>
    <row r="1157" spans="1:8" x14ac:dyDescent="0.35">
      <c r="A1157">
        <v>3156</v>
      </c>
      <c r="B1157" t="s">
        <v>1188</v>
      </c>
      <c r="C1157" t="s">
        <v>17</v>
      </c>
      <c r="D1157" t="s">
        <v>10</v>
      </c>
      <c r="E1157" s="1">
        <v>45763</v>
      </c>
      <c r="F1157">
        <v>45521</v>
      </c>
      <c r="G1157">
        <v>44914</v>
      </c>
      <c r="H1157" t="s">
        <v>11</v>
      </c>
    </row>
    <row r="1158" spans="1:8" x14ac:dyDescent="0.35">
      <c r="A1158">
        <v>3157</v>
      </c>
      <c r="B1158" t="s">
        <v>1189</v>
      </c>
      <c r="C1158" t="s">
        <v>45</v>
      </c>
      <c r="D1158" t="s">
        <v>37</v>
      </c>
      <c r="E1158" s="1">
        <v>46020</v>
      </c>
      <c r="F1158">
        <v>50049</v>
      </c>
      <c r="G1158">
        <v>45497</v>
      </c>
      <c r="H1158" t="s">
        <v>25</v>
      </c>
    </row>
    <row r="1159" spans="1:8" x14ac:dyDescent="0.35">
      <c r="A1159">
        <v>3158</v>
      </c>
      <c r="B1159" t="s">
        <v>1190</v>
      </c>
      <c r="C1159" t="s">
        <v>17</v>
      </c>
      <c r="D1159" t="s">
        <v>10</v>
      </c>
      <c r="E1159" s="1">
        <v>45967</v>
      </c>
      <c r="F1159">
        <v>25618</v>
      </c>
      <c r="G1159">
        <v>23854</v>
      </c>
      <c r="H1159" t="s">
        <v>29</v>
      </c>
    </row>
    <row r="1160" spans="1:8" x14ac:dyDescent="0.35">
      <c r="A1160">
        <v>3159</v>
      </c>
      <c r="B1160" t="s">
        <v>1191</v>
      </c>
      <c r="C1160" t="s">
        <v>56</v>
      </c>
      <c r="D1160" t="s">
        <v>14</v>
      </c>
      <c r="E1160" s="1">
        <v>45890</v>
      </c>
      <c r="F1160">
        <v>57004</v>
      </c>
      <c r="G1160">
        <v>47587</v>
      </c>
      <c r="H1160" t="s">
        <v>38</v>
      </c>
    </row>
    <row r="1161" spans="1:8" x14ac:dyDescent="0.35">
      <c r="A1161">
        <v>3160</v>
      </c>
      <c r="B1161" t="s">
        <v>1192</v>
      </c>
      <c r="C1161" t="s">
        <v>56</v>
      </c>
      <c r="D1161" t="s">
        <v>10</v>
      </c>
      <c r="E1161" s="1">
        <v>45922</v>
      </c>
      <c r="F1161">
        <v>21920</v>
      </c>
      <c r="G1161">
        <v>12493</v>
      </c>
      <c r="H1161" t="s">
        <v>53</v>
      </c>
    </row>
    <row r="1162" spans="1:8" x14ac:dyDescent="0.35">
      <c r="A1162">
        <v>3161</v>
      </c>
      <c r="B1162" t="s">
        <v>1193</v>
      </c>
      <c r="C1162" t="s">
        <v>17</v>
      </c>
      <c r="D1162" t="s">
        <v>27</v>
      </c>
      <c r="E1162" s="1">
        <v>46001</v>
      </c>
      <c r="F1162">
        <v>24188</v>
      </c>
      <c r="G1162">
        <v>14967</v>
      </c>
      <c r="H1162" t="s">
        <v>25</v>
      </c>
    </row>
    <row r="1163" spans="1:8" x14ac:dyDescent="0.35">
      <c r="A1163">
        <v>3162</v>
      </c>
      <c r="B1163" t="s">
        <v>1194</v>
      </c>
      <c r="C1163" t="s">
        <v>45</v>
      </c>
      <c r="D1163" t="s">
        <v>10</v>
      </c>
      <c r="E1163" s="1">
        <v>45694</v>
      </c>
      <c r="F1163">
        <v>32207</v>
      </c>
      <c r="G1163">
        <v>29536</v>
      </c>
      <c r="H1163" t="s">
        <v>77</v>
      </c>
    </row>
    <row r="1164" spans="1:8" x14ac:dyDescent="0.35">
      <c r="A1164">
        <v>3163</v>
      </c>
      <c r="B1164" t="s">
        <v>1195</v>
      </c>
      <c r="C1164" t="s">
        <v>17</v>
      </c>
      <c r="D1164" t="s">
        <v>10</v>
      </c>
      <c r="E1164" s="1">
        <v>45962</v>
      </c>
      <c r="F1164">
        <v>20238</v>
      </c>
      <c r="G1164">
        <v>13719</v>
      </c>
      <c r="H1164" t="s">
        <v>29</v>
      </c>
    </row>
    <row r="1165" spans="1:8" x14ac:dyDescent="0.35">
      <c r="A1165">
        <v>3164</v>
      </c>
      <c r="B1165" t="s">
        <v>1196</v>
      </c>
      <c r="C1165" t="s">
        <v>45</v>
      </c>
      <c r="D1165" t="s">
        <v>37</v>
      </c>
      <c r="E1165" s="1">
        <v>45698</v>
      </c>
      <c r="F1165">
        <v>52972</v>
      </c>
      <c r="G1165">
        <v>49010</v>
      </c>
      <c r="H1165" t="s">
        <v>77</v>
      </c>
    </row>
    <row r="1166" spans="1:8" x14ac:dyDescent="0.35">
      <c r="A1166">
        <v>3165</v>
      </c>
      <c r="B1166" t="s">
        <v>1197</v>
      </c>
      <c r="C1166" t="s">
        <v>45</v>
      </c>
      <c r="D1166" t="s">
        <v>10</v>
      </c>
      <c r="E1166" s="1">
        <v>45674</v>
      </c>
      <c r="F1166">
        <v>30799</v>
      </c>
      <c r="G1166">
        <v>18065</v>
      </c>
      <c r="H1166" t="s">
        <v>15</v>
      </c>
    </row>
    <row r="1167" spans="1:8" x14ac:dyDescent="0.35">
      <c r="A1167">
        <v>3166</v>
      </c>
      <c r="B1167" t="s">
        <v>1198</v>
      </c>
      <c r="C1167" t="s">
        <v>9</v>
      </c>
      <c r="D1167" t="s">
        <v>37</v>
      </c>
      <c r="E1167" s="1">
        <v>46001</v>
      </c>
      <c r="F1167">
        <v>25552</v>
      </c>
      <c r="G1167">
        <v>12430</v>
      </c>
      <c r="H1167" t="s">
        <v>25</v>
      </c>
    </row>
    <row r="1168" spans="1:8" x14ac:dyDescent="0.35">
      <c r="A1168">
        <v>3167</v>
      </c>
      <c r="B1168" t="s">
        <v>1199</v>
      </c>
      <c r="C1168" t="s">
        <v>13</v>
      </c>
      <c r="D1168" t="s">
        <v>21</v>
      </c>
      <c r="E1168" s="1">
        <v>45934</v>
      </c>
      <c r="F1168">
        <v>48916</v>
      </c>
      <c r="G1168">
        <v>45739</v>
      </c>
      <c r="H1168" t="s">
        <v>22</v>
      </c>
    </row>
    <row r="1169" spans="1:8" x14ac:dyDescent="0.35">
      <c r="A1169">
        <v>3168</v>
      </c>
      <c r="B1169" t="s">
        <v>1200</v>
      </c>
      <c r="C1169" t="s">
        <v>45</v>
      </c>
      <c r="D1169" t="s">
        <v>14</v>
      </c>
      <c r="E1169" s="1">
        <v>45964</v>
      </c>
      <c r="F1169">
        <v>24927</v>
      </c>
      <c r="G1169">
        <v>21205</v>
      </c>
      <c r="H1169" t="s">
        <v>29</v>
      </c>
    </row>
    <row r="1170" spans="1:8" x14ac:dyDescent="0.35">
      <c r="A1170">
        <v>3169</v>
      </c>
      <c r="B1170" t="s">
        <v>1201</v>
      </c>
      <c r="C1170" t="s">
        <v>24</v>
      </c>
      <c r="D1170" t="s">
        <v>37</v>
      </c>
      <c r="E1170" s="1">
        <v>45716</v>
      </c>
      <c r="F1170">
        <v>47964</v>
      </c>
      <c r="G1170">
        <v>43058</v>
      </c>
      <c r="H1170" t="s">
        <v>77</v>
      </c>
    </row>
    <row r="1171" spans="1:8" x14ac:dyDescent="0.35">
      <c r="A1171">
        <v>3170</v>
      </c>
      <c r="B1171" t="s">
        <v>1202</v>
      </c>
      <c r="C1171" t="s">
        <v>45</v>
      </c>
      <c r="D1171" t="s">
        <v>27</v>
      </c>
      <c r="E1171" s="1">
        <v>45840</v>
      </c>
      <c r="F1171">
        <v>31164</v>
      </c>
      <c r="G1171">
        <v>17452</v>
      </c>
      <c r="H1171" t="s">
        <v>43</v>
      </c>
    </row>
    <row r="1172" spans="1:8" x14ac:dyDescent="0.35">
      <c r="A1172">
        <v>3171</v>
      </c>
      <c r="B1172" t="s">
        <v>1203</v>
      </c>
      <c r="C1172" t="s">
        <v>45</v>
      </c>
      <c r="D1172" t="s">
        <v>21</v>
      </c>
      <c r="E1172" s="1">
        <v>45698</v>
      </c>
      <c r="F1172">
        <v>57158</v>
      </c>
      <c r="G1172">
        <v>49895</v>
      </c>
      <c r="H1172" t="s">
        <v>77</v>
      </c>
    </row>
    <row r="1173" spans="1:8" x14ac:dyDescent="0.35">
      <c r="A1173">
        <v>3172</v>
      </c>
      <c r="B1173" t="s">
        <v>1204</v>
      </c>
      <c r="C1173" t="s">
        <v>45</v>
      </c>
      <c r="D1173" t="s">
        <v>37</v>
      </c>
      <c r="E1173" s="1">
        <v>45696</v>
      </c>
      <c r="F1173">
        <v>39071</v>
      </c>
      <c r="G1173">
        <v>25372</v>
      </c>
      <c r="H1173" t="s">
        <v>77</v>
      </c>
    </row>
    <row r="1174" spans="1:8" x14ac:dyDescent="0.35">
      <c r="A1174">
        <v>3173</v>
      </c>
      <c r="B1174" t="s">
        <v>1205</v>
      </c>
      <c r="C1174" t="s">
        <v>9</v>
      </c>
      <c r="D1174" t="s">
        <v>37</v>
      </c>
      <c r="E1174" s="1">
        <v>45849</v>
      </c>
      <c r="F1174">
        <v>26160</v>
      </c>
      <c r="G1174">
        <v>21106</v>
      </c>
      <c r="H1174" t="s">
        <v>43</v>
      </c>
    </row>
    <row r="1175" spans="1:8" x14ac:dyDescent="0.35">
      <c r="A1175">
        <v>3174</v>
      </c>
      <c r="B1175" t="s">
        <v>1206</v>
      </c>
      <c r="C1175" t="s">
        <v>9</v>
      </c>
      <c r="D1175" t="s">
        <v>14</v>
      </c>
      <c r="E1175" s="1">
        <v>45924</v>
      </c>
      <c r="F1175">
        <v>35810</v>
      </c>
      <c r="G1175">
        <v>26143</v>
      </c>
      <c r="H1175" t="s">
        <v>53</v>
      </c>
    </row>
    <row r="1176" spans="1:8" x14ac:dyDescent="0.35">
      <c r="A1176">
        <v>3175</v>
      </c>
      <c r="B1176" t="s">
        <v>1207</v>
      </c>
      <c r="C1176" t="s">
        <v>56</v>
      </c>
      <c r="D1176" t="s">
        <v>27</v>
      </c>
      <c r="E1176" s="1">
        <v>45804</v>
      </c>
      <c r="F1176">
        <v>25126</v>
      </c>
      <c r="G1176">
        <v>14038</v>
      </c>
      <c r="H1176" t="s">
        <v>31</v>
      </c>
    </row>
    <row r="1177" spans="1:8" x14ac:dyDescent="0.35">
      <c r="A1177">
        <v>3176</v>
      </c>
      <c r="B1177" t="s">
        <v>1208</v>
      </c>
      <c r="C1177" t="s">
        <v>9</v>
      </c>
      <c r="D1177" t="s">
        <v>18</v>
      </c>
      <c r="E1177" s="1">
        <v>45990</v>
      </c>
      <c r="F1177">
        <v>50009</v>
      </c>
      <c r="G1177">
        <v>49201</v>
      </c>
      <c r="H1177" t="s">
        <v>29</v>
      </c>
    </row>
    <row r="1178" spans="1:8" x14ac:dyDescent="0.35">
      <c r="A1178">
        <v>3177</v>
      </c>
      <c r="B1178" t="s">
        <v>1209</v>
      </c>
      <c r="C1178" t="s">
        <v>24</v>
      </c>
      <c r="D1178" t="s">
        <v>18</v>
      </c>
      <c r="E1178" s="1">
        <v>45784</v>
      </c>
      <c r="F1178">
        <v>53584</v>
      </c>
      <c r="G1178">
        <v>44414</v>
      </c>
      <c r="H1178" t="s">
        <v>31</v>
      </c>
    </row>
    <row r="1179" spans="1:8" x14ac:dyDescent="0.35">
      <c r="A1179">
        <v>3178</v>
      </c>
      <c r="B1179" t="s">
        <v>1210</v>
      </c>
      <c r="C1179" t="s">
        <v>24</v>
      </c>
      <c r="D1179" t="s">
        <v>37</v>
      </c>
      <c r="E1179" s="1">
        <v>45703</v>
      </c>
      <c r="F1179">
        <v>45396</v>
      </c>
      <c r="G1179">
        <v>34741</v>
      </c>
      <c r="H1179" t="s">
        <v>77</v>
      </c>
    </row>
    <row r="1180" spans="1:8" x14ac:dyDescent="0.35">
      <c r="A1180">
        <v>3179</v>
      </c>
      <c r="B1180" t="s">
        <v>1211</v>
      </c>
      <c r="C1180" t="s">
        <v>9</v>
      </c>
      <c r="D1180" t="s">
        <v>10</v>
      </c>
      <c r="E1180" s="1">
        <v>45702</v>
      </c>
      <c r="F1180">
        <v>20192</v>
      </c>
      <c r="G1180">
        <v>19467</v>
      </c>
      <c r="H1180" t="s">
        <v>77</v>
      </c>
    </row>
    <row r="1181" spans="1:8" x14ac:dyDescent="0.35">
      <c r="A1181">
        <v>3180</v>
      </c>
      <c r="B1181" t="s">
        <v>1212</v>
      </c>
      <c r="C1181" t="s">
        <v>17</v>
      </c>
      <c r="D1181" t="s">
        <v>27</v>
      </c>
      <c r="E1181" s="1">
        <v>45658</v>
      </c>
      <c r="F1181">
        <v>56413</v>
      </c>
      <c r="G1181">
        <v>45720</v>
      </c>
      <c r="H1181" t="s">
        <v>15</v>
      </c>
    </row>
    <row r="1182" spans="1:8" x14ac:dyDescent="0.35">
      <c r="A1182">
        <v>3181</v>
      </c>
      <c r="B1182" t="s">
        <v>1213</v>
      </c>
      <c r="C1182" t="s">
        <v>13</v>
      </c>
      <c r="D1182" t="s">
        <v>21</v>
      </c>
      <c r="E1182" s="1">
        <v>45825</v>
      </c>
      <c r="F1182">
        <v>32816</v>
      </c>
      <c r="G1182">
        <v>21262</v>
      </c>
      <c r="H1182" t="s">
        <v>67</v>
      </c>
    </row>
    <row r="1183" spans="1:8" x14ac:dyDescent="0.35">
      <c r="A1183">
        <v>3182</v>
      </c>
      <c r="B1183" t="s">
        <v>1214</v>
      </c>
      <c r="C1183" t="s">
        <v>9</v>
      </c>
      <c r="D1183" t="s">
        <v>10</v>
      </c>
      <c r="E1183" s="1">
        <v>45765</v>
      </c>
      <c r="F1183">
        <v>59082</v>
      </c>
      <c r="G1183">
        <v>51381</v>
      </c>
      <c r="H1183" t="s">
        <v>11</v>
      </c>
    </row>
    <row r="1184" spans="1:8" x14ac:dyDescent="0.35">
      <c r="A1184">
        <v>3183</v>
      </c>
      <c r="B1184" t="s">
        <v>1215</v>
      </c>
      <c r="C1184" t="s">
        <v>45</v>
      </c>
      <c r="D1184" t="s">
        <v>10</v>
      </c>
      <c r="E1184" s="1">
        <v>45676</v>
      </c>
      <c r="F1184">
        <v>52130</v>
      </c>
      <c r="G1184">
        <v>50914</v>
      </c>
      <c r="H1184" t="s">
        <v>15</v>
      </c>
    </row>
    <row r="1185" spans="1:8" x14ac:dyDescent="0.35">
      <c r="A1185">
        <v>3184</v>
      </c>
      <c r="B1185" t="s">
        <v>1216</v>
      </c>
      <c r="C1185" t="s">
        <v>33</v>
      </c>
      <c r="D1185" t="s">
        <v>27</v>
      </c>
      <c r="E1185" s="1">
        <v>45989</v>
      </c>
      <c r="F1185">
        <v>56468</v>
      </c>
      <c r="G1185">
        <v>52417</v>
      </c>
      <c r="H1185" t="s">
        <v>29</v>
      </c>
    </row>
    <row r="1186" spans="1:8" x14ac:dyDescent="0.35">
      <c r="A1186">
        <v>3185</v>
      </c>
      <c r="B1186" t="s">
        <v>1217</v>
      </c>
      <c r="C1186" t="s">
        <v>13</v>
      </c>
      <c r="D1186" t="s">
        <v>37</v>
      </c>
      <c r="E1186" s="1">
        <v>45729</v>
      </c>
      <c r="F1186">
        <v>50698</v>
      </c>
      <c r="G1186">
        <v>48501</v>
      </c>
      <c r="H1186" t="s">
        <v>19</v>
      </c>
    </row>
    <row r="1187" spans="1:8" x14ac:dyDescent="0.35">
      <c r="A1187">
        <v>3186</v>
      </c>
      <c r="B1187" t="s">
        <v>1218</v>
      </c>
      <c r="C1187" t="s">
        <v>13</v>
      </c>
      <c r="D1187" t="s">
        <v>37</v>
      </c>
      <c r="E1187" s="1">
        <v>45766</v>
      </c>
      <c r="F1187">
        <v>30655</v>
      </c>
      <c r="G1187">
        <v>16464</v>
      </c>
      <c r="H1187" t="s">
        <v>11</v>
      </c>
    </row>
    <row r="1188" spans="1:8" x14ac:dyDescent="0.35">
      <c r="A1188">
        <v>3187</v>
      </c>
      <c r="B1188" t="s">
        <v>1219</v>
      </c>
      <c r="C1188" t="s">
        <v>24</v>
      </c>
      <c r="D1188" t="s">
        <v>37</v>
      </c>
      <c r="E1188" s="1">
        <v>45925</v>
      </c>
      <c r="F1188">
        <v>50075</v>
      </c>
      <c r="G1188">
        <v>47269</v>
      </c>
      <c r="H1188" t="s">
        <v>53</v>
      </c>
    </row>
    <row r="1189" spans="1:8" x14ac:dyDescent="0.35">
      <c r="A1189">
        <v>3188</v>
      </c>
      <c r="B1189" t="s">
        <v>1220</v>
      </c>
      <c r="C1189" t="s">
        <v>13</v>
      </c>
      <c r="D1189" t="s">
        <v>37</v>
      </c>
      <c r="E1189" s="1">
        <v>45897</v>
      </c>
      <c r="F1189">
        <v>29359</v>
      </c>
      <c r="G1189">
        <v>20389</v>
      </c>
      <c r="H1189" t="s">
        <v>38</v>
      </c>
    </row>
    <row r="1190" spans="1:8" x14ac:dyDescent="0.35">
      <c r="A1190">
        <v>3189</v>
      </c>
      <c r="B1190" t="s">
        <v>1221</v>
      </c>
      <c r="C1190" t="s">
        <v>9</v>
      </c>
      <c r="D1190" t="s">
        <v>18</v>
      </c>
      <c r="E1190" s="1">
        <v>45958</v>
      </c>
      <c r="F1190">
        <v>56661</v>
      </c>
      <c r="G1190">
        <v>55689</v>
      </c>
      <c r="H1190" t="s">
        <v>22</v>
      </c>
    </row>
    <row r="1191" spans="1:8" x14ac:dyDescent="0.35">
      <c r="A1191">
        <v>3190</v>
      </c>
      <c r="B1191" t="s">
        <v>1222</v>
      </c>
      <c r="C1191" t="s">
        <v>45</v>
      </c>
      <c r="D1191" t="s">
        <v>37</v>
      </c>
      <c r="E1191" s="1">
        <v>45747</v>
      </c>
      <c r="F1191">
        <v>59579</v>
      </c>
      <c r="G1191">
        <v>48577</v>
      </c>
      <c r="H1191" t="s">
        <v>19</v>
      </c>
    </row>
    <row r="1192" spans="1:8" x14ac:dyDescent="0.35">
      <c r="A1192">
        <v>3191</v>
      </c>
      <c r="B1192" t="s">
        <v>1223</v>
      </c>
      <c r="C1192" t="s">
        <v>45</v>
      </c>
      <c r="D1192" t="s">
        <v>18</v>
      </c>
      <c r="E1192" s="1">
        <v>45760</v>
      </c>
      <c r="F1192">
        <v>53272</v>
      </c>
      <c r="G1192">
        <v>47638</v>
      </c>
      <c r="H1192" t="s">
        <v>11</v>
      </c>
    </row>
    <row r="1193" spans="1:8" x14ac:dyDescent="0.35">
      <c r="A1193">
        <v>3192</v>
      </c>
      <c r="B1193" t="s">
        <v>1224</v>
      </c>
      <c r="C1193" t="s">
        <v>56</v>
      </c>
      <c r="D1193" t="s">
        <v>18</v>
      </c>
      <c r="E1193" s="1">
        <v>45907</v>
      </c>
      <c r="F1193">
        <v>34671</v>
      </c>
      <c r="G1193">
        <v>20967</v>
      </c>
      <c r="H1193" t="s">
        <v>53</v>
      </c>
    </row>
    <row r="1194" spans="1:8" x14ac:dyDescent="0.35">
      <c r="A1194">
        <v>3193</v>
      </c>
      <c r="B1194" t="s">
        <v>1225</v>
      </c>
      <c r="C1194" t="s">
        <v>45</v>
      </c>
      <c r="D1194" t="s">
        <v>37</v>
      </c>
      <c r="E1194" s="1">
        <v>45665</v>
      </c>
      <c r="F1194">
        <v>47048</v>
      </c>
      <c r="G1194">
        <v>39565</v>
      </c>
      <c r="H1194" t="s">
        <v>15</v>
      </c>
    </row>
    <row r="1195" spans="1:8" x14ac:dyDescent="0.35">
      <c r="A1195">
        <v>3194</v>
      </c>
      <c r="B1195" t="s">
        <v>1226</v>
      </c>
      <c r="C1195" t="s">
        <v>45</v>
      </c>
      <c r="D1195" t="s">
        <v>14</v>
      </c>
      <c r="E1195" s="1">
        <v>45810</v>
      </c>
      <c r="F1195">
        <v>30738</v>
      </c>
      <c r="G1195">
        <v>28615</v>
      </c>
      <c r="H1195" t="s">
        <v>67</v>
      </c>
    </row>
    <row r="1196" spans="1:8" x14ac:dyDescent="0.35">
      <c r="A1196">
        <v>3195</v>
      </c>
      <c r="B1196" t="s">
        <v>1227</v>
      </c>
      <c r="C1196" t="s">
        <v>24</v>
      </c>
      <c r="D1196" t="s">
        <v>21</v>
      </c>
      <c r="E1196" s="1">
        <v>46004</v>
      </c>
      <c r="F1196">
        <v>45963</v>
      </c>
      <c r="G1196">
        <v>37173</v>
      </c>
      <c r="H1196" t="s">
        <v>25</v>
      </c>
    </row>
    <row r="1197" spans="1:8" x14ac:dyDescent="0.35">
      <c r="A1197">
        <v>3196</v>
      </c>
      <c r="B1197" t="s">
        <v>1228</v>
      </c>
      <c r="C1197" t="s">
        <v>45</v>
      </c>
      <c r="D1197" t="s">
        <v>10</v>
      </c>
      <c r="E1197" s="1">
        <v>45831</v>
      </c>
      <c r="F1197">
        <v>26773</v>
      </c>
      <c r="G1197">
        <v>15240</v>
      </c>
      <c r="H1197" t="s">
        <v>67</v>
      </c>
    </row>
    <row r="1198" spans="1:8" x14ac:dyDescent="0.35">
      <c r="A1198">
        <v>3197</v>
      </c>
      <c r="B1198" t="s">
        <v>1229</v>
      </c>
      <c r="C1198" t="s">
        <v>56</v>
      </c>
      <c r="D1198" t="s">
        <v>18</v>
      </c>
      <c r="E1198" s="1">
        <v>46000</v>
      </c>
      <c r="F1198">
        <v>56584</v>
      </c>
      <c r="G1198">
        <v>56360</v>
      </c>
      <c r="H1198" t="s">
        <v>25</v>
      </c>
    </row>
    <row r="1199" spans="1:8" x14ac:dyDescent="0.35">
      <c r="A1199">
        <v>3198</v>
      </c>
      <c r="B1199" t="s">
        <v>1230</v>
      </c>
      <c r="C1199" t="s">
        <v>33</v>
      </c>
      <c r="D1199" t="s">
        <v>27</v>
      </c>
      <c r="E1199" s="1">
        <v>45815</v>
      </c>
      <c r="F1199">
        <v>49894</v>
      </c>
      <c r="G1199">
        <v>36053</v>
      </c>
      <c r="H1199" t="s">
        <v>67</v>
      </c>
    </row>
    <row r="1200" spans="1:8" x14ac:dyDescent="0.35">
      <c r="A1200">
        <v>3199</v>
      </c>
      <c r="B1200" t="s">
        <v>1231</v>
      </c>
      <c r="C1200" t="s">
        <v>9</v>
      </c>
      <c r="D1200" t="s">
        <v>27</v>
      </c>
      <c r="E1200" s="1">
        <v>45872</v>
      </c>
      <c r="F1200">
        <v>20717</v>
      </c>
      <c r="G1200">
        <v>6269</v>
      </c>
      <c r="H1200" t="s">
        <v>38</v>
      </c>
    </row>
    <row r="1201" spans="1:8" x14ac:dyDescent="0.35">
      <c r="A1201">
        <v>3200</v>
      </c>
      <c r="B1201" t="s">
        <v>1232</v>
      </c>
      <c r="C1201" t="s">
        <v>24</v>
      </c>
      <c r="D1201" t="s">
        <v>21</v>
      </c>
      <c r="E1201" s="1">
        <v>45834</v>
      </c>
      <c r="F1201">
        <v>31676</v>
      </c>
      <c r="G1201">
        <v>17090</v>
      </c>
      <c r="H1201" t="s">
        <v>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3"/>
  <sheetViews>
    <sheetView topLeftCell="A38" workbookViewId="0">
      <selection activeCell="F69" sqref="F69"/>
    </sheetView>
  </sheetViews>
  <sheetFormatPr defaultRowHeight="14.5" x14ac:dyDescent="0.35"/>
  <sheetData>
    <row r="1" spans="1:4" x14ac:dyDescent="0.35">
      <c r="A1" t="s">
        <v>7</v>
      </c>
      <c r="B1" t="s">
        <v>1256</v>
      </c>
      <c r="C1" t="s">
        <v>1255</v>
      </c>
      <c r="D1" t="s">
        <v>1254</v>
      </c>
    </row>
    <row r="2" spans="1:4" x14ac:dyDescent="0.35">
      <c r="A2" t="s">
        <v>15</v>
      </c>
      <c r="B2" t="s">
        <v>1253</v>
      </c>
      <c r="C2">
        <v>303584</v>
      </c>
      <c r="D2">
        <v>1713</v>
      </c>
    </row>
    <row r="3" spans="1:4" x14ac:dyDescent="0.35">
      <c r="A3" t="s">
        <v>15</v>
      </c>
      <c r="B3" t="s">
        <v>1252</v>
      </c>
      <c r="C3">
        <v>207886</v>
      </c>
      <c r="D3">
        <v>1173</v>
      </c>
    </row>
    <row r="4" spans="1:4" x14ac:dyDescent="0.35">
      <c r="A4" t="s">
        <v>15</v>
      </c>
      <c r="B4" t="s">
        <v>1251</v>
      </c>
      <c r="C4">
        <v>153537</v>
      </c>
      <c r="D4">
        <v>866</v>
      </c>
    </row>
    <row r="5" spans="1:4" x14ac:dyDescent="0.35">
      <c r="A5" t="s">
        <v>15</v>
      </c>
      <c r="B5" t="s">
        <v>1250</v>
      </c>
      <c r="C5">
        <v>222580</v>
      </c>
      <c r="D5">
        <v>1256</v>
      </c>
    </row>
    <row r="6" spans="1:4" x14ac:dyDescent="0.35">
      <c r="A6" t="s">
        <v>15</v>
      </c>
      <c r="B6" t="s">
        <v>1249</v>
      </c>
      <c r="C6">
        <v>160166</v>
      </c>
      <c r="D6">
        <v>903</v>
      </c>
    </row>
    <row r="7" spans="1:4" x14ac:dyDescent="0.35">
      <c r="A7" t="s">
        <v>15</v>
      </c>
      <c r="B7" t="s">
        <v>1248</v>
      </c>
      <c r="C7">
        <v>284988</v>
      </c>
      <c r="D7">
        <v>1608</v>
      </c>
    </row>
    <row r="8" spans="1:4" x14ac:dyDescent="0.35">
      <c r="A8" t="s">
        <v>77</v>
      </c>
      <c r="B8" t="s">
        <v>1253</v>
      </c>
      <c r="C8">
        <v>269840</v>
      </c>
      <c r="D8">
        <v>1522</v>
      </c>
    </row>
    <row r="9" spans="1:4" x14ac:dyDescent="0.35">
      <c r="A9" t="s">
        <v>77</v>
      </c>
      <c r="B9" t="s">
        <v>1252</v>
      </c>
      <c r="C9">
        <v>109785</v>
      </c>
      <c r="D9">
        <v>619</v>
      </c>
    </row>
    <row r="10" spans="1:4" x14ac:dyDescent="0.35">
      <c r="A10" t="s">
        <v>77</v>
      </c>
      <c r="B10" t="s">
        <v>1251</v>
      </c>
      <c r="C10">
        <v>238052</v>
      </c>
      <c r="D10">
        <v>1343</v>
      </c>
    </row>
    <row r="11" spans="1:4" x14ac:dyDescent="0.35">
      <c r="A11" t="s">
        <v>77</v>
      </c>
      <c r="B11" t="s">
        <v>1250</v>
      </c>
      <c r="C11">
        <v>306791</v>
      </c>
      <c r="D11">
        <v>1731</v>
      </c>
    </row>
    <row r="12" spans="1:4" x14ac:dyDescent="0.35">
      <c r="A12" t="s">
        <v>77</v>
      </c>
      <c r="B12" t="s">
        <v>1249</v>
      </c>
      <c r="C12">
        <v>141253</v>
      </c>
      <c r="D12">
        <v>797</v>
      </c>
    </row>
    <row r="13" spans="1:4" x14ac:dyDescent="0.35">
      <c r="A13" t="s">
        <v>77</v>
      </c>
      <c r="B13" t="s">
        <v>1248</v>
      </c>
      <c r="C13">
        <v>166128</v>
      </c>
      <c r="D13">
        <v>937</v>
      </c>
    </row>
    <row r="14" spans="1:4" x14ac:dyDescent="0.35">
      <c r="A14" t="s">
        <v>19</v>
      </c>
      <c r="B14" t="s">
        <v>1253</v>
      </c>
      <c r="C14">
        <v>236081</v>
      </c>
      <c r="D14">
        <v>1332</v>
      </c>
    </row>
    <row r="15" spans="1:4" x14ac:dyDescent="0.35">
      <c r="A15" t="s">
        <v>19</v>
      </c>
      <c r="B15" t="s">
        <v>1252</v>
      </c>
      <c r="C15">
        <v>185966</v>
      </c>
      <c r="D15">
        <v>1049</v>
      </c>
    </row>
    <row r="16" spans="1:4" x14ac:dyDescent="0.35">
      <c r="A16" t="s">
        <v>19</v>
      </c>
      <c r="B16" t="s">
        <v>1251</v>
      </c>
      <c r="C16">
        <v>212854</v>
      </c>
      <c r="D16">
        <v>1201</v>
      </c>
    </row>
    <row r="17" spans="1:4" x14ac:dyDescent="0.35">
      <c r="A17" t="s">
        <v>19</v>
      </c>
      <c r="B17" t="s">
        <v>1250</v>
      </c>
      <c r="C17">
        <v>174352</v>
      </c>
      <c r="D17">
        <v>984</v>
      </c>
    </row>
    <row r="18" spans="1:4" x14ac:dyDescent="0.35">
      <c r="A18" t="s">
        <v>19</v>
      </c>
      <c r="B18" t="s">
        <v>1249</v>
      </c>
      <c r="C18">
        <v>214379</v>
      </c>
      <c r="D18">
        <v>1209</v>
      </c>
    </row>
    <row r="19" spans="1:4" x14ac:dyDescent="0.35">
      <c r="A19" t="s">
        <v>19</v>
      </c>
      <c r="B19" t="s">
        <v>1248</v>
      </c>
      <c r="C19">
        <v>298279</v>
      </c>
      <c r="D19">
        <v>1683</v>
      </c>
    </row>
    <row r="20" spans="1:4" x14ac:dyDescent="0.35">
      <c r="A20" t="s">
        <v>11</v>
      </c>
      <c r="B20" t="s">
        <v>1253</v>
      </c>
      <c r="C20">
        <v>312281</v>
      </c>
      <c r="D20">
        <v>1762</v>
      </c>
    </row>
    <row r="21" spans="1:4" x14ac:dyDescent="0.35">
      <c r="A21" t="s">
        <v>11</v>
      </c>
      <c r="B21" t="s">
        <v>1252</v>
      </c>
      <c r="C21">
        <v>183297</v>
      </c>
      <c r="D21">
        <v>1034</v>
      </c>
    </row>
    <row r="22" spans="1:4" x14ac:dyDescent="0.35">
      <c r="A22" t="s">
        <v>11</v>
      </c>
      <c r="B22" t="s">
        <v>1251</v>
      </c>
      <c r="C22">
        <v>281946</v>
      </c>
      <c r="D22">
        <v>1591</v>
      </c>
    </row>
    <row r="23" spans="1:4" x14ac:dyDescent="0.35">
      <c r="A23" t="s">
        <v>11</v>
      </c>
      <c r="B23" t="s">
        <v>1250</v>
      </c>
      <c r="C23">
        <v>113346</v>
      </c>
      <c r="D23">
        <v>639</v>
      </c>
    </row>
    <row r="24" spans="1:4" x14ac:dyDescent="0.35">
      <c r="A24" t="s">
        <v>11</v>
      </c>
      <c r="B24" t="s">
        <v>1249</v>
      </c>
      <c r="C24">
        <v>187138</v>
      </c>
      <c r="D24">
        <v>1056</v>
      </c>
    </row>
    <row r="25" spans="1:4" x14ac:dyDescent="0.35">
      <c r="A25" t="s">
        <v>11</v>
      </c>
      <c r="B25" t="s">
        <v>1248</v>
      </c>
      <c r="C25">
        <v>115149</v>
      </c>
      <c r="D25">
        <v>649</v>
      </c>
    </row>
    <row r="26" spans="1:4" x14ac:dyDescent="0.35">
      <c r="A26" t="s">
        <v>31</v>
      </c>
      <c r="B26" t="s">
        <v>1253</v>
      </c>
      <c r="C26">
        <v>233598</v>
      </c>
      <c r="D26">
        <v>1318</v>
      </c>
    </row>
    <row r="27" spans="1:4" x14ac:dyDescent="0.35">
      <c r="A27" t="s">
        <v>31</v>
      </c>
      <c r="B27" t="s">
        <v>1252</v>
      </c>
      <c r="C27">
        <v>203447</v>
      </c>
      <c r="D27">
        <v>1148</v>
      </c>
    </row>
    <row r="28" spans="1:4" x14ac:dyDescent="0.35">
      <c r="A28" t="s">
        <v>31</v>
      </c>
      <c r="B28" t="s">
        <v>1251</v>
      </c>
      <c r="C28">
        <v>80695</v>
      </c>
      <c r="D28">
        <v>455</v>
      </c>
    </row>
    <row r="29" spans="1:4" x14ac:dyDescent="0.35">
      <c r="A29" t="s">
        <v>31</v>
      </c>
      <c r="B29" t="s">
        <v>1250</v>
      </c>
      <c r="C29">
        <v>114169</v>
      </c>
      <c r="D29">
        <v>644</v>
      </c>
    </row>
    <row r="30" spans="1:4" x14ac:dyDescent="0.35">
      <c r="A30" t="s">
        <v>31</v>
      </c>
      <c r="B30" t="s">
        <v>1249</v>
      </c>
      <c r="C30">
        <v>253296</v>
      </c>
      <c r="D30">
        <v>1429</v>
      </c>
    </row>
    <row r="31" spans="1:4" x14ac:dyDescent="0.35">
      <c r="A31" t="s">
        <v>31</v>
      </c>
      <c r="B31" t="s">
        <v>1248</v>
      </c>
      <c r="C31">
        <v>231625</v>
      </c>
      <c r="D31">
        <v>1307</v>
      </c>
    </row>
    <row r="32" spans="1:4" x14ac:dyDescent="0.35">
      <c r="A32" t="s">
        <v>67</v>
      </c>
      <c r="B32" t="s">
        <v>1253</v>
      </c>
      <c r="C32">
        <v>261098</v>
      </c>
      <c r="D32">
        <v>1473</v>
      </c>
    </row>
    <row r="33" spans="1:4" x14ac:dyDescent="0.35">
      <c r="A33" t="s">
        <v>67</v>
      </c>
      <c r="B33" t="s">
        <v>1252</v>
      </c>
      <c r="C33">
        <v>267994</v>
      </c>
      <c r="D33">
        <v>1512</v>
      </c>
    </row>
    <row r="34" spans="1:4" x14ac:dyDescent="0.35">
      <c r="A34" t="s">
        <v>67</v>
      </c>
      <c r="B34" t="s">
        <v>1251</v>
      </c>
      <c r="C34">
        <v>76881</v>
      </c>
      <c r="D34">
        <v>433</v>
      </c>
    </row>
    <row r="35" spans="1:4" x14ac:dyDescent="0.35">
      <c r="A35" t="s">
        <v>67</v>
      </c>
      <c r="B35" t="s">
        <v>1250</v>
      </c>
      <c r="C35">
        <v>154211</v>
      </c>
      <c r="D35">
        <v>870</v>
      </c>
    </row>
    <row r="36" spans="1:4" x14ac:dyDescent="0.35">
      <c r="A36" t="s">
        <v>67</v>
      </c>
      <c r="B36" t="s">
        <v>1249</v>
      </c>
      <c r="C36">
        <v>231078</v>
      </c>
      <c r="D36">
        <v>1304</v>
      </c>
    </row>
    <row r="37" spans="1:4" x14ac:dyDescent="0.35">
      <c r="A37" t="s">
        <v>67</v>
      </c>
      <c r="B37" t="s">
        <v>1248</v>
      </c>
      <c r="C37">
        <v>302203</v>
      </c>
      <c r="D37">
        <v>1705</v>
      </c>
    </row>
    <row r="38" spans="1:4" x14ac:dyDescent="0.35">
      <c r="A38" t="s">
        <v>43</v>
      </c>
      <c r="B38" t="s">
        <v>1253</v>
      </c>
      <c r="C38">
        <v>270558</v>
      </c>
      <c r="D38">
        <v>1526</v>
      </c>
    </row>
    <row r="39" spans="1:4" x14ac:dyDescent="0.35">
      <c r="A39" t="s">
        <v>43</v>
      </c>
      <c r="B39" t="s">
        <v>1252</v>
      </c>
      <c r="C39">
        <v>211949</v>
      </c>
      <c r="D39">
        <v>1196</v>
      </c>
    </row>
    <row r="40" spans="1:4" x14ac:dyDescent="0.35">
      <c r="A40" t="s">
        <v>43</v>
      </c>
      <c r="B40" t="s">
        <v>1251</v>
      </c>
      <c r="C40">
        <v>114553</v>
      </c>
      <c r="D40">
        <v>646</v>
      </c>
    </row>
    <row r="41" spans="1:4" x14ac:dyDescent="0.35">
      <c r="A41" t="s">
        <v>43</v>
      </c>
      <c r="B41" t="s">
        <v>1250</v>
      </c>
      <c r="C41">
        <v>210758</v>
      </c>
      <c r="D41">
        <v>1189</v>
      </c>
    </row>
    <row r="42" spans="1:4" x14ac:dyDescent="0.35">
      <c r="A42" t="s">
        <v>43</v>
      </c>
      <c r="B42" t="s">
        <v>1249</v>
      </c>
      <c r="C42">
        <v>107766</v>
      </c>
      <c r="D42">
        <v>608</v>
      </c>
    </row>
    <row r="43" spans="1:4" x14ac:dyDescent="0.35">
      <c r="A43" t="s">
        <v>43</v>
      </c>
      <c r="B43" t="s">
        <v>1248</v>
      </c>
      <c r="C43">
        <v>106422</v>
      </c>
      <c r="D43">
        <v>600</v>
      </c>
    </row>
    <row r="44" spans="1:4" x14ac:dyDescent="0.35">
      <c r="A44" t="s">
        <v>38</v>
      </c>
      <c r="B44" t="s">
        <v>1253</v>
      </c>
      <c r="C44">
        <v>349349</v>
      </c>
      <c r="D44">
        <v>1971</v>
      </c>
    </row>
    <row r="45" spans="1:4" x14ac:dyDescent="0.35">
      <c r="A45" t="s">
        <v>38</v>
      </c>
      <c r="B45" t="s">
        <v>1252</v>
      </c>
      <c r="C45">
        <v>229599</v>
      </c>
      <c r="D45">
        <v>1295</v>
      </c>
    </row>
    <row r="46" spans="1:4" x14ac:dyDescent="0.35">
      <c r="A46" t="s">
        <v>38</v>
      </c>
      <c r="B46" t="s">
        <v>1251</v>
      </c>
      <c r="C46">
        <v>317555</v>
      </c>
      <c r="D46">
        <v>1792</v>
      </c>
    </row>
    <row r="47" spans="1:4" x14ac:dyDescent="0.35">
      <c r="A47" t="s">
        <v>38</v>
      </c>
      <c r="B47" t="s">
        <v>1250</v>
      </c>
      <c r="C47">
        <v>103202</v>
      </c>
      <c r="D47">
        <v>582</v>
      </c>
    </row>
    <row r="48" spans="1:4" x14ac:dyDescent="0.35">
      <c r="A48" t="s">
        <v>38</v>
      </c>
      <c r="B48" t="s">
        <v>1249</v>
      </c>
      <c r="C48">
        <v>288456</v>
      </c>
      <c r="D48">
        <v>1628</v>
      </c>
    </row>
    <row r="49" spans="1:4" x14ac:dyDescent="0.35">
      <c r="A49" t="s">
        <v>38</v>
      </c>
      <c r="B49" t="s">
        <v>1248</v>
      </c>
      <c r="C49">
        <v>95855</v>
      </c>
      <c r="D49">
        <v>540</v>
      </c>
    </row>
    <row r="50" spans="1:4" x14ac:dyDescent="0.35">
      <c r="A50" t="s">
        <v>53</v>
      </c>
      <c r="B50" t="s">
        <v>1253</v>
      </c>
      <c r="C50">
        <v>266444</v>
      </c>
      <c r="D50">
        <v>1503</v>
      </c>
    </row>
    <row r="51" spans="1:4" x14ac:dyDescent="0.35">
      <c r="A51" t="s">
        <v>53</v>
      </c>
      <c r="B51" t="s">
        <v>1252</v>
      </c>
      <c r="C51">
        <v>178119</v>
      </c>
      <c r="D51">
        <v>1005</v>
      </c>
    </row>
    <row r="52" spans="1:4" x14ac:dyDescent="0.35">
      <c r="A52" t="s">
        <v>53</v>
      </c>
      <c r="B52" t="s">
        <v>1251</v>
      </c>
      <c r="C52">
        <v>127003</v>
      </c>
      <c r="D52">
        <v>716</v>
      </c>
    </row>
    <row r="53" spans="1:4" x14ac:dyDescent="0.35">
      <c r="A53" t="s">
        <v>53</v>
      </c>
      <c r="B53" t="s">
        <v>1250</v>
      </c>
      <c r="C53">
        <v>169837</v>
      </c>
      <c r="D53">
        <v>958</v>
      </c>
    </row>
    <row r="54" spans="1:4" x14ac:dyDescent="0.35">
      <c r="A54" t="s">
        <v>53</v>
      </c>
      <c r="B54" t="s">
        <v>1249</v>
      </c>
      <c r="C54">
        <v>298068</v>
      </c>
      <c r="D54">
        <v>1682</v>
      </c>
    </row>
    <row r="55" spans="1:4" x14ac:dyDescent="0.35">
      <c r="A55" t="s">
        <v>53</v>
      </c>
      <c r="B55" t="s">
        <v>1248</v>
      </c>
      <c r="C55">
        <v>198805</v>
      </c>
      <c r="D55">
        <v>1122</v>
      </c>
    </row>
    <row r="56" spans="1:4" x14ac:dyDescent="0.35">
      <c r="A56" t="s">
        <v>22</v>
      </c>
      <c r="B56" t="s">
        <v>1253</v>
      </c>
      <c r="C56">
        <v>190657</v>
      </c>
      <c r="D56">
        <v>1076</v>
      </c>
    </row>
    <row r="57" spans="1:4" x14ac:dyDescent="0.35">
      <c r="A57" t="s">
        <v>22</v>
      </c>
      <c r="B57" t="s">
        <v>1252</v>
      </c>
      <c r="C57">
        <v>179428</v>
      </c>
      <c r="D57">
        <v>1012</v>
      </c>
    </row>
    <row r="58" spans="1:4" x14ac:dyDescent="0.35">
      <c r="A58" t="s">
        <v>22</v>
      </c>
      <c r="B58" t="s">
        <v>1251</v>
      </c>
      <c r="C58">
        <v>197035</v>
      </c>
      <c r="D58">
        <v>1112</v>
      </c>
    </row>
    <row r="59" spans="1:4" x14ac:dyDescent="0.35">
      <c r="A59" t="s">
        <v>22</v>
      </c>
      <c r="B59" t="s">
        <v>1250</v>
      </c>
      <c r="C59">
        <v>305780</v>
      </c>
      <c r="D59">
        <v>1725</v>
      </c>
    </row>
    <row r="60" spans="1:4" x14ac:dyDescent="0.35">
      <c r="A60" t="s">
        <v>22</v>
      </c>
      <c r="B60" t="s">
        <v>1249</v>
      </c>
      <c r="C60">
        <v>292282</v>
      </c>
      <c r="D60">
        <v>1649</v>
      </c>
    </row>
    <row r="61" spans="1:4" x14ac:dyDescent="0.35">
      <c r="A61" t="s">
        <v>22</v>
      </c>
      <c r="B61" t="s">
        <v>1248</v>
      </c>
      <c r="C61">
        <v>144518</v>
      </c>
      <c r="D61">
        <v>815</v>
      </c>
    </row>
    <row r="62" spans="1:4" x14ac:dyDescent="0.35">
      <c r="A62" t="s">
        <v>29</v>
      </c>
      <c r="B62" t="s">
        <v>1253</v>
      </c>
      <c r="C62">
        <v>251355</v>
      </c>
      <c r="D62">
        <v>1418</v>
      </c>
    </row>
    <row r="63" spans="1:4" x14ac:dyDescent="0.35">
      <c r="A63" t="s">
        <v>29</v>
      </c>
      <c r="B63" t="s">
        <v>1252</v>
      </c>
      <c r="C63">
        <v>218277</v>
      </c>
      <c r="D63">
        <v>1231</v>
      </c>
    </row>
    <row r="64" spans="1:4" x14ac:dyDescent="0.35">
      <c r="A64" t="s">
        <v>29</v>
      </c>
      <c r="B64" t="s">
        <v>1251</v>
      </c>
      <c r="C64">
        <v>195243</v>
      </c>
      <c r="D64">
        <v>1101</v>
      </c>
    </row>
    <row r="65" spans="1:4" x14ac:dyDescent="0.35">
      <c r="A65" t="s">
        <v>29</v>
      </c>
      <c r="B65" t="s">
        <v>1250</v>
      </c>
      <c r="C65">
        <v>349892</v>
      </c>
      <c r="D65">
        <v>1974</v>
      </c>
    </row>
    <row r="66" spans="1:4" x14ac:dyDescent="0.35">
      <c r="A66" t="s">
        <v>29</v>
      </c>
      <c r="B66" t="s">
        <v>1249</v>
      </c>
      <c r="C66">
        <v>128311</v>
      </c>
      <c r="D66">
        <v>724</v>
      </c>
    </row>
    <row r="67" spans="1:4" x14ac:dyDescent="0.35">
      <c r="A67" t="s">
        <v>29</v>
      </c>
      <c r="B67" t="s">
        <v>1248</v>
      </c>
      <c r="C67">
        <v>97692</v>
      </c>
      <c r="D67">
        <v>551</v>
      </c>
    </row>
    <row r="68" spans="1:4" x14ac:dyDescent="0.35">
      <c r="A68" t="s">
        <v>25</v>
      </c>
      <c r="B68" t="s">
        <v>1253</v>
      </c>
      <c r="C68">
        <v>199954</v>
      </c>
      <c r="D68">
        <v>1128</v>
      </c>
    </row>
    <row r="69" spans="1:4" x14ac:dyDescent="0.35">
      <c r="A69" t="s">
        <v>25</v>
      </c>
      <c r="B69" t="s">
        <v>1252</v>
      </c>
      <c r="C69">
        <v>229934</v>
      </c>
      <c r="D69">
        <v>1297</v>
      </c>
    </row>
    <row r="70" spans="1:4" x14ac:dyDescent="0.35">
      <c r="A70" t="s">
        <v>25</v>
      </c>
      <c r="B70" t="s">
        <v>1251</v>
      </c>
      <c r="C70">
        <v>296468</v>
      </c>
      <c r="D70">
        <v>1673</v>
      </c>
    </row>
    <row r="71" spans="1:4" x14ac:dyDescent="0.35">
      <c r="A71" t="s">
        <v>25</v>
      </c>
      <c r="B71" t="s">
        <v>1250</v>
      </c>
      <c r="C71">
        <v>155152</v>
      </c>
      <c r="D71">
        <v>875</v>
      </c>
    </row>
    <row r="72" spans="1:4" x14ac:dyDescent="0.35">
      <c r="A72" t="s">
        <v>25</v>
      </c>
      <c r="B72" t="s">
        <v>1249</v>
      </c>
      <c r="C72">
        <v>79926</v>
      </c>
      <c r="D72">
        <v>451</v>
      </c>
    </row>
    <row r="73" spans="1:4" x14ac:dyDescent="0.35">
      <c r="A73" t="s">
        <v>25</v>
      </c>
      <c r="B73" t="s">
        <v>1248</v>
      </c>
      <c r="C73">
        <v>78969</v>
      </c>
      <c r="D73">
        <v>445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
  <sheetViews>
    <sheetView workbookViewId="0">
      <selection sqref="A1:E9"/>
    </sheetView>
  </sheetViews>
  <sheetFormatPr defaultRowHeight="14.5" x14ac:dyDescent="0.35"/>
  <cols>
    <col min="1" max="1" width="14.36328125" customWidth="1"/>
    <col min="2" max="2" width="17" customWidth="1"/>
    <col min="3" max="3" width="15.81640625" customWidth="1"/>
    <col min="4" max="4" width="20.6328125" customWidth="1"/>
    <col min="5" max="5" width="18.08984375" customWidth="1"/>
  </cols>
  <sheetData>
    <row r="1" spans="1:5" x14ac:dyDescent="0.35">
      <c r="A1" t="s">
        <v>1247</v>
      </c>
      <c r="B1" t="s">
        <v>1246</v>
      </c>
      <c r="C1" t="s">
        <v>1245</v>
      </c>
      <c r="D1" t="s">
        <v>1244</v>
      </c>
      <c r="E1" t="s">
        <v>1243</v>
      </c>
    </row>
    <row r="2" spans="1:5" x14ac:dyDescent="0.35">
      <c r="A2">
        <v>9001</v>
      </c>
      <c r="B2" t="s">
        <v>1242</v>
      </c>
      <c r="C2" t="s">
        <v>10</v>
      </c>
      <c r="D2">
        <v>190</v>
      </c>
      <c r="E2">
        <v>4.3</v>
      </c>
    </row>
    <row r="3" spans="1:5" x14ac:dyDescent="0.35">
      <c r="A3">
        <v>9002</v>
      </c>
      <c r="B3" t="s">
        <v>1241</v>
      </c>
      <c r="C3" t="s">
        <v>18</v>
      </c>
      <c r="D3">
        <v>111</v>
      </c>
      <c r="E3">
        <v>4.75</v>
      </c>
    </row>
    <row r="4" spans="1:5" x14ac:dyDescent="0.35">
      <c r="A4">
        <v>9003</v>
      </c>
      <c r="B4" t="s">
        <v>1240</v>
      </c>
      <c r="C4" t="s">
        <v>27</v>
      </c>
      <c r="D4">
        <v>167</v>
      </c>
      <c r="E4">
        <v>4.58</v>
      </c>
    </row>
    <row r="5" spans="1:5" x14ac:dyDescent="0.35">
      <c r="A5">
        <v>9004</v>
      </c>
      <c r="B5" t="s">
        <v>1239</v>
      </c>
      <c r="C5" t="s">
        <v>21</v>
      </c>
      <c r="D5">
        <v>149</v>
      </c>
      <c r="E5">
        <v>3.28</v>
      </c>
    </row>
    <row r="6" spans="1:5" x14ac:dyDescent="0.35">
      <c r="A6">
        <v>9005</v>
      </c>
      <c r="B6" t="s">
        <v>1238</v>
      </c>
      <c r="C6" t="s">
        <v>27</v>
      </c>
      <c r="D6">
        <v>71</v>
      </c>
      <c r="E6">
        <v>4.09</v>
      </c>
    </row>
    <row r="7" spans="1:5" x14ac:dyDescent="0.35">
      <c r="A7">
        <v>9006</v>
      </c>
      <c r="B7" t="s">
        <v>1237</v>
      </c>
      <c r="C7" t="s">
        <v>18</v>
      </c>
      <c r="D7">
        <v>160</v>
      </c>
      <c r="E7">
        <v>3.21</v>
      </c>
    </row>
    <row r="8" spans="1:5" x14ac:dyDescent="0.35">
      <c r="A8">
        <v>9007</v>
      </c>
      <c r="B8" t="s">
        <v>1236</v>
      </c>
      <c r="C8" t="s">
        <v>14</v>
      </c>
      <c r="D8">
        <v>122</v>
      </c>
      <c r="E8">
        <v>3.09</v>
      </c>
    </row>
    <row r="9" spans="1:5" x14ac:dyDescent="0.35">
      <c r="A9">
        <v>9008</v>
      </c>
      <c r="B9" t="s">
        <v>1235</v>
      </c>
      <c r="C9" t="s">
        <v>10</v>
      </c>
      <c r="D9">
        <v>196</v>
      </c>
      <c r="E9">
        <v>4.3099999999999996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D7" sqref="D7"/>
    </sheetView>
  </sheetViews>
  <sheetFormatPr defaultRowHeight="14.5" x14ac:dyDescent="0.35"/>
  <cols>
    <col min="2" max="2" width="18.36328125" customWidth="1"/>
    <col min="3" max="3" width="20.54296875" customWidth="1"/>
  </cols>
  <sheetData>
    <row r="1" spans="1:3" x14ac:dyDescent="0.35">
      <c r="A1" t="s">
        <v>7</v>
      </c>
      <c r="B1" t="s">
        <v>1233</v>
      </c>
      <c r="C1" t="s">
        <v>1234</v>
      </c>
    </row>
    <row r="2" spans="1:3" x14ac:dyDescent="0.35">
      <c r="A2" t="s">
        <v>15</v>
      </c>
      <c r="B2">
        <v>95</v>
      </c>
      <c r="C2">
        <v>3313031</v>
      </c>
    </row>
    <row r="3" spans="1:3" x14ac:dyDescent="0.35">
      <c r="A3" t="s">
        <v>77</v>
      </c>
      <c r="B3">
        <v>85</v>
      </c>
      <c r="C3">
        <v>2837630</v>
      </c>
    </row>
    <row r="4" spans="1:3" x14ac:dyDescent="0.35">
      <c r="A4" t="s">
        <v>19</v>
      </c>
      <c r="B4">
        <v>113</v>
      </c>
      <c r="C4">
        <v>3545893</v>
      </c>
    </row>
    <row r="5" spans="1:3" x14ac:dyDescent="0.35">
      <c r="A5" t="s">
        <v>11</v>
      </c>
      <c r="B5">
        <v>104</v>
      </c>
      <c r="C5">
        <v>3399338</v>
      </c>
    </row>
    <row r="6" spans="1:3" x14ac:dyDescent="0.35">
      <c r="A6" t="s">
        <v>31</v>
      </c>
      <c r="B6">
        <v>121</v>
      </c>
      <c r="C6">
        <v>4034138</v>
      </c>
    </row>
    <row r="7" spans="1:3" x14ac:dyDescent="0.35">
      <c r="A7" t="s">
        <v>67</v>
      </c>
      <c r="B7">
        <v>102</v>
      </c>
      <c r="C7">
        <v>3231986</v>
      </c>
    </row>
    <row r="8" spans="1:3" x14ac:dyDescent="0.35">
      <c r="A8" t="s">
        <v>43</v>
      </c>
      <c r="B8">
        <v>83</v>
      </c>
      <c r="C8">
        <v>2480854</v>
      </c>
    </row>
    <row r="9" spans="1:3" x14ac:dyDescent="0.35">
      <c r="A9" t="s">
        <v>38</v>
      </c>
      <c r="B9">
        <v>102</v>
      </c>
      <c r="C9">
        <v>3393793</v>
      </c>
    </row>
    <row r="10" spans="1:3" x14ac:dyDescent="0.35">
      <c r="A10" t="s">
        <v>53</v>
      </c>
      <c r="B10">
        <v>109</v>
      </c>
      <c r="C10">
        <v>3448691</v>
      </c>
    </row>
    <row r="11" spans="1:3" x14ac:dyDescent="0.35">
      <c r="A11" t="s">
        <v>22</v>
      </c>
      <c r="B11">
        <v>97</v>
      </c>
      <c r="C11">
        <v>3366455</v>
      </c>
    </row>
    <row r="12" spans="1:3" x14ac:dyDescent="0.35">
      <c r="A12" t="s">
        <v>29</v>
      </c>
      <c r="B12">
        <v>91</v>
      </c>
      <c r="C12">
        <v>2876138</v>
      </c>
    </row>
    <row r="13" spans="1:3" x14ac:dyDescent="0.35">
      <c r="A13" t="s">
        <v>25</v>
      </c>
      <c r="B13">
        <v>98</v>
      </c>
      <c r="C13">
        <v>3194551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201"/>
  <sheetViews>
    <sheetView workbookViewId="0">
      <selection activeCell="K5" sqref="K5"/>
    </sheetView>
  </sheetViews>
  <sheetFormatPr defaultRowHeight="14.5" x14ac:dyDescent="0.35"/>
  <cols>
    <col min="1" max="1" width="14.90625" customWidth="1"/>
    <col min="2" max="2" width="15.36328125" customWidth="1"/>
    <col min="3" max="3" width="10.08984375" customWidth="1"/>
    <col min="4" max="4" width="16.90625" customWidth="1"/>
    <col min="5" max="5" width="17.08984375" customWidth="1"/>
    <col min="6" max="6" width="14.90625" customWidth="1"/>
    <col min="7" max="7" width="14.6328125" customWidth="1"/>
    <col min="8" max="8" width="11" customWidth="1"/>
    <col min="9" max="9" width="16" customWidth="1"/>
    <col min="10" max="10" width="20.1796875" customWidth="1"/>
  </cols>
  <sheetData>
    <row r="1" spans="1:10" x14ac:dyDescent="0.35">
      <c r="A1" s="22" t="s">
        <v>0</v>
      </c>
      <c r="B1" s="22" t="s">
        <v>1</v>
      </c>
      <c r="C1" s="22" t="s">
        <v>2</v>
      </c>
      <c r="D1" s="22" t="s">
        <v>3</v>
      </c>
      <c r="E1" s="22" t="s">
        <v>4</v>
      </c>
      <c r="F1" s="22" t="s">
        <v>5</v>
      </c>
      <c r="G1" s="22" t="s">
        <v>6</v>
      </c>
      <c r="H1" s="22" t="s">
        <v>7</v>
      </c>
      <c r="I1" s="22" t="s">
        <v>1257</v>
      </c>
      <c r="J1" s="22" t="s">
        <v>1258</v>
      </c>
    </row>
    <row r="2" spans="1:10" x14ac:dyDescent="0.35">
      <c r="A2">
        <v>2001</v>
      </c>
      <c r="B2" t="s">
        <v>8</v>
      </c>
      <c r="C2" t="s">
        <v>9</v>
      </c>
      <c r="D2" t="s">
        <v>10</v>
      </c>
      <c r="E2">
        <v>45759</v>
      </c>
      <c r="F2">
        <v>42190</v>
      </c>
      <c r="G2">
        <v>37756</v>
      </c>
      <c r="H2" t="s">
        <v>11</v>
      </c>
      <c r="I2" t="str" cm="1">
        <f t="array" ref="I2">_xlfn.IFS(G2=0,"Not Paid",G2=F2,"Fully Paid",G2&lt;F2,"Partially Paid")</f>
        <v>Partially Paid</v>
      </c>
      <c r="J2" t="str">
        <f>IF(F2&gt;50000,"YES","NO")</f>
        <v>NO</v>
      </c>
    </row>
    <row r="3" spans="1:10" x14ac:dyDescent="0.35">
      <c r="A3">
        <v>2002</v>
      </c>
      <c r="B3" t="s">
        <v>12</v>
      </c>
      <c r="C3" t="s">
        <v>13</v>
      </c>
      <c r="D3" t="s">
        <v>14</v>
      </c>
      <c r="E3">
        <v>45676</v>
      </c>
      <c r="F3">
        <v>21875</v>
      </c>
      <c r="G3">
        <v>21217</v>
      </c>
      <c r="H3" t="s">
        <v>15</v>
      </c>
      <c r="I3" t="str" cm="1">
        <f t="array" ref="I3">_xlfn.IFS(G3=0,"Not Paid",G3=F3,"Fully Paid",G3&lt;F3,"Partially Paid")</f>
        <v>Partially Paid</v>
      </c>
      <c r="J3" t="str">
        <f t="shared" ref="J3:J66" si="0">IF(F3&gt;50000,"YES","NO")</f>
        <v>NO</v>
      </c>
    </row>
    <row r="4" spans="1:10" x14ac:dyDescent="0.35">
      <c r="A4">
        <v>2003</v>
      </c>
      <c r="B4" t="s">
        <v>16</v>
      </c>
      <c r="C4" t="s">
        <v>17</v>
      </c>
      <c r="D4" t="s">
        <v>18</v>
      </c>
      <c r="E4">
        <v>45739</v>
      </c>
      <c r="F4">
        <v>43377</v>
      </c>
      <c r="G4">
        <v>38320</v>
      </c>
      <c r="H4" t="s">
        <v>19</v>
      </c>
      <c r="I4" t="str" cm="1">
        <f t="array" ref="I4">_xlfn.IFS(G4=0,"Not Paid",G4=F4,"Fully Paid",G4&lt;F4,"Partially Paid")</f>
        <v>Partially Paid</v>
      </c>
      <c r="J4" t="str">
        <f t="shared" si="0"/>
        <v>NO</v>
      </c>
    </row>
    <row r="5" spans="1:10" x14ac:dyDescent="0.35">
      <c r="A5">
        <v>2004</v>
      </c>
      <c r="B5" t="s">
        <v>20</v>
      </c>
      <c r="C5" t="s">
        <v>9</v>
      </c>
      <c r="D5" t="s">
        <v>21</v>
      </c>
      <c r="E5">
        <v>45936</v>
      </c>
      <c r="F5">
        <v>24033</v>
      </c>
      <c r="G5">
        <v>20025</v>
      </c>
      <c r="H5" t="s">
        <v>22</v>
      </c>
      <c r="I5" t="str" cm="1">
        <f t="array" ref="I5">_xlfn.IFS(G5=0,"Not Paid",G5=F5,"Fully Paid",G5&lt;F5,"Partially Paid")</f>
        <v>Partially Paid</v>
      </c>
      <c r="J5" t="str">
        <f t="shared" si="0"/>
        <v>NO</v>
      </c>
    </row>
    <row r="6" spans="1:10" x14ac:dyDescent="0.35">
      <c r="A6">
        <v>2005</v>
      </c>
      <c r="B6" t="s">
        <v>23</v>
      </c>
      <c r="C6" t="s">
        <v>24</v>
      </c>
      <c r="D6" t="s">
        <v>18</v>
      </c>
      <c r="E6">
        <v>45996</v>
      </c>
      <c r="F6">
        <v>58211</v>
      </c>
      <c r="G6">
        <v>45495</v>
      </c>
      <c r="H6" t="s">
        <v>25</v>
      </c>
      <c r="I6" t="str" cm="1">
        <f t="array" ref="I6">_xlfn.IFS(G6=0,"Not Paid",G6=F6,"Fully Paid",G6&lt;F6,"Partially Paid")</f>
        <v>Partially Paid</v>
      </c>
      <c r="J6" t="str">
        <f t="shared" si="0"/>
        <v>YES</v>
      </c>
    </row>
    <row r="7" spans="1:10" x14ac:dyDescent="0.35">
      <c r="A7">
        <v>2006</v>
      </c>
      <c r="B7" t="s">
        <v>26</v>
      </c>
      <c r="C7" t="s">
        <v>17</v>
      </c>
      <c r="D7" t="s">
        <v>27</v>
      </c>
      <c r="E7">
        <v>46022</v>
      </c>
      <c r="F7">
        <v>37373</v>
      </c>
      <c r="G7">
        <v>32379</v>
      </c>
      <c r="H7" t="s">
        <v>25</v>
      </c>
      <c r="I7" t="str" cm="1">
        <f t="array" ref="I7">_xlfn.IFS(G7=0,"Not Paid",G7=F7,"Fully Paid",G7&lt;F7,"Partially Paid")</f>
        <v>Partially Paid</v>
      </c>
      <c r="J7" t="str">
        <f t="shared" si="0"/>
        <v>NO</v>
      </c>
    </row>
    <row r="8" spans="1:10" x14ac:dyDescent="0.35">
      <c r="A8">
        <v>2007</v>
      </c>
      <c r="B8" t="s">
        <v>28</v>
      </c>
      <c r="C8" t="s">
        <v>17</v>
      </c>
      <c r="D8" t="s">
        <v>10</v>
      </c>
      <c r="E8">
        <v>45988</v>
      </c>
      <c r="F8">
        <v>23744</v>
      </c>
      <c r="G8">
        <v>19510</v>
      </c>
      <c r="H8" t="s">
        <v>29</v>
      </c>
      <c r="I8" t="str" cm="1">
        <f t="array" ref="I8">_xlfn.IFS(G8=0,"Not Paid",G8=F8,"Fully Paid",G8&lt;F8,"Partially Paid")</f>
        <v>Partially Paid</v>
      </c>
      <c r="J8" t="str">
        <f t="shared" si="0"/>
        <v>NO</v>
      </c>
    </row>
    <row r="9" spans="1:10" x14ac:dyDescent="0.35">
      <c r="A9">
        <v>2008</v>
      </c>
      <c r="B9" t="s">
        <v>30</v>
      </c>
      <c r="C9" t="s">
        <v>9</v>
      </c>
      <c r="D9" t="s">
        <v>27</v>
      </c>
      <c r="E9">
        <v>45786</v>
      </c>
      <c r="F9">
        <v>44995</v>
      </c>
      <c r="G9">
        <v>41231</v>
      </c>
      <c r="H9" t="s">
        <v>31</v>
      </c>
      <c r="I9" t="str" cm="1">
        <f t="array" ref="I9">_xlfn.IFS(G9=0,"Not Paid",G9=F9,"Fully Paid",G9&lt;F9,"Partially Paid")</f>
        <v>Partially Paid</v>
      </c>
      <c r="J9" t="str">
        <f t="shared" si="0"/>
        <v>NO</v>
      </c>
    </row>
    <row r="10" spans="1:10" x14ac:dyDescent="0.35">
      <c r="A10">
        <v>2009</v>
      </c>
      <c r="B10" t="s">
        <v>32</v>
      </c>
      <c r="C10" t="s">
        <v>33</v>
      </c>
      <c r="D10" t="s">
        <v>21</v>
      </c>
      <c r="E10">
        <v>46001</v>
      </c>
      <c r="F10">
        <v>36977</v>
      </c>
      <c r="G10">
        <v>25796</v>
      </c>
      <c r="H10" t="s">
        <v>25</v>
      </c>
      <c r="I10" t="str" cm="1">
        <f t="array" ref="I10">_xlfn.IFS(G10=0,"Not Paid",G10=F10,"Fully Paid",G10&lt;F10,"Partially Paid")</f>
        <v>Partially Paid</v>
      </c>
      <c r="J10" t="str">
        <f t="shared" si="0"/>
        <v>NO</v>
      </c>
    </row>
    <row r="11" spans="1:10" x14ac:dyDescent="0.35">
      <c r="A11">
        <v>2010</v>
      </c>
      <c r="B11" t="s">
        <v>34</v>
      </c>
      <c r="C11" t="s">
        <v>24</v>
      </c>
      <c r="D11" t="s">
        <v>14</v>
      </c>
      <c r="E11">
        <v>45967</v>
      </c>
      <c r="F11">
        <v>52402</v>
      </c>
      <c r="G11">
        <v>47765</v>
      </c>
      <c r="H11" t="s">
        <v>29</v>
      </c>
      <c r="I11" t="str" cm="1">
        <f t="array" ref="I11">_xlfn.IFS(G11=0,"Not Paid",G11=F11,"Fully Paid",G11&lt;F11,"Partially Paid")</f>
        <v>Partially Paid</v>
      </c>
      <c r="J11" t="str">
        <f t="shared" si="0"/>
        <v>YES</v>
      </c>
    </row>
    <row r="12" spans="1:10" x14ac:dyDescent="0.35">
      <c r="A12">
        <v>2011</v>
      </c>
      <c r="B12" t="s">
        <v>35</v>
      </c>
      <c r="C12" t="s">
        <v>9</v>
      </c>
      <c r="D12" t="s">
        <v>21</v>
      </c>
      <c r="E12">
        <v>45746</v>
      </c>
      <c r="F12">
        <v>54542</v>
      </c>
      <c r="G12">
        <v>52438</v>
      </c>
      <c r="H12" t="s">
        <v>19</v>
      </c>
      <c r="I12" t="str" cm="1">
        <f t="array" ref="I12">_xlfn.IFS(G12=0,"Not Paid",G12=F12,"Fully Paid",G12&lt;F12,"Partially Paid")</f>
        <v>Partially Paid</v>
      </c>
      <c r="J12" t="str">
        <f t="shared" si="0"/>
        <v>YES</v>
      </c>
    </row>
    <row r="13" spans="1:10" x14ac:dyDescent="0.35">
      <c r="A13">
        <v>2012</v>
      </c>
      <c r="B13" t="s">
        <v>36</v>
      </c>
      <c r="C13" t="s">
        <v>24</v>
      </c>
      <c r="D13" t="s">
        <v>37</v>
      </c>
      <c r="E13">
        <v>45870</v>
      </c>
      <c r="F13">
        <v>30651</v>
      </c>
      <c r="G13">
        <v>21204</v>
      </c>
      <c r="H13" t="s">
        <v>38</v>
      </c>
      <c r="I13" t="str" cm="1">
        <f t="array" ref="I13">_xlfn.IFS(G13=0,"Not Paid",G13=F13,"Fully Paid",G13&lt;F13,"Partially Paid")</f>
        <v>Partially Paid</v>
      </c>
      <c r="J13" t="str">
        <f t="shared" si="0"/>
        <v>NO</v>
      </c>
    </row>
    <row r="14" spans="1:10" x14ac:dyDescent="0.35">
      <c r="A14">
        <v>2013</v>
      </c>
      <c r="B14" t="s">
        <v>39</v>
      </c>
      <c r="C14" t="s">
        <v>24</v>
      </c>
      <c r="D14" t="s">
        <v>21</v>
      </c>
      <c r="E14">
        <v>45800</v>
      </c>
      <c r="F14">
        <v>53703</v>
      </c>
      <c r="G14">
        <v>46902</v>
      </c>
      <c r="H14" t="s">
        <v>31</v>
      </c>
      <c r="I14" t="str" cm="1">
        <f t="array" ref="I14">_xlfn.IFS(G14=0,"Not Paid",G14=F14,"Fully Paid",G14&lt;F14,"Partially Paid")</f>
        <v>Partially Paid</v>
      </c>
      <c r="J14" t="str">
        <f t="shared" si="0"/>
        <v>YES</v>
      </c>
    </row>
    <row r="15" spans="1:10" x14ac:dyDescent="0.35">
      <c r="A15">
        <v>2014</v>
      </c>
      <c r="B15" t="s">
        <v>40</v>
      </c>
      <c r="C15" t="s">
        <v>17</v>
      </c>
      <c r="D15" t="s">
        <v>37</v>
      </c>
      <c r="E15">
        <v>45722</v>
      </c>
      <c r="F15">
        <v>33395</v>
      </c>
      <c r="G15">
        <v>22721</v>
      </c>
      <c r="H15" t="s">
        <v>19</v>
      </c>
      <c r="I15" t="str" cm="1">
        <f t="array" ref="I15">_xlfn.IFS(G15=0,"Not Paid",G15=F15,"Fully Paid",G15&lt;F15,"Partially Paid")</f>
        <v>Partially Paid</v>
      </c>
      <c r="J15" t="str">
        <f t="shared" si="0"/>
        <v>NO</v>
      </c>
    </row>
    <row r="16" spans="1:10" x14ac:dyDescent="0.35">
      <c r="A16">
        <v>2015</v>
      </c>
      <c r="B16" t="s">
        <v>41</v>
      </c>
      <c r="C16" t="s">
        <v>13</v>
      </c>
      <c r="D16" t="s">
        <v>21</v>
      </c>
      <c r="E16">
        <v>45733</v>
      </c>
      <c r="F16">
        <v>49808</v>
      </c>
      <c r="G16">
        <v>41233</v>
      </c>
      <c r="H16" t="s">
        <v>19</v>
      </c>
      <c r="I16" t="str" cm="1">
        <f t="array" ref="I16">_xlfn.IFS(G16=0,"Not Paid",G16=F16,"Fully Paid",G16&lt;F16,"Partially Paid")</f>
        <v>Partially Paid</v>
      </c>
      <c r="J16" t="str">
        <f t="shared" si="0"/>
        <v>NO</v>
      </c>
    </row>
    <row r="17" spans="1:10" x14ac:dyDescent="0.35">
      <c r="A17">
        <v>2016</v>
      </c>
      <c r="B17" t="s">
        <v>42</v>
      </c>
      <c r="C17" t="s">
        <v>24</v>
      </c>
      <c r="D17" t="s">
        <v>37</v>
      </c>
      <c r="E17">
        <v>45856</v>
      </c>
      <c r="F17">
        <v>56576</v>
      </c>
      <c r="G17">
        <v>53969</v>
      </c>
      <c r="H17" t="s">
        <v>43</v>
      </c>
      <c r="I17" t="str" cm="1">
        <f t="array" ref="I17">_xlfn.IFS(G17=0,"Not Paid",G17=F17,"Fully Paid",G17&lt;F17,"Partially Paid")</f>
        <v>Partially Paid</v>
      </c>
      <c r="J17" t="str">
        <f t="shared" si="0"/>
        <v>YES</v>
      </c>
    </row>
    <row r="18" spans="1:10" x14ac:dyDescent="0.35">
      <c r="A18">
        <v>2017</v>
      </c>
      <c r="B18" t="s">
        <v>44</v>
      </c>
      <c r="C18" t="s">
        <v>45</v>
      </c>
      <c r="D18" t="s">
        <v>10</v>
      </c>
      <c r="E18">
        <v>45800</v>
      </c>
      <c r="F18">
        <v>36715</v>
      </c>
      <c r="G18">
        <v>28330</v>
      </c>
      <c r="H18" t="s">
        <v>31</v>
      </c>
      <c r="I18" t="str" cm="1">
        <f t="array" ref="I18">_xlfn.IFS(G18=0,"Not Paid",G18=F18,"Fully Paid",G18&lt;F18,"Partially Paid")</f>
        <v>Partially Paid</v>
      </c>
      <c r="J18" t="str">
        <f t="shared" si="0"/>
        <v>NO</v>
      </c>
    </row>
    <row r="19" spans="1:10" x14ac:dyDescent="0.35">
      <c r="A19">
        <v>2018</v>
      </c>
      <c r="B19" t="s">
        <v>46</v>
      </c>
      <c r="C19" t="s">
        <v>17</v>
      </c>
      <c r="D19" t="s">
        <v>27</v>
      </c>
      <c r="E19">
        <v>45973</v>
      </c>
      <c r="F19">
        <v>44306</v>
      </c>
      <c r="G19">
        <v>32307</v>
      </c>
      <c r="H19" t="s">
        <v>29</v>
      </c>
      <c r="I19" t="str" cm="1">
        <f t="array" ref="I19">_xlfn.IFS(G19=0,"Not Paid",G19=F19,"Fully Paid",G19&lt;F19,"Partially Paid")</f>
        <v>Partially Paid</v>
      </c>
      <c r="J19" t="str">
        <f t="shared" si="0"/>
        <v>NO</v>
      </c>
    </row>
    <row r="20" spans="1:10" x14ac:dyDescent="0.35">
      <c r="A20">
        <v>2019</v>
      </c>
      <c r="B20" t="s">
        <v>47</v>
      </c>
      <c r="C20" t="s">
        <v>33</v>
      </c>
      <c r="D20" t="s">
        <v>27</v>
      </c>
      <c r="E20">
        <v>45750</v>
      </c>
      <c r="F20">
        <v>39086</v>
      </c>
      <c r="G20">
        <v>35367</v>
      </c>
      <c r="H20" t="s">
        <v>11</v>
      </c>
      <c r="I20" t="str" cm="1">
        <f t="array" ref="I20">_xlfn.IFS(G20=0,"Not Paid",G20=F20,"Fully Paid",G20&lt;F20,"Partially Paid")</f>
        <v>Partially Paid</v>
      </c>
      <c r="J20" t="str">
        <f t="shared" si="0"/>
        <v>NO</v>
      </c>
    </row>
    <row r="21" spans="1:10" x14ac:dyDescent="0.35">
      <c r="A21">
        <v>2020</v>
      </c>
      <c r="B21" t="s">
        <v>48</v>
      </c>
      <c r="C21" t="s">
        <v>13</v>
      </c>
      <c r="D21" t="s">
        <v>18</v>
      </c>
      <c r="E21">
        <v>45962</v>
      </c>
      <c r="F21">
        <v>34376</v>
      </c>
      <c r="G21">
        <v>31795</v>
      </c>
      <c r="H21" t="s">
        <v>29</v>
      </c>
      <c r="I21" t="str" cm="1">
        <f t="array" ref="I21">_xlfn.IFS(G21=0,"Not Paid",G21=F21,"Fully Paid",G21&lt;F21,"Partially Paid")</f>
        <v>Partially Paid</v>
      </c>
      <c r="J21" t="str">
        <f t="shared" si="0"/>
        <v>NO</v>
      </c>
    </row>
    <row r="22" spans="1:10" x14ac:dyDescent="0.35">
      <c r="A22">
        <v>2021</v>
      </c>
      <c r="B22" t="s">
        <v>49</v>
      </c>
      <c r="C22" t="s">
        <v>45</v>
      </c>
      <c r="D22" t="s">
        <v>27</v>
      </c>
      <c r="E22">
        <v>45881</v>
      </c>
      <c r="F22">
        <v>25889</v>
      </c>
      <c r="G22">
        <v>23324</v>
      </c>
      <c r="H22" t="s">
        <v>38</v>
      </c>
      <c r="I22" t="str" cm="1">
        <f t="array" ref="I22">_xlfn.IFS(G22=0,"Not Paid",G22=F22,"Fully Paid",G22&lt;F22,"Partially Paid")</f>
        <v>Partially Paid</v>
      </c>
      <c r="J22" t="str">
        <f t="shared" si="0"/>
        <v>NO</v>
      </c>
    </row>
    <row r="23" spans="1:10" x14ac:dyDescent="0.35">
      <c r="A23">
        <v>2022</v>
      </c>
      <c r="B23" t="s">
        <v>50</v>
      </c>
      <c r="C23" t="s">
        <v>45</v>
      </c>
      <c r="D23" t="s">
        <v>14</v>
      </c>
      <c r="E23">
        <v>45948</v>
      </c>
      <c r="F23">
        <v>57822</v>
      </c>
      <c r="G23">
        <v>55059</v>
      </c>
      <c r="H23" t="s">
        <v>22</v>
      </c>
      <c r="I23" t="str" cm="1">
        <f t="array" ref="I23">_xlfn.IFS(G23=0,"Not Paid",G23=F23,"Fully Paid",G23&lt;F23,"Partially Paid")</f>
        <v>Partially Paid</v>
      </c>
      <c r="J23" t="str">
        <f t="shared" si="0"/>
        <v>YES</v>
      </c>
    </row>
    <row r="24" spans="1:10" x14ac:dyDescent="0.35">
      <c r="A24">
        <v>2023</v>
      </c>
      <c r="B24" t="s">
        <v>51</v>
      </c>
      <c r="C24" t="s">
        <v>33</v>
      </c>
      <c r="D24" t="s">
        <v>21</v>
      </c>
      <c r="E24">
        <v>45759</v>
      </c>
      <c r="F24">
        <v>56636</v>
      </c>
      <c r="G24">
        <v>45646</v>
      </c>
      <c r="H24" t="s">
        <v>11</v>
      </c>
      <c r="I24" t="str" cm="1">
        <f t="array" ref="I24">_xlfn.IFS(G24=0,"Not Paid",G24=F24,"Fully Paid",G24&lt;F24,"Partially Paid")</f>
        <v>Partially Paid</v>
      </c>
      <c r="J24" t="str">
        <f t="shared" si="0"/>
        <v>YES</v>
      </c>
    </row>
    <row r="25" spans="1:10" x14ac:dyDescent="0.35">
      <c r="A25">
        <v>2024</v>
      </c>
      <c r="B25" t="s">
        <v>52</v>
      </c>
      <c r="C25" t="s">
        <v>13</v>
      </c>
      <c r="D25" t="s">
        <v>18</v>
      </c>
      <c r="E25">
        <v>45924</v>
      </c>
      <c r="F25">
        <v>40584</v>
      </c>
      <c r="G25">
        <v>34256</v>
      </c>
      <c r="H25" t="s">
        <v>53</v>
      </c>
      <c r="I25" t="str" cm="1">
        <f t="array" ref="I25">_xlfn.IFS(G25=0,"Not Paid",G25=F25,"Fully Paid",G25&lt;F25,"Partially Paid")</f>
        <v>Partially Paid</v>
      </c>
      <c r="J25" t="str">
        <f t="shared" si="0"/>
        <v>NO</v>
      </c>
    </row>
    <row r="26" spans="1:10" x14ac:dyDescent="0.35">
      <c r="A26">
        <v>2025</v>
      </c>
      <c r="B26" t="s">
        <v>54</v>
      </c>
      <c r="C26" t="s">
        <v>17</v>
      </c>
      <c r="D26" t="s">
        <v>14</v>
      </c>
      <c r="E26">
        <v>46012</v>
      </c>
      <c r="F26">
        <v>54610</v>
      </c>
      <c r="G26">
        <v>48619</v>
      </c>
      <c r="H26" t="s">
        <v>25</v>
      </c>
      <c r="I26" t="str" cm="1">
        <f t="array" ref="I26">_xlfn.IFS(G26=0,"Not Paid",G26=F26,"Fully Paid",G26&lt;F26,"Partially Paid")</f>
        <v>Partially Paid</v>
      </c>
      <c r="J26" t="str">
        <f t="shared" si="0"/>
        <v>YES</v>
      </c>
    </row>
    <row r="27" spans="1:10" x14ac:dyDescent="0.35">
      <c r="A27">
        <v>2026</v>
      </c>
      <c r="B27" t="s">
        <v>55</v>
      </c>
      <c r="C27" t="s">
        <v>56</v>
      </c>
      <c r="D27" t="s">
        <v>14</v>
      </c>
      <c r="E27">
        <v>45767</v>
      </c>
      <c r="F27">
        <v>30058</v>
      </c>
      <c r="G27">
        <v>19527</v>
      </c>
      <c r="H27" t="s">
        <v>11</v>
      </c>
      <c r="I27" t="str" cm="1">
        <f t="array" ref="I27">_xlfn.IFS(G27=0,"Not Paid",G27=F27,"Fully Paid",G27&lt;F27,"Partially Paid")</f>
        <v>Partially Paid</v>
      </c>
      <c r="J27" t="str">
        <f t="shared" si="0"/>
        <v>NO</v>
      </c>
    </row>
    <row r="28" spans="1:10" x14ac:dyDescent="0.35">
      <c r="A28">
        <v>2027</v>
      </c>
      <c r="B28" t="s">
        <v>57</v>
      </c>
      <c r="C28" t="s">
        <v>13</v>
      </c>
      <c r="D28" t="s">
        <v>37</v>
      </c>
      <c r="E28">
        <v>45987</v>
      </c>
      <c r="F28">
        <v>29101</v>
      </c>
      <c r="G28">
        <v>25695</v>
      </c>
      <c r="H28" t="s">
        <v>29</v>
      </c>
      <c r="I28" t="str" cm="1">
        <f t="array" ref="I28">_xlfn.IFS(G28=0,"Not Paid",G28=F28,"Fully Paid",G28&lt;F28,"Partially Paid")</f>
        <v>Partially Paid</v>
      </c>
      <c r="J28" t="str">
        <f t="shared" si="0"/>
        <v>NO</v>
      </c>
    </row>
    <row r="29" spans="1:10" x14ac:dyDescent="0.35">
      <c r="A29">
        <v>2028</v>
      </c>
      <c r="B29" t="s">
        <v>58</v>
      </c>
      <c r="C29" t="s">
        <v>33</v>
      </c>
      <c r="D29" t="s">
        <v>27</v>
      </c>
      <c r="E29">
        <v>45922</v>
      </c>
      <c r="F29">
        <v>32497</v>
      </c>
      <c r="G29">
        <v>23574</v>
      </c>
      <c r="H29" t="s">
        <v>53</v>
      </c>
      <c r="I29" t="str" cm="1">
        <f t="array" ref="I29">_xlfn.IFS(G29=0,"Not Paid",G29=F29,"Fully Paid",G29&lt;F29,"Partially Paid")</f>
        <v>Partially Paid</v>
      </c>
      <c r="J29" t="str">
        <f t="shared" si="0"/>
        <v>NO</v>
      </c>
    </row>
    <row r="30" spans="1:10" x14ac:dyDescent="0.35">
      <c r="A30">
        <v>2029</v>
      </c>
      <c r="B30" t="s">
        <v>59</v>
      </c>
      <c r="C30" t="s">
        <v>45</v>
      </c>
      <c r="D30" t="s">
        <v>10</v>
      </c>
      <c r="E30">
        <v>45660</v>
      </c>
      <c r="F30">
        <v>24658</v>
      </c>
      <c r="G30">
        <v>10207</v>
      </c>
      <c r="H30" t="s">
        <v>15</v>
      </c>
      <c r="I30" t="str" cm="1">
        <f t="array" ref="I30">_xlfn.IFS(G30=0,"Not Paid",G30=F30,"Fully Paid",G30&lt;F30,"Partially Paid")</f>
        <v>Partially Paid</v>
      </c>
      <c r="J30" t="str">
        <f t="shared" si="0"/>
        <v>NO</v>
      </c>
    </row>
    <row r="31" spans="1:10" x14ac:dyDescent="0.35">
      <c r="A31">
        <v>2030</v>
      </c>
      <c r="B31" t="s">
        <v>60</v>
      </c>
      <c r="C31" t="s">
        <v>17</v>
      </c>
      <c r="D31" t="s">
        <v>10</v>
      </c>
      <c r="E31">
        <v>45742</v>
      </c>
      <c r="F31">
        <v>31381</v>
      </c>
      <c r="G31">
        <v>20317</v>
      </c>
      <c r="H31" t="s">
        <v>19</v>
      </c>
      <c r="I31" t="str" cm="1">
        <f t="array" ref="I31">_xlfn.IFS(G31=0,"Not Paid",G31=F31,"Fully Paid",G31&lt;F31,"Partially Paid")</f>
        <v>Partially Paid</v>
      </c>
      <c r="J31" t="str">
        <f t="shared" si="0"/>
        <v>NO</v>
      </c>
    </row>
    <row r="32" spans="1:10" x14ac:dyDescent="0.35">
      <c r="A32">
        <v>2031</v>
      </c>
      <c r="B32" t="s">
        <v>61</v>
      </c>
      <c r="C32" t="s">
        <v>13</v>
      </c>
      <c r="D32" t="s">
        <v>18</v>
      </c>
      <c r="E32">
        <v>45939</v>
      </c>
      <c r="F32">
        <v>37154</v>
      </c>
      <c r="G32">
        <v>25842</v>
      </c>
      <c r="H32" t="s">
        <v>22</v>
      </c>
      <c r="I32" t="str" cm="1">
        <f t="array" ref="I32">_xlfn.IFS(G32=0,"Not Paid",G32=F32,"Fully Paid",G32&lt;F32,"Partially Paid")</f>
        <v>Partially Paid</v>
      </c>
      <c r="J32" t="str">
        <f t="shared" si="0"/>
        <v>NO</v>
      </c>
    </row>
    <row r="33" spans="1:10" x14ac:dyDescent="0.35">
      <c r="A33">
        <v>2032</v>
      </c>
      <c r="B33" t="s">
        <v>62</v>
      </c>
      <c r="C33" t="s">
        <v>56</v>
      </c>
      <c r="D33" t="s">
        <v>10</v>
      </c>
      <c r="E33">
        <v>45985</v>
      </c>
      <c r="F33">
        <v>39539</v>
      </c>
      <c r="G33">
        <v>34759</v>
      </c>
      <c r="H33" t="s">
        <v>29</v>
      </c>
      <c r="I33" t="str" cm="1">
        <f t="array" ref="I33">_xlfn.IFS(G33=0,"Not Paid",G33=F33,"Fully Paid",G33&lt;F33,"Partially Paid")</f>
        <v>Partially Paid</v>
      </c>
      <c r="J33" t="str">
        <f t="shared" si="0"/>
        <v>NO</v>
      </c>
    </row>
    <row r="34" spans="1:10" x14ac:dyDescent="0.35">
      <c r="A34">
        <v>2033</v>
      </c>
      <c r="B34" t="s">
        <v>63</v>
      </c>
      <c r="C34" t="s">
        <v>56</v>
      </c>
      <c r="D34" t="s">
        <v>21</v>
      </c>
      <c r="E34">
        <v>45961</v>
      </c>
      <c r="F34">
        <v>31777</v>
      </c>
      <c r="G34">
        <v>27600</v>
      </c>
      <c r="H34" t="s">
        <v>22</v>
      </c>
      <c r="I34" t="str" cm="1">
        <f t="array" ref="I34">_xlfn.IFS(G34=0,"Not Paid",G34=F34,"Fully Paid",G34&lt;F34,"Partially Paid")</f>
        <v>Partially Paid</v>
      </c>
      <c r="J34" t="str">
        <f t="shared" si="0"/>
        <v>NO</v>
      </c>
    </row>
    <row r="35" spans="1:10" x14ac:dyDescent="0.35">
      <c r="A35">
        <v>2034</v>
      </c>
      <c r="B35" t="s">
        <v>64</v>
      </c>
      <c r="C35" t="s">
        <v>24</v>
      </c>
      <c r="D35" t="s">
        <v>10</v>
      </c>
      <c r="E35">
        <v>45774</v>
      </c>
      <c r="F35">
        <v>54396</v>
      </c>
      <c r="G35">
        <v>47920</v>
      </c>
      <c r="H35" t="s">
        <v>11</v>
      </c>
      <c r="I35" t="str" cm="1">
        <f t="array" ref="I35">_xlfn.IFS(G35=0,"Not Paid",G35=F35,"Fully Paid",G35&lt;F35,"Partially Paid")</f>
        <v>Partially Paid</v>
      </c>
      <c r="J35" t="str">
        <f t="shared" si="0"/>
        <v>YES</v>
      </c>
    </row>
    <row r="36" spans="1:10" x14ac:dyDescent="0.35">
      <c r="A36">
        <v>2035</v>
      </c>
      <c r="B36" t="s">
        <v>65</v>
      </c>
      <c r="C36" t="s">
        <v>24</v>
      </c>
      <c r="D36" t="s">
        <v>18</v>
      </c>
      <c r="E36">
        <v>45878</v>
      </c>
      <c r="F36">
        <v>50373</v>
      </c>
      <c r="G36">
        <v>47769</v>
      </c>
      <c r="H36" t="s">
        <v>38</v>
      </c>
      <c r="I36" t="str" cm="1">
        <f t="array" ref="I36">_xlfn.IFS(G36=0,"Not Paid",G36=F36,"Fully Paid",G36&lt;F36,"Partially Paid")</f>
        <v>Partially Paid</v>
      </c>
      <c r="J36" t="str">
        <f t="shared" si="0"/>
        <v>YES</v>
      </c>
    </row>
    <row r="37" spans="1:10" x14ac:dyDescent="0.35">
      <c r="A37">
        <v>2036</v>
      </c>
      <c r="B37" t="s">
        <v>66</v>
      </c>
      <c r="C37" t="s">
        <v>9</v>
      </c>
      <c r="D37" t="s">
        <v>10</v>
      </c>
      <c r="E37">
        <v>45811</v>
      </c>
      <c r="F37">
        <v>53154</v>
      </c>
      <c r="G37">
        <v>44973</v>
      </c>
      <c r="H37" t="s">
        <v>67</v>
      </c>
      <c r="I37" t="str" cm="1">
        <f t="array" ref="I37">_xlfn.IFS(G37=0,"Not Paid",G37=F37,"Fully Paid",G37&lt;F37,"Partially Paid")</f>
        <v>Partially Paid</v>
      </c>
      <c r="J37" t="str">
        <f t="shared" si="0"/>
        <v>YES</v>
      </c>
    </row>
    <row r="38" spans="1:10" x14ac:dyDescent="0.35">
      <c r="A38">
        <v>2037</v>
      </c>
      <c r="B38" t="s">
        <v>68</v>
      </c>
      <c r="C38" t="s">
        <v>33</v>
      </c>
      <c r="D38" t="s">
        <v>21</v>
      </c>
      <c r="E38">
        <v>45810</v>
      </c>
      <c r="F38">
        <v>26031</v>
      </c>
      <c r="G38">
        <v>23649</v>
      </c>
      <c r="H38" t="s">
        <v>67</v>
      </c>
      <c r="I38" t="str" cm="1">
        <f t="array" ref="I38">_xlfn.IFS(G38=0,"Not Paid",G38=F38,"Fully Paid",G38&lt;F38,"Partially Paid")</f>
        <v>Partially Paid</v>
      </c>
      <c r="J38" t="str">
        <f t="shared" si="0"/>
        <v>NO</v>
      </c>
    </row>
    <row r="39" spans="1:10" x14ac:dyDescent="0.35">
      <c r="A39">
        <v>2038</v>
      </c>
      <c r="B39" t="s">
        <v>69</v>
      </c>
      <c r="C39" t="s">
        <v>13</v>
      </c>
      <c r="D39" t="s">
        <v>37</v>
      </c>
      <c r="E39">
        <v>45669</v>
      </c>
      <c r="F39">
        <v>47997</v>
      </c>
      <c r="G39">
        <v>47466</v>
      </c>
      <c r="H39" t="s">
        <v>15</v>
      </c>
      <c r="I39" t="str" cm="1">
        <f t="array" ref="I39">_xlfn.IFS(G39=0,"Not Paid",G39=F39,"Fully Paid",G39&lt;F39,"Partially Paid")</f>
        <v>Partially Paid</v>
      </c>
      <c r="J39" t="str">
        <f t="shared" si="0"/>
        <v>NO</v>
      </c>
    </row>
    <row r="40" spans="1:10" x14ac:dyDescent="0.35">
      <c r="A40">
        <v>2039</v>
      </c>
      <c r="B40" t="s">
        <v>70</v>
      </c>
      <c r="C40" t="s">
        <v>13</v>
      </c>
      <c r="D40" t="s">
        <v>18</v>
      </c>
      <c r="E40">
        <v>45790</v>
      </c>
      <c r="F40">
        <v>26439</v>
      </c>
      <c r="G40">
        <v>20360</v>
      </c>
      <c r="H40" t="s">
        <v>31</v>
      </c>
      <c r="I40" t="str" cm="1">
        <f t="array" ref="I40">_xlfn.IFS(G40=0,"Not Paid",G40=F40,"Fully Paid",G40&lt;F40,"Partially Paid")</f>
        <v>Partially Paid</v>
      </c>
      <c r="J40" t="str">
        <f t="shared" si="0"/>
        <v>NO</v>
      </c>
    </row>
    <row r="41" spans="1:10" x14ac:dyDescent="0.35">
      <c r="A41">
        <v>2040</v>
      </c>
      <c r="B41" t="s">
        <v>71</v>
      </c>
      <c r="C41" t="s">
        <v>9</v>
      </c>
      <c r="D41" t="s">
        <v>37</v>
      </c>
      <c r="E41">
        <v>45961</v>
      </c>
      <c r="F41">
        <v>42785</v>
      </c>
      <c r="G41">
        <v>30277</v>
      </c>
      <c r="H41" t="s">
        <v>22</v>
      </c>
      <c r="I41" t="str" cm="1">
        <f t="array" ref="I41">_xlfn.IFS(G41=0,"Not Paid",G41=F41,"Fully Paid",G41&lt;F41,"Partially Paid")</f>
        <v>Partially Paid</v>
      </c>
      <c r="J41" t="str">
        <f t="shared" si="0"/>
        <v>NO</v>
      </c>
    </row>
    <row r="42" spans="1:10" x14ac:dyDescent="0.35">
      <c r="A42">
        <v>2041</v>
      </c>
      <c r="B42" t="s">
        <v>72</v>
      </c>
      <c r="C42" t="s">
        <v>45</v>
      </c>
      <c r="D42" t="s">
        <v>37</v>
      </c>
      <c r="E42">
        <v>45950</v>
      </c>
      <c r="F42">
        <v>33392</v>
      </c>
      <c r="G42">
        <v>32758</v>
      </c>
      <c r="H42" t="s">
        <v>22</v>
      </c>
      <c r="I42" t="str" cm="1">
        <f t="array" ref="I42">_xlfn.IFS(G42=0,"Not Paid",G42=F42,"Fully Paid",G42&lt;F42,"Partially Paid")</f>
        <v>Partially Paid</v>
      </c>
      <c r="J42" t="str">
        <f t="shared" si="0"/>
        <v>NO</v>
      </c>
    </row>
    <row r="43" spans="1:10" x14ac:dyDescent="0.35">
      <c r="A43">
        <v>2042</v>
      </c>
      <c r="B43" t="s">
        <v>73</v>
      </c>
      <c r="C43" t="s">
        <v>45</v>
      </c>
      <c r="D43" t="s">
        <v>37</v>
      </c>
      <c r="E43">
        <v>45957</v>
      </c>
      <c r="F43">
        <v>48669</v>
      </c>
      <c r="G43">
        <v>38708</v>
      </c>
      <c r="H43" t="s">
        <v>22</v>
      </c>
      <c r="I43" t="str" cm="1">
        <f t="array" ref="I43">_xlfn.IFS(G43=0,"Not Paid",G43=F43,"Fully Paid",G43&lt;F43,"Partially Paid")</f>
        <v>Partially Paid</v>
      </c>
      <c r="J43" t="str">
        <f t="shared" si="0"/>
        <v>NO</v>
      </c>
    </row>
    <row r="44" spans="1:10" x14ac:dyDescent="0.35">
      <c r="A44">
        <v>2043</v>
      </c>
      <c r="B44" t="s">
        <v>74</v>
      </c>
      <c r="C44" t="s">
        <v>9</v>
      </c>
      <c r="D44" t="s">
        <v>14</v>
      </c>
      <c r="E44">
        <v>45885</v>
      </c>
      <c r="F44">
        <v>48939</v>
      </c>
      <c r="G44">
        <v>36943</v>
      </c>
      <c r="H44" t="s">
        <v>38</v>
      </c>
      <c r="I44" t="str" cm="1">
        <f t="array" ref="I44">_xlfn.IFS(G44=0,"Not Paid",G44=F44,"Fully Paid",G44&lt;F44,"Partially Paid")</f>
        <v>Partially Paid</v>
      </c>
      <c r="J44" t="str">
        <f t="shared" si="0"/>
        <v>NO</v>
      </c>
    </row>
    <row r="45" spans="1:10" x14ac:dyDescent="0.35">
      <c r="A45">
        <v>2044</v>
      </c>
      <c r="B45" t="s">
        <v>75</v>
      </c>
      <c r="C45" t="s">
        <v>45</v>
      </c>
      <c r="D45" t="s">
        <v>27</v>
      </c>
      <c r="E45">
        <v>45928</v>
      </c>
      <c r="F45">
        <v>22282</v>
      </c>
      <c r="G45">
        <v>11720</v>
      </c>
      <c r="H45" t="s">
        <v>53</v>
      </c>
      <c r="I45" t="str" cm="1">
        <f t="array" ref="I45">_xlfn.IFS(G45=0,"Not Paid",G45=F45,"Fully Paid",G45&lt;F45,"Partially Paid")</f>
        <v>Partially Paid</v>
      </c>
      <c r="J45" t="str">
        <f t="shared" si="0"/>
        <v>NO</v>
      </c>
    </row>
    <row r="46" spans="1:10" x14ac:dyDescent="0.35">
      <c r="A46">
        <v>2045</v>
      </c>
      <c r="B46" t="s">
        <v>76</v>
      </c>
      <c r="C46" t="s">
        <v>24</v>
      </c>
      <c r="D46" t="s">
        <v>14</v>
      </c>
      <c r="E46">
        <v>45700</v>
      </c>
      <c r="F46">
        <v>54624</v>
      </c>
      <c r="G46">
        <v>40462</v>
      </c>
      <c r="H46" t="s">
        <v>77</v>
      </c>
      <c r="I46" t="str" cm="1">
        <f t="array" ref="I46">_xlfn.IFS(G46=0,"Not Paid",G46=F46,"Fully Paid",G46&lt;F46,"Partially Paid")</f>
        <v>Partially Paid</v>
      </c>
      <c r="J46" t="str">
        <f t="shared" si="0"/>
        <v>YES</v>
      </c>
    </row>
    <row r="47" spans="1:10" x14ac:dyDescent="0.35">
      <c r="A47">
        <v>2046</v>
      </c>
      <c r="B47" t="s">
        <v>78</v>
      </c>
      <c r="C47" t="s">
        <v>13</v>
      </c>
      <c r="D47" t="s">
        <v>27</v>
      </c>
      <c r="E47">
        <v>46000</v>
      </c>
      <c r="F47">
        <v>44364</v>
      </c>
      <c r="G47">
        <v>44362</v>
      </c>
      <c r="H47" t="s">
        <v>25</v>
      </c>
      <c r="I47" t="str" cm="1">
        <f t="array" ref="I47">_xlfn.IFS(G47=0,"Not Paid",G47=F47,"Fully Paid",G47&lt;F47,"Partially Paid")</f>
        <v>Partially Paid</v>
      </c>
      <c r="J47" t="str">
        <f t="shared" si="0"/>
        <v>NO</v>
      </c>
    </row>
    <row r="48" spans="1:10" x14ac:dyDescent="0.35">
      <c r="A48">
        <v>2047</v>
      </c>
      <c r="B48" t="s">
        <v>79</v>
      </c>
      <c r="C48" t="s">
        <v>9</v>
      </c>
      <c r="D48" t="s">
        <v>37</v>
      </c>
      <c r="E48">
        <v>45983</v>
      </c>
      <c r="F48">
        <v>21998</v>
      </c>
      <c r="G48">
        <v>7993</v>
      </c>
      <c r="H48" t="s">
        <v>29</v>
      </c>
      <c r="I48" t="str" cm="1">
        <f t="array" ref="I48">_xlfn.IFS(G48=0,"Not Paid",G48=F48,"Fully Paid",G48&lt;F48,"Partially Paid")</f>
        <v>Partially Paid</v>
      </c>
      <c r="J48" t="str">
        <f t="shared" si="0"/>
        <v>NO</v>
      </c>
    </row>
    <row r="49" spans="1:10" x14ac:dyDescent="0.35">
      <c r="A49">
        <v>2048</v>
      </c>
      <c r="B49" t="s">
        <v>80</v>
      </c>
      <c r="C49" t="s">
        <v>13</v>
      </c>
      <c r="D49" t="s">
        <v>18</v>
      </c>
      <c r="E49">
        <v>45959</v>
      </c>
      <c r="F49">
        <v>51705</v>
      </c>
      <c r="G49">
        <v>43308</v>
      </c>
      <c r="H49" t="s">
        <v>22</v>
      </c>
      <c r="I49" t="str" cm="1">
        <f t="array" ref="I49">_xlfn.IFS(G49=0,"Not Paid",G49=F49,"Fully Paid",G49&lt;F49,"Partially Paid")</f>
        <v>Partially Paid</v>
      </c>
      <c r="J49" t="str">
        <f t="shared" si="0"/>
        <v>YES</v>
      </c>
    </row>
    <row r="50" spans="1:10" x14ac:dyDescent="0.35">
      <c r="A50">
        <v>2049</v>
      </c>
      <c r="B50" t="s">
        <v>81</v>
      </c>
      <c r="C50" t="s">
        <v>56</v>
      </c>
      <c r="D50" t="s">
        <v>27</v>
      </c>
      <c r="E50">
        <v>46021</v>
      </c>
      <c r="F50">
        <v>58244</v>
      </c>
      <c r="G50">
        <v>52293</v>
      </c>
      <c r="H50" t="s">
        <v>25</v>
      </c>
      <c r="I50" t="str" cm="1">
        <f t="array" ref="I50">_xlfn.IFS(G50=0,"Not Paid",G50=F50,"Fully Paid",G50&lt;F50,"Partially Paid")</f>
        <v>Partially Paid</v>
      </c>
      <c r="J50" t="str">
        <f t="shared" si="0"/>
        <v>YES</v>
      </c>
    </row>
    <row r="51" spans="1:10" x14ac:dyDescent="0.35">
      <c r="A51">
        <v>2050</v>
      </c>
      <c r="B51" t="s">
        <v>82</v>
      </c>
      <c r="C51" t="s">
        <v>24</v>
      </c>
      <c r="D51" t="s">
        <v>21</v>
      </c>
      <c r="E51">
        <v>45678</v>
      </c>
      <c r="F51">
        <v>29428</v>
      </c>
      <c r="G51">
        <v>17101</v>
      </c>
      <c r="H51" t="s">
        <v>15</v>
      </c>
      <c r="I51" t="str" cm="1">
        <f t="array" ref="I51">_xlfn.IFS(G51=0,"Not Paid",G51=F51,"Fully Paid",G51&lt;F51,"Partially Paid")</f>
        <v>Partially Paid</v>
      </c>
      <c r="J51" t="str">
        <f t="shared" si="0"/>
        <v>NO</v>
      </c>
    </row>
    <row r="52" spans="1:10" x14ac:dyDescent="0.35">
      <c r="A52">
        <v>2051</v>
      </c>
      <c r="B52" t="s">
        <v>83</v>
      </c>
      <c r="C52" t="s">
        <v>17</v>
      </c>
      <c r="D52" t="s">
        <v>21</v>
      </c>
      <c r="E52">
        <v>45764</v>
      </c>
      <c r="F52">
        <v>57437</v>
      </c>
      <c r="G52">
        <v>43043</v>
      </c>
      <c r="H52" t="s">
        <v>11</v>
      </c>
      <c r="I52" t="str" cm="1">
        <f t="array" ref="I52">_xlfn.IFS(G52=0,"Not Paid",G52=F52,"Fully Paid",G52&lt;F52,"Partially Paid")</f>
        <v>Partially Paid</v>
      </c>
      <c r="J52" t="str">
        <f t="shared" si="0"/>
        <v>YES</v>
      </c>
    </row>
    <row r="53" spans="1:10" x14ac:dyDescent="0.35">
      <c r="A53">
        <v>2052</v>
      </c>
      <c r="B53" t="s">
        <v>84</v>
      </c>
      <c r="C53" t="s">
        <v>24</v>
      </c>
      <c r="D53" t="s">
        <v>10</v>
      </c>
      <c r="E53">
        <v>45993</v>
      </c>
      <c r="F53">
        <v>32336</v>
      </c>
      <c r="G53">
        <v>21523</v>
      </c>
      <c r="H53" t="s">
        <v>25</v>
      </c>
      <c r="I53" t="str" cm="1">
        <f t="array" ref="I53">_xlfn.IFS(G53=0,"Not Paid",G53=F53,"Fully Paid",G53&lt;F53,"Partially Paid")</f>
        <v>Partially Paid</v>
      </c>
      <c r="J53" t="str">
        <f t="shared" si="0"/>
        <v>NO</v>
      </c>
    </row>
    <row r="54" spans="1:10" x14ac:dyDescent="0.35">
      <c r="A54">
        <v>2053</v>
      </c>
      <c r="B54" t="s">
        <v>85</v>
      </c>
      <c r="C54" t="s">
        <v>9</v>
      </c>
      <c r="D54" t="s">
        <v>27</v>
      </c>
      <c r="E54">
        <v>45960</v>
      </c>
      <c r="F54">
        <v>29342</v>
      </c>
      <c r="G54">
        <v>16411</v>
      </c>
      <c r="H54" t="s">
        <v>22</v>
      </c>
      <c r="I54" t="str" cm="1">
        <f t="array" ref="I54">_xlfn.IFS(G54=0,"Not Paid",G54=F54,"Fully Paid",G54&lt;F54,"Partially Paid")</f>
        <v>Partially Paid</v>
      </c>
      <c r="J54" t="str">
        <f t="shared" si="0"/>
        <v>NO</v>
      </c>
    </row>
    <row r="55" spans="1:10" x14ac:dyDescent="0.35">
      <c r="A55">
        <v>2054</v>
      </c>
      <c r="B55" t="s">
        <v>86</v>
      </c>
      <c r="C55" t="s">
        <v>17</v>
      </c>
      <c r="D55" t="s">
        <v>18</v>
      </c>
      <c r="E55">
        <v>45774</v>
      </c>
      <c r="F55">
        <v>59832</v>
      </c>
      <c r="G55">
        <v>54206</v>
      </c>
      <c r="H55" t="s">
        <v>11</v>
      </c>
      <c r="I55" t="str" cm="1">
        <f t="array" ref="I55">_xlfn.IFS(G55=0,"Not Paid",G55=F55,"Fully Paid",G55&lt;F55,"Partially Paid")</f>
        <v>Partially Paid</v>
      </c>
      <c r="J55" t="str">
        <f t="shared" si="0"/>
        <v>YES</v>
      </c>
    </row>
    <row r="56" spans="1:10" x14ac:dyDescent="0.35">
      <c r="A56">
        <v>2055</v>
      </c>
      <c r="B56" t="s">
        <v>87</v>
      </c>
      <c r="C56" t="s">
        <v>56</v>
      </c>
      <c r="D56" t="s">
        <v>14</v>
      </c>
      <c r="E56">
        <v>45781</v>
      </c>
      <c r="F56">
        <v>27446</v>
      </c>
      <c r="G56">
        <v>19707</v>
      </c>
      <c r="H56" t="s">
        <v>31</v>
      </c>
      <c r="I56" t="str" cm="1">
        <f t="array" ref="I56">_xlfn.IFS(G56=0,"Not Paid",G56=F56,"Fully Paid",G56&lt;F56,"Partially Paid")</f>
        <v>Partially Paid</v>
      </c>
      <c r="J56" t="str">
        <f t="shared" si="0"/>
        <v>NO</v>
      </c>
    </row>
    <row r="57" spans="1:10" x14ac:dyDescent="0.35">
      <c r="A57">
        <v>2056</v>
      </c>
      <c r="B57" t="s">
        <v>88</v>
      </c>
      <c r="C57" t="s">
        <v>9</v>
      </c>
      <c r="D57" t="s">
        <v>37</v>
      </c>
      <c r="E57">
        <v>45938</v>
      </c>
      <c r="F57">
        <v>58392</v>
      </c>
      <c r="G57">
        <v>52389</v>
      </c>
      <c r="H57" t="s">
        <v>22</v>
      </c>
      <c r="I57" t="str" cm="1">
        <f t="array" ref="I57">_xlfn.IFS(G57=0,"Not Paid",G57=F57,"Fully Paid",G57&lt;F57,"Partially Paid")</f>
        <v>Partially Paid</v>
      </c>
      <c r="J57" t="str">
        <f t="shared" si="0"/>
        <v>YES</v>
      </c>
    </row>
    <row r="58" spans="1:10" x14ac:dyDescent="0.35">
      <c r="A58">
        <v>2057</v>
      </c>
      <c r="B58" t="s">
        <v>89</v>
      </c>
      <c r="C58" t="s">
        <v>33</v>
      </c>
      <c r="D58" t="s">
        <v>10</v>
      </c>
      <c r="E58">
        <v>45949</v>
      </c>
      <c r="F58">
        <v>27461</v>
      </c>
      <c r="G58">
        <v>24571</v>
      </c>
      <c r="H58" t="s">
        <v>22</v>
      </c>
      <c r="I58" t="str" cm="1">
        <f t="array" ref="I58">_xlfn.IFS(G58=0,"Not Paid",G58=F58,"Fully Paid",G58&lt;F58,"Partially Paid")</f>
        <v>Partially Paid</v>
      </c>
      <c r="J58" t="str">
        <f t="shared" si="0"/>
        <v>NO</v>
      </c>
    </row>
    <row r="59" spans="1:10" x14ac:dyDescent="0.35">
      <c r="A59">
        <v>2058</v>
      </c>
      <c r="B59" t="s">
        <v>90</v>
      </c>
      <c r="C59" t="s">
        <v>13</v>
      </c>
      <c r="D59" t="s">
        <v>21</v>
      </c>
      <c r="E59">
        <v>45860</v>
      </c>
      <c r="F59">
        <v>54587</v>
      </c>
      <c r="G59">
        <v>43202</v>
      </c>
      <c r="H59" t="s">
        <v>43</v>
      </c>
      <c r="I59" t="str" cm="1">
        <f t="array" ref="I59">_xlfn.IFS(G59=0,"Not Paid",G59=F59,"Fully Paid",G59&lt;F59,"Partially Paid")</f>
        <v>Partially Paid</v>
      </c>
      <c r="J59" t="str">
        <f t="shared" si="0"/>
        <v>YES</v>
      </c>
    </row>
    <row r="60" spans="1:10" x14ac:dyDescent="0.35">
      <c r="A60">
        <v>2059</v>
      </c>
      <c r="B60" t="s">
        <v>91</v>
      </c>
      <c r="C60" t="s">
        <v>56</v>
      </c>
      <c r="D60" t="s">
        <v>14</v>
      </c>
      <c r="E60">
        <v>45708</v>
      </c>
      <c r="F60">
        <v>30516</v>
      </c>
      <c r="G60">
        <v>19658</v>
      </c>
      <c r="H60" t="s">
        <v>77</v>
      </c>
      <c r="I60" t="str" cm="1">
        <f t="array" ref="I60">_xlfn.IFS(G60=0,"Not Paid",G60=F60,"Fully Paid",G60&lt;F60,"Partially Paid")</f>
        <v>Partially Paid</v>
      </c>
      <c r="J60" t="str">
        <f t="shared" si="0"/>
        <v>NO</v>
      </c>
    </row>
    <row r="61" spans="1:10" x14ac:dyDescent="0.35">
      <c r="A61">
        <v>2060</v>
      </c>
      <c r="B61" t="s">
        <v>92</v>
      </c>
      <c r="C61" t="s">
        <v>13</v>
      </c>
      <c r="D61" t="s">
        <v>14</v>
      </c>
      <c r="E61">
        <v>45928</v>
      </c>
      <c r="F61">
        <v>33749</v>
      </c>
      <c r="G61">
        <v>27510</v>
      </c>
      <c r="H61" t="s">
        <v>53</v>
      </c>
      <c r="I61" t="str" cm="1">
        <f t="array" ref="I61">_xlfn.IFS(G61=0,"Not Paid",G61=F61,"Fully Paid",G61&lt;F61,"Partially Paid")</f>
        <v>Partially Paid</v>
      </c>
      <c r="J61" t="str">
        <f t="shared" si="0"/>
        <v>NO</v>
      </c>
    </row>
    <row r="62" spans="1:10" x14ac:dyDescent="0.35">
      <c r="A62">
        <v>2061</v>
      </c>
      <c r="B62" t="s">
        <v>93</v>
      </c>
      <c r="C62" t="s">
        <v>45</v>
      </c>
      <c r="D62" t="s">
        <v>37</v>
      </c>
      <c r="E62">
        <v>45981</v>
      </c>
      <c r="F62">
        <v>37514</v>
      </c>
      <c r="G62">
        <v>29488</v>
      </c>
      <c r="H62" t="s">
        <v>29</v>
      </c>
      <c r="I62" t="str" cm="1">
        <f t="array" ref="I62">_xlfn.IFS(G62=0,"Not Paid",G62=F62,"Fully Paid",G62&lt;F62,"Partially Paid")</f>
        <v>Partially Paid</v>
      </c>
      <c r="J62" t="str">
        <f t="shared" si="0"/>
        <v>NO</v>
      </c>
    </row>
    <row r="63" spans="1:10" x14ac:dyDescent="0.35">
      <c r="A63">
        <v>2062</v>
      </c>
      <c r="B63" t="s">
        <v>94</v>
      </c>
      <c r="C63" t="s">
        <v>33</v>
      </c>
      <c r="D63" t="s">
        <v>27</v>
      </c>
      <c r="E63">
        <v>45934</v>
      </c>
      <c r="F63">
        <v>55426</v>
      </c>
      <c r="G63">
        <v>52120</v>
      </c>
      <c r="H63" t="s">
        <v>22</v>
      </c>
      <c r="I63" t="str" cm="1">
        <f t="array" ref="I63">_xlfn.IFS(G63=0,"Not Paid",G63=F63,"Fully Paid",G63&lt;F63,"Partially Paid")</f>
        <v>Partially Paid</v>
      </c>
      <c r="J63" t="str">
        <f t="shared" si="0"/>
        <v>YES</v>
      </c>
    </row>
    <row r="64" spans="1:10" x14ac:dyDescent="0.35">
      <c r="A64">
        <v>2063</v>
      </c>
      <c r="B64" t="s">
        <v>95</v>
      </c>
      <c r="C64" t="s">
        <v>33</v>
      </c>
      <c r="D64" t="s">
        <v>21</v>
      </c>
      <c r="E64">
        <v>45798</v>
      </c>
      <c r="F64">
        <v>56268</v>
      </c>
      <c r="G64">
        <v>55371</v>
      </c>
      <c r="H64" t="s">
        <v>31</v>
      </c>
      <c r="I64" t="str" cm="1">
        <f t="array" ref="I64">_xlfn.IFS(G64=0,"Not Paid",G64=F64,"Fully Paid",G64&lt;F64,"Partially Paid")</f>
        <v>Partially Paid</v>
      </c>
      <c r="J64" t="str">
        <f t="shared" si="0"/>
        <v>YES</v>
      </c>
    </row>
    <row r="65" spans="1:10" x14ac:dyDescent="0.35">
      <c r="A65">
        <v>2064</v>
      </c>
      <c r="B65" t="s">
        <v>96</v>
      </c>
      <c r="C65" t="s">
        <v>56</v>
      </c>
      <c r="D65" t="s">
        <v>18</v>
      </c>
      <c r="E65">
        <v>45932</v>
      </c>
      <c r="F65">
        <v>44950</v>
      </c>
      <c r="G65">
        <v>35673</v>
      </c>
      <c r="H65" t="s">
        <v>22</v>
      </c>
      <c r="I65" t="str" cm="1">
        <f t="array" ref="I65">_xlfn.IFS(G65=0,"Not Paid",G65=F65,"Fully Paid",G65&lt;F65,"Partially Paid")</f>
        <v>Partially Paid</v>
      </c>
      <c r="J65" t="str">
        <f t="shared" si="0"/>
        <v>NO</v>
      </c>
    </row>
    <row r="66" spans="1:10" x14ac:dyDescent="0.35">
      <c r="A66">
        <v>2065</v>
      </c>
      <c r="B66" t="s">
        <v>97</v>
      </c>
      <c r="C66" t="s">
        <v>33</v>
      </c>
      <c r="D66" t="s">
        <v>14</v>
      </c>
      <c r="E66">
        <v>45947</v>
      </c>
      <c r="F66">
        <v>54888</v>
      </c>
      <c r="G66">
        <v>45417</v>
      </c>
      <c r="H66" t="s">
        <v>22</v>
      </c>
      <c r="I66" t="str" cm="1">
        <f t="array" ref="I66">_xlfn.IFS(G66=0,"Not Paid",G66=F66,"Fully Paid",G66&lt;F66,"Partially Paid")</f>
        <v>Partially Paid</v>
      </c>
      <c r="J66" t="str">
        <f t="shared" si="0"/>
        <v>YES</v>
      </c>
    </row>
    <row r="67" spans="1:10" x14ac:dyDescent="0.35">
      <c r="A67">
        <v>2066</v>
      </c>
      <c r="B67" t="s">
        <v>98</v>
      </c>
      <c r="C67" t="s">
        <v>17</v>
      </c>
      <c r="D67" t="s">
        <v>37</v>
      </c>
      <c r="E67">
        <v>45991</v>
      </c>
      <c r="F67">
        <v>56788</v>
      </c>
      <c r="G67">
        <v>41892</v>
      </c>
      <c r="H67" t="s">
        <v>29</v>
      </c>
      <c r="I67" t="str" cm="1">
        <f t="array" ref="I67">_xlfn.IFS(G67=0,"Not Paid",G67=F67,"Fully Paid",G67&lt;F67,"Partially Paid")</f>
        <v>Partially Paid</v>
      </c>
      <c r="J67" t="str">
        <f t="shared" ref="J67:J130" si="1">IF(F67&gt;50000,"YES","NO")</f>
        <v>YES</v>
      </c>
    </row>
    <row r="68" spans="1:10" x14ac:dyDescent="0.35">
      <c r="A68">
        <v>2067</v>
      </c>
      <c r="B68" t="s">
        <v>99</v>
      </c>
      <c r="C68" t="s">
        <v>33</v>
      </c>
      <c r="D68" t="s">
        <v>18</v>
      </c>
      <c r="E68">
        <v>45709</v>
      </c>
      <c r="F68">
        <v>30213</v>
      </c>
      <c r="G68">
        <v>15530</v>
      </c>
      <c r="H68" t="s">
        <v>77</v>
      </c>
      <c r="I68" t="str" cm="1">
        <f t="array" ref="I68">_xlfn.IFS(G68=0,"Not Paid",G68=F68,"Fully Paid",G68&lt;F68,"Partially Paid")</f>
        <v>Partially Paid</v>
      </c>
      <c r="J68" t="str">
        <f t="shared" si="1"/>
        <v>NO</v>
      </c>
    </row>
    <row r="69" spans="1:10" x14ac:dyDescent="0.35">
      <c r="A69">
        <v>2068</v>
      </c>
      <c r="B69" t="s">
        <v>100</v>
      </c>
      <c r="C69" t="s">
        <v>13</v>
      </c>
      <c r="D69" t="s">
        <v>27</v>
      </c>
      <c r="E69">
        <v>45684</v>
      </c>
      <c r="F69">
        <v>56027</v>
      </c>
      <c r="G69">
        <v>55357</v>
      </c>
      <c r="H69" t="s">
        <v>15</v>
      </c>
      <c r="I69" t="str" cm="1">
        <f t="array" ref="I69">_xlfn.IFS(G69=0,"Not Paid",G69=F69,"Fully Paid",G69&lt;F69,"Partially Paid")</f>
        <v>Partially Paid</v>
      </c>
      <c r="J69" t="str">
        <f t="shared" si="1"/>
        <v>YES</v>
      </c>
    </row>
    <row r="70" spans="1:10" x14ac:dyDescent="0.35">
      <c r="A70">
        <v>2069</v>
      </c>
      <c r="B70" t="s">
        <v>101</v>
      </c>
      <c r="C70" t="s">
        <v>13</v>
      </c>
      <c r="D70" t="s">
        <v>21</v>
      </c>
      <c r="E70">
        <v>45814</v>
      </c>
      <c r="F70">
        <v>48011</v>
      </c>
      <c r="G70">
        <v>40720</v>
      </c>
      <c r="H70" t="s">
        <v>67</v>
      </c>
      <c r="I70" t="str" cm="1">
        <f t="array" ref="I70">_xlfn.IFS(G70=0,"Not Paid",G70=F70,"Fully Paid",G70&lt;F70,"Partially Paid")</f>
        <v>Partially Paid</v>
      </c>
      <c r="J70" t="str">
        <f t="shared" si="1"/>
        <v>NO</v>
      </c>
    </row>
    <row r="71" spans="1:10" x14ac:dyDescent="0.35">
      <c r="A71">
        <v>2070</v>
      </c>
      <c r="B71" t="s">
        <v>102</v>
      </c>
      <c r="C71" t="s">
        <v>9</v>
      </c>
      <c r="D71" t="s">
        <v>27</v>
      </c>
      <c r="E71">
        <v>45896</v>
      </c>
      <c r="F71">
        <v>54591</v>
      </c>
      <c r="G71">
        <v>53086</v>
      </c>
      <c r="H71" t="s">
        <v>38</v>
      </c>
      <c r="I71" t="str" cm="1">
        <f t="array" ref="I71">_xlfn.IFS(G71=0,"Not Paid",G71=F71,"Fully Paid",G71&lt;F71,"Partially Paid")</f>
        <v>Partially Paid</v>
      </c>
      <c r="J71" t="str">
        <f t="shared" si="1"/>
        <v>YES</v>
      </c>
    </row>
    <row r="72" spans="1:10" x14ac:dyDescent="0.35">
      <c r="A72">
        <v>2071</v>
      </c>
      <c r="B72" t="s">
        <v>103</v>
      </c>
      <c r="C72" t="s">
        <v>13</v>
      </c>
      <c r="D72" t="s">
        <v>14</v>
      </c>
      <c r="E72">
        <v>45813</v>
      </c>
      <c r="F72">
        <v>37858</v>
      </c>
      <c r="G72">
        <v>31398</v>
      </c>
      <c r="H72" t="s">
        <v>67</v>
      </c>
      <c r="I72" t="str" cm="1">
        <f t="array" ref="I72">_xlfn.IFS(G72=0,"Not Paid",G72=F72,"Fully Paid",G72&lt;F72,"Partially Paid")</f>
        <v>Partially Paid</v>
      </c>
      <c r="J72" t="str">
        <f t="shared" si="1"/>
        <v>NO</v>
      </c>
    </row>
    <row r="73" spans="1:10" x14ac:dyDescent="0.35">
      <c r="A73">
        <v>2072</v>
      </c>
      <c r="B73" t="s">
        <v>104</v>
      </c>
      <c r="C73" t="s">
        <v>9</v>
      </c>
      <c r="D73" t="s">
        <v>18</v>
      </c>
      <c r="E73">
        <v>45948</v>
      </c>
      <c r="F73">
        <v>38626</v>
      </c>
      <c r="G73">
        <v>26859</v>
      </c>
      <c r="H73" t="s">
        <v>22</v>
      </c>
      <c r="I73" t="str" cm="1">
        <f t="array" ref="I73">_xlfn.IFS(G73=0,"Not Paid",G73=F73,"Fully Paid",G73&lt;F73,"Partially Paid")</f>
        <v>Partially Paid</v>
      </c>
      <c r="J73" t="str">
        <f t="shared" si="1"/>
        <v>NO</v>
      </c>
    </row>
    <row r="74" spans="1:10" x14ac:dyDescent="0.35">
      <c r="A74">
        <v>2073</v>
      </c>
      <c r="B74" t="s">
        <v>105</v>
      </c>
      <c r="C74" t="s">
        <v>13</v>
      </c>
      <c r="D74" t="s">
        <v>18</v>
      </c>
      <c r="E74">
        <v>45793</v>
      </c>
      <c r="F74">
        <v>33467</v>
      </c>
      <c r="G74">
        <v>20461</v>
      </c>
      <c r="H74" t="s">
        <v>31</v>
      </c>
      <c r="I74" t="str" cm="1">
        <f t="array" ref="I74">_xlfn.IFS(G74=0,"Not Paid",G74=F74,"Fully Paid",G74&lt;F74,"Partially Paid")</f>
        <v>Partially Paid</v>
      </c>
      <c r="J74" t="str">
        <f t="shared" si="1"/>
        <v>NO</v>
      </c>
    </row>
    <row r="75" spans="1:10" x14ac:dyDescent="0.35">
      <c r="A75">
        <v>2074</v>
      </c>
      <c r="B75" t="s">
        <v>106</v>
      </c>
      <c r="C75" t="s">
        <v>17</v>
      </c>
      <c r="D75" t="s">
        <v>18</v>
      </c>
      <c r="E75">
        <v>45801</v>
      </c>
      <c r="F75">
        <v>59758</v>
      </c>
      <c r="G75">
        <v>54591</v>
      </c>
      <c r="H75" t="s">
        <v>31</v>
      </c>
      <c r="I75" t="str" cm="1">
        <f t="array" ref="I75">_xlfn.IFS(G75=0,"Not Paid",G75=F75,"Fully Paid",G75&lt;F75,"Partially Paid")</f>
        <v>Partially Paid</v>
      </c>
      <c r="J75" t="str">
        <f t="shared" si="1"/>
        <v>YES</v>
      </c>
    </row>
    <row r="76" spans="1:10" x14ac:dyDescent="0.35">
      <c r="A76">
        <v>2075</v>
      </c>
      <c r="B76" t="s">
        <v>107</v>
      </c>
      <c r="C76" t="s">
        <v>9</v>
      </c>
      <c r="D76" t="s">
        <v>14</v>
      </c>
      <c r="E76">
        <v>45763</v>
      </c>
      <c r="F76">
        <v>23134</v>
      </c>
      <c r="G76">
        <v>12987</v>
      </c>
      <c r="H76" t="s">
        <v>11</v>
      </c>
      <c r="I76" t="str" cm="1">
        <f t="array" ref="I76">_xlfn.IFS(G76=0,"Not Paid",G76=F76,"Fully Paid",G76&lt;F76,"Partially Paid")</f>
        <v>Partially Paid</v>
      </c>
      <c r="J76" t="str">
        <f t="shared" si="1"/>
        <v>NO</v>
      </c>
    </row>
    <row r="77" spans="1:10" x14ac:dyDescent="0.35">
      <c r="A77">
        <v>2076</v>
      </c>
      <c r="B77" t="s">
        <v>108</v>
      </c>
      <c r="C77" t="s">
        <v>24</v>
      </c>
      <c r="D77" t="s">
        <v>14</v>
      </c>
      <c r="E77">
        <v>45815</v>
      </c>
      <c r="F77">
        <v>36743</v>
      </c>
      <c r="G77">
        <v>31488</v>
      </c>
      <c r="H77" t="s">
        <v>67</v>
      </c>
      <c r="I77" t="str" cm="1">
        <f t="array" ref="I77">_xlfn.IFS(G77=0,"Not Paid",G77=F77,"Fully Paid",G77&lt;F77,"Partially Paid")</f>
        <v>Partially Paid</v>
      </c>
      <c r="J77" t="str">
        <f t="shared" si="1"/>
        <v>NO</v>
      </c>
    </row>
    <row r="78" spans="1:10" x14ac:dyDescent="0.35">
      <c r="A78">
        <v>2077</v>
      </c>
      <c r="B78" t="s">
        <v>109</v>
      </c>
      <c r="C78" t="s">
        <v>45</v>
      </c>
      <c r="D78" t="s">
        <v>27</v>
      </c>
      <c r="E78">
        <v>45803</v>
      </c>
      <c r="F78">
        <v>35434</v>
      </c>
      <c r="G78">
        <v>35185</v>
      </c>
      <c r="H78" t="s">
        <v>31</v>
      </c>
      <c r="I78" t="str" cm="1">
        <f t="array" ref="I78">_xlfn.IFS(G78=0,"Not Paid",G78=F78,"Fully Paid",G78&lt;F78,"Partially Paid")</f>
        <v>Partially Paid</v>
      </c>
      <c r="J78" t="str">
        <f t="shared" si="1"/>
        <v>NO</v>
      </c>
    </row>
    <row r="79" spans="1:10" x14ac:dyDescent="0.35">
      <c r="A79">
        <v>2078</v>
      </c>
      <c r="B79" t="s">
        <v>110</v>
      </c>
      <c r="C79" t="s">
        <v>56</v>
      </c>
      <c r="D79" t="s">
        <v>10</v>
      </c>
      <c r="E79">
        <v>45659</v>
      </c>
      <c r="F79">
        <v>30233</v>
      </c>
      <c r="G79">
        <v>23776</v>
      </c>
      <c r="H79" t="s">
        <v>15</v>
      </c>
      <c r="I79" t="str" cm="1">
        <f t="array" ref="I79">_xlfn.IFS(G79=0,"Not Paid",G79=F79,"Fully Paid",G79&lt;F79,"Partially Paid")</f>
        <v>Partially Paid</v>
      </c>
      <c r="J79" t="str">
        <f t="shared" si="1"/>
        <v>NO</v>
      </c>
    </row>
    <row r="80" spans="1:10" x14ac:dyDescent="0.35">
      <c r="A80">
        <v>2079</v>
      </c>
      <c r="B80" t="s">
        <v>111</v>
      </c>
      <c r="C80" t="s">
        <v>13</v>
      </c>
      <c r="D80" t="s">
        <v>27</v>
      </c>
      <c r="E80">
        <v>45734</v>
      </c>
      <c r="F80">
        <v>21141</v>
      </c>
      <c r="G80">
        <v>19249</v>
      </c>
      <c r="H80" t="s">
        <v>19</v>
      </c>
      <c r="I80" t="str" cm="1">
        <f t="array" ref="I80">_xlfn.IFS(G80=0,"Not Paid",G80=F80,"Fully Paid",G80&lt;F80,"Partially Paid")</f>
        <v>Partially Paid</v>
      </c>
      <c r="J80" t="str">
        <f t="shared" si="1"/>
        <v>NO</v>
      </c>
    </row>
    <row r="81" spans="1:10" x14ac:dyDescent="0.35">
      <c r="A81">
        <v>2080</v>
      </c>
      <c r="B81" t="s">
        <v>112</v>
      </c>
      <c r="C81" t="s">
        <v>33</v>
      </c>
      <c r="D81" t="s">
        <v>21</v>
      </c>
      <c r="E81">
        <v>45789</v>
      </c>
      <c r="F81">
        <v>38019</v>
      </c>
      <c r="G81">
        <v>34580</v>
      </c>
      <c r="H81" t="s">
        <v>31</v>
      </c>
      <c r="I81" t="str" cm="1">
        <f t="array" ref="I81">_xlfn.IFS(G81=0,"Not Paid",G81=F81,"Fully Paid",G81&lt;F81,"Partially Paid")</f>
        <v>Partially Paid</v>
      </c>
      <c r="J81" t="str">
        <f t="shared" si="1"/>
        <v>NO</v>
      </c>
    </row>
    <row r="82" spans="1:10" x14ac:dyDescent="0.35">
      <c r="A82">
        <v>2081</v>
      </c>
      <c r="B82" t="s">
        <v>113</v>
      </c>
      <c r="C82" t="s">
        <v>13</v>
      </c>
      <c r="D82" t="s">
        <v>37</v>
      </c>
      <c r="E82">
        <v>45747</v>
      </c>
      <c r="F82">
        <v>40384</v>
      </c>
      <c r="G82">
        <v>30339</v>
      </c>
      <c r="H82" t="s">
        <v>19</v>
      </c>
      <c r="I82" t="str" cm="1">
        <f t="array" ref="I82">_xlfn.IFS(G82=0,"Not Paid",G82=F82,"Fully Paid",G82&lt;F82,"Partially Paid")</f>
        <v>Partially Paid</v>
      </c>
      <c r="J82" t="str">
        <f t="shared" si="1"/>
        <v>NO</v>
      </c>
    </row>
    <row r="83" spans="1:10" x14ac:dyDescent="0.35">
      <c r="A83">
        <v>2082</v>
      </c>
      <c r="B83" t="s">
        <v>114</v>
      </c>
      <c r="C83" t="s">
        <v>33</v>
      </c>
      <c r="D83" t="s">
        <v>18</v>
      </c>
      <c r="E83">
        <v>46002</v>
      </c>
      <c r="F83">
        <v>56129</v>
      </c>
      <c r="G83">
        <v>53275</v>
      </c>
      <c r="H83" t="s">
        <v>25</v>
      </c>
      <c r="I83" t="str" cm="1">
        <f t="array" ref="I83">_xlfn.IFS(G83=0,"Not Paid",G83=F83,"Fully Paid",G83&lt;F83,"Partially Paid")</f>
        <v>Partially Paid</v>
      </c>
      <c r="J83" t="str">
        <f t="shared" si="1"/>
        <v>YES</v>
      </c>
    </row>
    <row r="84" spans="1:10" x14ac:dyDescent="0.35">
      <c r="A84">
        <v>2083</v>
      </c>
      <c r="B84" t="s">
        <v>115</v>
      </c>
      <c r="C84" t="s">
        <v>45</v>
      </c>
      <c r="D84" t="s">
        <v>10</v>
      </c>
      <c r="E84">
        <v>46007</v>
      </c>
      <c r="F84">
        <v>42967</v>
      </c>
      <c r="G84">
        <v>33272</v>
      </c>
      <c r="H84" t="s">
        <v>25</v>
      </c>
      <c r="I84" t="str" cm="1">
        <f t="array" ref="I84">_xlfn.IFS(G84=0,"Not Paid",G84=F84,"Fully Paid",G84&lt;F84,"Partially Paid")</f>
        <v>Partially Paid</v>
      </c>
      <c r="J84" t="str">
        <f t="shared" si="1"/>
        <v>NO</v>
      </c>
    </row>
    <row r="85" spans="1:10" x14ac:dyDescent="0.35">
      <c r="A85">
        <v>2084</v>
      </c>
      <c r="B85" t="s">
        <v>116</v>
      </c>
      <c r="C85" t="s">
        <v>45</v>
      </c>
      <c r="D85" t="s">
        <v>37</v>
      </c>
      <c r="E85">
        <v>45920</v>
      </c>
      <c r="F85">
        <v>31172</v>
      </c>
      <c r="G85">
        <v>19595</v>
      </c>
      <c r="H85" t="s">
        <v>53</v>
      </c>
      <c r="I85" t="str" cm="1">
        <f t="array" ref="I85">_xlfn.IFS(G85=0,"Not Paid",G85=F85,"Fully Paid",G85&lt;F85,"Partially Paid")</f>
        <v>Partially Paid</v>
      </c>
      <c r="J85" t="str">
        <f t="shared" si="1"/>
        <v>NO</v>
      </c>
    </row>
    <row r="86" spans="1:10" x14ac:dyDescent="0.35">
      <c r="A86">
        <v>2085</v>
      </c>
      <c r="B86" t="s">
        <v>117</v>
      </c>
      <c r="C86" t="s">
        <v>45</v>
      </c>
      <c r="D86" t="s">
        <v>10</v>
      </c>
      <c r="E86">
        <v>46008</v>
      </c>
      <c r="F86">
        <v>36390</v>
      </c>
      <c r="G86">
        <v>24627</v>
      </c>
      <c r="H86" t="s">
        <v>25</v>
      </c>
      <c r="I86" t="str" cm="1">
        <f t="array" ref="I86">_xlfn.IFS(G86=0,"Not Paid",G86=F86,"Fully Paid",G86&lt;F86,"Partially Paid")</f>
        <v>Partially Paid</v>
      </c>
      <c r="J86" t="str">
        <f t="shared" si="1"/>
        <v>NO</v>
      </c>
    </row>
    <row r="87" spans="1:10" x14ac:dyDescent="0.35">
      <c r="A87">
        <v>2086</v>
      </c>
      <c r="B87" t="s">
        <v>118</v>
      </c>
      <c r="C87" t="s">
        <v>33</v>
      </c>
      <c r="D87" t="s">
        <v>27</v>
      </c>
      <c r="E87">
        <v>45765</v>
      </c>
      <c r="F87">
        <v>23267</v>
      </c>
      <c r="G87">
        <v>19475</v>
      </c>
      <c r="H87" t="s">
        <v>11</v>
      </c>
      <c r="I87" t="str" cm="1">
        <f t="array" ref="I87">_xlfn.IFS(G87=0,"Not Paid",G87=F87,"Fully Paid",G87&lt;F87,"Partially Paid")</f>
        <v>Partially Paid</v>
      </c>
      <c r="J87" t="str">
        <f t="shared" si="1"/>
        <v>NO</v>
      </c>
    </row>
    <row r="88" spans="1:10" x14ac:dyDescent="0.35">
      <c r="A88">
        <v>2087</v>
      </c>
      <c r="B88" t="s">
        <v>119</v>
      </c>
      <c r="C88" t="s">
        <v>13</v>
      </c>
      <c r="D88" t="s">
        <v>14</v>
      </c>
      <c r="E88">
        <v>45731</v>
      </c>
      <c r="F88">
        <v>59332</v>
      </c>
      <c r="G88">
        <v>47714</v>
      </c>
      <c r="H88" t="s">
        <v>19</v>
      </c>
      <c r="I88" t="str" cm="1">
        <f t="array" ref="I88">_xlfn.IFS(G88=0,"Not Paid",G88=F88,"Fully Paid",G88&lt;F88,"Partially Paid")</f>
        <v>Partially Paid</v>
      </c>
      <c r="J88" t="str">
        <f t="shared" si="1"/>
        <v>YES</v>
      </c>
    </row>
    <row r="89" spans="1:10" x14ac:dyDescent="0.35">
      <c r="A89">
        <v>2088</v>
      </c>
      <c r="B89" t="s">
        <v>120</v>
      </c>
      <c r="C89" t="s">
        <v>45</v>
      </c>
      <c r="D89" t="s">
        <v>18</v>
      </c>
      <c r="E89">
        <v>45696</v>
      </c>
      <c r="F89">
        <v>46167</v>
      </c>
      <c r="G89">
        <v>31347</v>
      </c>
      <c r="H89" t="s">
        <v>77</v>
      </c>
      <c r="I89" t="str" cm="1">
        <f t="array" ref="I89">_xlfn.IFS(G89=0,"Not Paid",G89=F89,"Fully Paid",G89&lt;F89,"Partially Paid")</f>
        <v>Partially Paid</v>
      </c>
      <c r="J89" t="str">
        <f t="shared" si="1"/>
        <v>NO</v>
      </c>
    </row>
    <row r="90" spans="1:10" x14ac:dyDescent="0.35">
      <c r="A90">
        <v>2089</v>
      </c>
      <c r="B90" t="s">
        <v>121</v>
      </c>
      <c r="C90" t="s">
        <v>17</v>
      </c>
      <c r="D90" t="s">
        <v>27</v>
      </c>
      <c r="E90">
        <v>45816</v>
      </c>
      <c r="F90">
        <v>41312</v>
      </c>
      <c r="G90">
        <v>35982</v>
      </c>
      <c r="H90" t="s">
        <v>67</v>
      </c>
      <c r="I90" t="str" cm="1">
        <f t="array" ref="I90">_xlfn.IFS(G90=0,"Not Paid",G90=F90,"Fully Paid",G90&lt;F90,"Partially Paid")</f>
        <v>Partially Paid</v>
      </c>
      <c r="J90" t="str">
        <f t="shared" si="1"/>
        <v>NO</v>
      </c>
    </row>
    <row r="91" spans="1:10" x14ac:dyDescent="0.35">
      <c r="A91">
        <v>2090</v>
      </c>
      <c r="B91" t="s">
        <v>122</v>
      </c>
      <c r="C91" t="s">
        <v>9</v>
      </c>
      <c r="D91" t="s">
        <v>37</v>
      </c>
      <c r="E91">
        <v>45728</v>
      </c>
      <c r="F91">
        <v>47840</v>
      </c>
      <c r="G91">
        <v>39969</v>
      </c>
      <c r="H91" t="s">
        <v>19</v>
      </c>
      <c r="I91" t="str" cm="1">
        <f t="array" ref="I91">_xlfn.IFS(G91=0,"Not Paid",G91=F91,"Fully Paid",G91&lt;F91,"Partially Paid")</f>
        <v>Partially Paid</v>
      </c>
      <c r="J91" t="str">
        <f t="shared" si="1"/>
        <v>NO</v>
      </c>
    </row>
    <row r="92" spans="1:10" x14ac:dyDescent="0.35">
      <c r="A92">
        <v>2091</v>
      </c>
      <c r="B92" t="s">
        <v>123</v>
      </c>
      <c r="C92" t="s">
        <v>33</v>
      </c>
      <c r="D92" t="s">
        <v>37</v>
      </c>
      <c r="E92">
        <v>45969</v>
      </c>
      <c r="F92">
        <v>38990</v>
      </c>
      <c r="G92">
        <v>30755</v>
      </c>
      <c r="H92" t="s">
        <v>29</v>
      </c>
      <c r="I92" t="str" cm="1">
        <f t="array" ref="I92">_xlfn.IFS(G92=0,"Not Paid",G92=F92,"Fully Paid",G92&lt;F92,"Partially Paid")</f>
        <v>Partially Paid</v>
      </c>
      <c r="J92" t="str">
        <f t="shared" si="1"/>
        <v>NO</v>
      </c>
    </row>
    <row r="93" spans="1:10" x14ac:dyDescent="0.35">
      <c r="A93">
        <v>2092</v>
      </c>
      <c r="B93" t="s">
        <v>124</v>
      </c>
      <c r="C93" t="s">
        <v>33</v>
      </c>
      <c r="D93" t="s">
        <v>37</v>
      </c>
      <c r="E93">
        <v>45898</v>
      </c>
      <c r="F93">
        <v>25906</v>
      </c>
      <c r="G93">
        <v>22294</v>
      </c>
      <c r="H93" t="s">
        <v>38</v>
      </c>
      <c r="I93" t="str" cm="1">
        <f t="array" ref="I93">_xlfn.IFS(G93=0,"Not Paid",G93=F93,"Fully Paid",G93&lt;F93,"Partially Paid")</f>
        <v>Partially Paid</v>
      </c>
      <c r="J93" t="str">
        <f t="shared" si="1"/>
        <v>NO</v>
      </c>
    </row>
    <row r="94" spans="1:10" x14ac:dyDescent="0.35">
      <c r="A94">
        <v>2093</v>
      </c>
      <c r="B94" t="s">
        <v>125</v>
      </c>
      <c r="C94" t="s">
        <v>13</v>
      </c>
      <c r="D94" t="s">
        <v>37</v>
      </c>
      <c r="E94">
        <v>45955</v>
      </c>
      <c r="F94">
        <v>37297</v>
      </c>
      <c r="G94">
        <v>34679</v>
      </c>
      <c r="H94" t="s">
        <v>22</v>
      </c>
      <c r="I94" t="str" cm="1">
        <f t="array" ref="I94">_xlfn.IFS(G94=0,"Not Paid",G94=F94,"Fully Paid",G94&lt;F94,"Partially Paid")</f>
        <v>Partially Paid</v>
      </c>
      <c r="J94" t="str">
        <f t="shared" si="1"/>
        <v>NO</v>
      </c>
    </row>
    <row r="95" spans="1:10" x14ac:dyDescent="0.35">
      <c r="A95">
        <v>2094</v>
      </c>
      <c r="B95" t="s">
        <v>126</v>
      </c>
      <c r="C95" t="s">
        <v>33</v>
      </c>
      <c r="D95" t="s">
        <v>37</v>
      </c>
      <c r="E95">
        <v>45693</v>
      </c>
      <c r="F95">
        <v>22011</v>
      </c>
      <c r="G95">
        <v>17333</v>
      </c>
      <c r="H95" t="s">
        <v>77</v>
      </c>
      <c r="I95" t="str" cm="1">
        <f t="array" ref="I95">_xlfn.IFS(G95=0,"Not Paid",G95=F95,"Fully Paid",G95&lt;F95,"Partially Paid")</f>
        <v>Partially Paid</v>
      </c>
      <c r="J95" t="str">
        <f t="shared" si="1"/>
        <v>NO</v>
      </c>
    </row>
    <row r="96" spans="1:10" x14ac:dyDescent="0.35">
      <c r="A96">
        <v>2095</v>
      </c>
      <c r="B96" t="s">
        <v>127</v>
      </c>
      <c r="C96" t="s">
        <v>33</v>
      </c>
      <c r="D96" t="s">
        <v>10</v>
      </c>
      <c r="E96">
        <v>45741</v>
      </c>
      <c r="F96">
        <v>31738</v>
      </c>
      <c r="G96">
        <v>28575</v>
      </c>
      <c r="H96" t="s">
        <v>19</v>
      </c>
      <c r="I96" t="str" cm="1">
        <f t="array" ref="I96">_xlfn.IFS(G96=0,"Not Paid",G96=F96,"Fully Paid",G96&lt;F96,"Partially Paid")</f>
        <v>Partially Paid</v>
      </c>
      <c r="J96" t="str">
        <f t="shared" si="1"/>
        <v>NO</v>
      </c>
    </row>
    <row r="97" spans="1:10" x14ac:dyDescent="0.35">
      <c r="A97">
        <v>2096</v>
      </c>
      <c r="B97" t="s">
        <v>128</v>
      </c>
      <c r="C97" t="s">
        <v>45</v>
      </c>
      <c r="D97" t="s">
        <v>27</v>
      </c>
      <c r="E97">
        <v>45920</v>
      </c>
      <c r="F97">
        <v>48797</v>
      </c>
      <c r="G97">
        <v>39317</v>
      </c>
      <c r="H97" t="s">
        <v>53</v>
      </c>
      <c r="I97" t="str" cm="1">
        <f t="array" ref="I97">_xlfn.IFS(G97=0,"Not Paid",G97=F97,"Fully Paid",G97&lt;F97,"Partially Paid")</f>
        <v>Partially Paid</v>
      </c>
      <c r="J97" t="str">
        <f t="shared" si="1"/>
        <v>NO</v>
      </c>
    </row>
    <row r="98" spans="1:10" x14ac:dyDescent="0.35">
      <c r="A98">
        <v>2097</v>
      </c>
      <c r="B98" t="s">
        <v>129</v>
      </c>
      <c r="C98" t="s">
        <v>13</v>
      </c>
      <c r="D98" t="s">
        <v>18</v>
      </c>
      <c r="E98">
        <v>45967</v>
      </c>
      <c r="F98">
        <v>31120</v>
      </c>
      <c r="G98">
        <v>28178</v>
      </c>
      <c r="H98" t="s">
        <v>29</v>
      </c>
      <c r="I98" t="str" cm="1">
        <f t="array" ref="I98">_xlfn.IFS(G98=0,"Not Paid",G98=F98,"Fully Paid",G98&lt;F98,"Partially Paid")</f>
        <v>Partially Paid</v>
      </c>
      <c r="J98" t="str">
        <f t="shared" si="1"/>
        <v>NO</v>
      </c>
    </row>
    <row r="99" spans="1:10" x14ac:dyDescent="0.35">
      <c r="A99">
        <v>2098</v>
      </c>
      <c r="B99" t="s">
        <v>130</v>
      </c>
      <c r="C99" t="s">
        <v>45</v>
      </c>
      <c r="D99" t="s">
        <v>14</v>
      </c>
      <c r="E99">
        <v>45829</v>
      </c>
      <c r="F99">
        <v>28767</v>
      </c>
      <c r="G99">
        <v>20356</v>
      </c>
      <c r="H99" t="s">
        <v>67</v>
      </c>
      <c r="I99" t="str" cm="1">
        <f t="array" ref="I99">_xlfn.IFS(G99=0,"Not Paid",G99=F99,"Fully Paid",G99&lt;F99,"Partially Paid")</f>
        <v>Partially Paid</v>
      </c>
      <c r="J99" t="str">
        <f t="shared" si="1"/>
        <v>NO</v>
      </c>
    </row>
    <row r="100" spans="1:10" x14ac:dyDescent="0.35">
      <c r="A100">
        <v>2099</v>
      </c>
      <c r="B100" t="s">
        <v>131</v>
      </c>
      <c r="C100" t="s">
        <v>9</v>
      </c>
      <c r="D100" t="s">
        <v>14</v>
      </c>
      <c r="E100">
        <v>45830</v>
      </c>
      <c r="F100">
        <v>42852</v>
      </c>
      <c r="G100">
        <v>40927</v>
      </c>
      <c r="H100" t="s">
        <v>67</v>
      </c>
      <c r="I100" t="str" cm="1">
        <f t="array" ref="I100">_xlfn.IFS(G100=0,"Not Paid",G100=F100,"Fully Paid",G100&lt;F100,"Partially Paid")</f>
        <v>Partially Paid</v>
      </c>
      <c r="J100" t="str">
        <f t="shared" si="1"/>
        <v>NO</v>
      </c>
    </row>
    <row r="101" spans="1:10" x14ac:dyDescent="0.35">
      <c r="A101">
        <v>2100</v>
      </c>
      <c r="B101" t="s">
        <v>132</v>
      </c>
      <c r="C101" t="s">
        <v>9</v>
      </c>
      <c r="D101" t="s">
        <v>27</v>
      </c>
      <c r="E101">
        <v>46019</v>
      </c>
      <c r="F101">
        <v>33703</v>
      </c>
      <c r="G101">
        <v>30731</v>
      </c>
      <c r="H101" t="s">
        <v>25</v>
      </c>
      <c r="I101" t="str" cm="1">
        <f t="array" ref="I101">_xlfn.IFS(G101=0,"Not Paid",G101=F101,"Fully Paid",G101&lt;F101,"Partially Paid")</f>
        <v>Partially Paid</v>
      </c>
      <c r="J101" t="str">
        <f t="shared" si="1"/>
        <v>NO</v>
      </c>
    </row>
    <row r="102" spans="1:10" x14ac:dyDescent="0.35">
      <c r="A102">
        <v>2101</v>
      </c>
      <c r="B102" t="s">
        <v>133</v>
      </c>
      <c r="C102" t="s">
        <v>45</v>
      </c>
      <c r="D102" t="s">
        <v>27</v>
      </c>
      <c r="E102">
        <v>45704</v>
      </c>
      <c r="F102">
        <v>20929</v>
      </c>
      <c r="G102">
        <v>9224</v>
      </c>
      <c r="H102" t="s">
        <v>77</v>
      </c>
      <c r="I102" t="str" cm="1">
        <f t="array" ref="I102">_xlfn.IFS(G102=0,"Not Paid",G102=F102,"Fully Paid",G102&lt;F102,"Partially Paid")</f>
        <v>Partially Paid</v>
      </c>
      <c r="J102" t="str">
        <f t="shared" si="1"/>
        <v>NO</v>
      </c>
    </row>
    <row r="103" spans="1:10" x14ac:dyDescent="0.35">
      <c r="A103">
        <v>2102</v>
      </c>
      <c r="B103" t="s">
        <v>134</v>
      </c>
      <c r="C103" t="s">
        <v>9</v>
      </c>
      <c r="D103" t="s">
        <v>14</v>
      </c>
      <c r="E103">
        <v>45798</v>
      </c>
      <c r="F103">
        <v>31951</v>
      </c>
      <c r="G103">
        <v>21311</v>
      </c>
      <c r="H103" t="s">
        <v>31</v>
      </c>
      <c r="I103" t="str" cm="1">
        <f t="array" ref="I103">_xlfn.IFS(G103=0,"Not Paid",G103=F103,"Fully Paid",G103&lt;F103,"Partially Paid")</f>
        <v>Partially Paid</v>
      </c>
      <c r="J103" t="str">
        <f t="shared" si="1"/>
        <v>NO</v>
      </c>
    </row>
    <row r="104" spans="1:10" x14ac:dyDescent="0.35">
      <c r="A104">
        <v>2103</v>
      </c>
      <c r="B104" t="s">
        <v>135</v>
      </c>
      <c r="C104" t="s">
        <v>13</v>
      </c>
      <c r="D104" t="s">
        <v>14</v>
      </c>
      <c r="E104">
        <v>45775</v>
      </c>
      <c r="F104">
        <v>46039</v>
      </c>
      <c r="G104">
        <v>34376</v>
      </c>
      <c r="H104" t="s">
        <v>11</v>
      </c>
      <c r="I104" t="str" cm="1">
        <f t="array" ref="I104">_xlfn.IFS(G104=0,"Not Paid",G104=F104,"Fully Paid",G104&lt;F104,"Partially Paid")</f>
        <v>Partially Paid</v>
      </c>
      <c r="J104" t="str">
        <f t="shared" si="1"/>
        <v>NO</v>
      </c>
    </row>
    <row r="105" spans="1:10" x14ac:dyDescent="0.35">
      <c r="A105">
        <v>2104</v>
      </c>
      <c r="B105" t="s">
        <v>136</v>
      </c>
      <c r="C105" t="s">
        <v>56</v>
      </c>
      <c r="D105" t="s">
        <v>10</v>
      </c>
      <c r="E105">
        <v>45934</v>
      </c>
      <c r="F105">
        <v>49504</v>
      </c>
      <c r="G105">
        <v>38538</v>
      </c>
      <c r="H105" t="s">
        <v>22</v>
      </c>
      <c r="I105" t="str" cm="1">
        <f t="array" ref="I105">_xlfn.IFS(G105=0,"Not Paid",G105=F105,"Fully Paid",G105&lt;F105,"Partially Paid")</f>
        <v>Partially Paid</v>
      </c>
      <c r="J105" t="str">
        <f t="shared" si="1"/>
        <v>NO</v>
      </c>
    </row>
    <row r="106" spans="1:10" x14ac:dyDescent="0.35">
      <c r="A106">
        <v>2105</v>
      </c>
      <c r="B106" t="s">
        <v>137</v>
      </c>
      <c r="C106" t="s">
        <v>45</v>
      </c>
      <c r="D106" t="s">
        <v>21</v>
      </c>
      <c r="E106">
        <v>45871</v>
      </c>
      <c r="F106">
        <v>37438</v>
      </c>
      <c r="G106">
        <v>36448</v>
      </c>
      <c r="H106" t="s">
        <v>38</v>
      </c>
      <c r="I106" t="str" cm="1">
        <f t="array" ref="I106">_xlfn.IFS(G106=0,"Not Paid",G106=F106,"Fully Paid",G106&lt;F106,"Partially Paid")</f>
        <v>Partially Paid</v>
      </c>
      <c r="J106" t="str">
        <f t="shared" si="1"/>
        <v>NO</v>
      </c>
    </row>
    <row r="107" spans="1:10" x14ac:dyDescent="0.35">
      <c r="A107">
        <v>2106</v>
      </c>
      <c r="B107" t="s">
        <v>138</v>
      </c>
      <c r="C107" t="s">
        <v>17</v>
      </c>
      <c r="D107" t="s">
        <v>18</v>
      </c>
      <c r="E107">
        <v>45877</v>
      </c>
      <c r="F107">
        <v>25744</v>
      </c>
      <c r="G107">
        <v>14606</v>
      </c>
      <c r="H107" t="s">
        <v>38</v>
      </c>
      <c r="I107" t="str" cm="1">
        <f t="array" ref="I107">_xlfn.IFS(G107=0,"Not Paid",G107=F107,"Fully Paid",G107&lt;F107,"Partially Paid")</f>
        <v>Partially Paid</v>
      </c>
      <c r="J107" t="str">
        <f t="shared" si="1"/>
        <v>NO</v>
      </c>
    </row>
    <row r="108" spans="1:10" x14ac:dyDescent="0.35">
      <c r="A108">
        <v>2107</v>
      </c>
      <c r="B108" t="s">
        <v>139</v>
      </c>
      <c r="C108" t="s">
        <v>17</v>
      </c>
      <c r="D108" t="s">
        <v>37</v>
      </c>
      <c r="E108">
        <v>45683</v>
      </c>
      <c r="F108">
        <v>38284</v>
      </c>
      <c r="G108">
        <v>36472</v>
      </c>
      <c r="H108" t="s">
        <v>15</v>
      </c>
      <c r="I108" t="str" cm="1">
        <f t="array" ref="I108">_xlfn.IFS(G108=0,"Not Paid",G108=F108,"Fully Paid",G108&lt;F108,"Partially Paid")</f>
        <v>Partially Paid</v>
      </c>
      <c r="J108" t="str">
        <f t="shared" si="1"/>
        <v>NO</v>
      </c>
    </row>
    <row r="109" spans="1:10" x14ac:dyDescent="0.35">
      <c r="A109">
        <v>2108</v>
      </c>
      <c r="B109" t="s">
        <v>140</v>
      </c>
      <c r="C109" t="s">
        <v>33</v>
      </c>
      <c r="D109" t="s">
        <v>21</v>
      </c>
      <c r="E109">
        <v>45666</v>
      </c>
      <c r="F109">
        <v>59748</v>
      </c>
      <c r="G109">
        <v>46603</v>
      </c>
      <c r="H109" t="s">
        <v>15</v>
      </c>
      <c r="I109" t="str" cm="1">
        <f t="array" ref="I109">_xlfn.IFS(G109=0,"Not Paid",G109=F109,"Fully Paid",G109&lt;F109,"Partially Paid")</f>
        <v>Partially Paid</v>
      </c>
      <c r="J109" t="str">
        <f t="shared" si="1"/>
        <v>YES</v>
      </c>
    </row>
    <row r="110" spans="1:10" x14ac:dyDescent="0.35">
      <c r="A110">
        <v>2109</v>
      </c>
      <c r="B110" t="s">
        <v>141</v>
      </c>
      <c r="C110" t="s">
        <v>9</v>
      </c>
      <c r="D110" t="s">
        <v>27</v>
      </c>
      <c r="E110">
        <v>45928</v>
      </c>
      <c r="F110">
        <v>27069</v>
      </c>
      <c r="G110">
        <v>18074</v>
      </c>
      <c r="H110" t="s">
        <v>53</v>
      </c>
      <c r="I110" t="str" cm="1">
        <f t="array" ref="I110">_xlfn.IFS(G110=0,"Not Paid",G110=F110,"Fully Paid",G110&lt;F110,"Partially Paid")</f>
        <v>Partially Paid</v>
      </c>
      <c r="J110" t="str">
        <f t="shared" si="1"/>
        <v>NO</v>
      </c>
    </row>
    <row r="111" spans="1:10" x14ac:dyDescent="0.35">
      <c r="A111">
        <v>2110</v>
      </c>
      <c r="B111" t="s">
        <v>142</v>
      </c>
      <c r="C111" t="s">
        <v>17</v>
      </c>
      <c r="D111" t="s">
        <v>14</v>
      </c>
      <c r="E111">
        <v>45667</v>
      </c>
      <c r="F111">
        <v>39799</v>
      </c>
      <c r="G111">
        <v>39310</v>
      </c>
      <c r="H111" t="s">
        <v>15</v>
      </c>
      <c r="I111" t="str" cm="1">
        <f t="array" ref="I111">_xlfn.IFS(G111=0,"Not Paid",G111=F111,"Fully Paid",G111&lt;F111,"Partially Paid")</f>
        <v>Partially Paid</v>
      </c>
      <c r="J111" t="str">
        <f t="shared" si="1"/>
        <v>NO</v>
      </c>
    </row>
    <row r="112" spans="1:10" x14ac:dyDescent="0.35">
      <c r="A112">
        <v>2111</v>
      </c>
      <c r="B112" t="s">
        <v>143</v>
      </c>
      <c r="C112" t="s">
        <v>33</v>
      </c>
      <c r="D112" t="s">
        <v>21</v>
      </c>
      <c r="E112">
        <v>45778</v>
      </c>
      <c r="F112">
        <v>53210</v>
      </c>
      <c r="G112">
        <v>41462</v>
      </c>
      <c r="H112" t="s">
        <v>31</v>
      </c>
      <c r="I112" t="str" cm="1">
        <f t="array" ref="I112">_xlfn.IFS(G112=0,"Not Paid",G112=F112,"Fully Paid",G112&lt;F112,"Partially Paid")</f>
        <v>Partially Paid</v>
      </c>
      <c r="J112" t="str">
        <f t="shared" si="1"/>
        <v>YES</v>
      </c>
    </row>
    <row r="113" spans="1:10" x14ac:dyDescent="0.35">
      <c r="A113">
        <v>2112</v>
      </c>
      <c r="B113" t="s">
        <v>144</v>
      </c>
      <c r="C113" t="s">
        <v>56</v>
      </c>
      <c r="D113" t="s">
        <v>18</v>
      </c>
      <c r="E113">
        <v>45782</v>
      </c>
      <c r="F113">
        <v>48226</v>
      </c>
      <c r="G113">
        <v>42350</v>
      </c>
      <c r="H113" t="s">
        <v>31</v>
      </c>
      <c r="I113" t="str" cm="1">
        <f t="array" ref="I113">_xlfn.IFS(G113=0,"Not Paid",G113=F113,"Fully Paid",G113&lt;F113,"Partially Paid")</f>
        <v>Partially Paid</v>
      </c>
      <c r="J113" t="str">
        <f t="shared" si="1"/>
        <v>NO</v>
      </c>
    </row>
    <row r="114" spans="1:10" x14ac:dyDescent="0.35">
      <c r="A114">
        <v>2113</v>
      </c>
      <c r="B114" t="s">
        <v>145</v>
      </c>
      <c r="C114" t="s">
        <v>13</v>
      </c>
      <c r="D114" t="s">
        <v>27</v>
      </c>
      <c r="E114">
        <v>45827</v>
      </c>
      <c r="F114">
        <v>24652</v>
      </c>
      <c r="G114">
        <v>14967</v>
      </c>
      <c r="H114" t="s">
        <v>67</v>
      </c>
      <c r="I114" t="str" cm="1">
        <f t="array" ref="I114">_xlfn.IFS(G114=0,"Not Paid",G114=F114,"Fully Paid",G114&lt;F114,"Partially Paid")</f>
        <v>Partially Paid</v>
      </c>
      <c r="J114" t="str">
        <f t="shared" si="1"/>
        <v>NO</v>
      </c>
    </row>
    <row r="115" spans="1:10" x14ac:dyDescent="0.35">
      <c r="A115">
        <v>2114</v>
      </c>
      <c r="B115" t="s">
        <v>146</v>
      </c>
      <c r="C115" t="s">
        <v>13</v>
      </c>
      <c r="D115" t="s">
        <v>37</v>
      </c>
      <c r="E115">
        <v>45729</v>
      </c>
      <c r="F115">
        <v>44323</v>
      </c>
      <c r="G115">
        <v>40678</v>
      </c>
      <c r="H115" t="s">
        <v>19</v>
      </c>
      <c r="I115" t="str" cm="1">
        <f t="array" ref="I115">_xlfn.IFS(G115=0,"Not Paid",G115=F115,"Fully Paid",G115&lt;F115,"Partially Paid")</f>
        <v>Partially Paid</v>
      </c>
      <c r="J115" t="str">
        <f t="shared" si="1"/>
        <v>NO</v>
      </c>
    </row>
    <row r="116" spans="1:10" x14ac:dyDescent="0.35">
      <c r="A116">
        <v>2115</v>
      </c>
      <c r="B116" t="s">
        <v>147</v>
      </c>
      <c r="C116" t="s">
        <v>13</v>
      </c>
      <c r="D116" t="s">
        <v>37</v>
      </c>
      <c r="E116">
        <v>45809</v>
      </c>
      <c r="F116">
        <v>27597</v>
      </c>
      <c r="G116">
        <v>20516</v>
      </c>
      <c r="H116" t="s">
        <v>67</v>
      </c>
      <c r="I116" t="str" cm="1">
        <f t="array" ref="I116">_xlfn.IFS(G116=0,"Not Paid",G116=F116,"Fully Paid",G116&lt;F116,"Partially Paid")</f>
        <v>Partially Paid</v>
      </c>
      <c r="J116" t="str">
        <f t="shared" si="1"/>
        <v>NO</v>
      </c>
    </row>
    <row r="117" spans="1:10" x14ac:dyDescent="0.35">
      <c r="A117">
        <v>2116</v>
      </c>
      <c r="B117" t="s">
        <v>148</v>
      </c>
      <c r="C117" t="s">
        <v>17</v>
      </c>
      <c r="D117" t="s">
        <v>18</v>
      </c>
      <c r="E117">
        <v>45865</v>
      </c>
      <c r="F117">
        <v>57226</v>
      </c>
      <c r="G117">
        <v>54335</v>
      </c>
      <c r="H117" t="s">
        <v>43</v>
      </c>
      <c r="I117" t="str" cm="1">
        <f t="array" ref="I117">_xlfn.IFS(G117=0,"Not Paid",G117=F117,"Fully Paid",G117&lt;F117,"Partially Paid")</f>
        <v>Partially Paid</v>
      </c>
      <c r="J117" t="str">
        <f t="shared" si="1"/>
        <v>YES</v>
      </c>
    </row>
    <row r="118" spans="1:10" x14ac:dyDescent="0.35">
      <c r="A118">
        <v>2117</v>
      </c>
      <c r="B118" t="s">
        <v>149</v>
      </c>
      <c r="C118" t="s">
        <v>56</v>
      </c>
      <c r="D118" t="s">
        <v>18</v>
      </c>
      <c r="E118">
        <v>45706</v>
      </c>
      <c r="F118">
        <v>26591</v>
      </c>
      <c r="G118">
        <v>16694</v>
      </c>
      <c r="H118" t="s">
        <v>77</v>
      </c>
      <c r="I118" t="str" cm="1">
        <f t="array" ref="I118">_xlfn.IFS(G118=0,"Not Paid",G118=F118,"Fully Paid",G118&lt;F118,"Partially Paid")</f>
        <v>Partially Paid</v>
      </c>
      <c r="J118" t="str">
        <f t="shared" si="1"/>
        <v>NO</v>
      </c>
    </row>
    <row r="119" spans="1:10" x14ac:dyDescent="0.35">
      <c r="A119">
        <v>2118</v>
      </c>
      <c r="B119" t="s">
        <v>150</v>
      </c>
      <c r="C119" t="s">
        <v>17</v>
      </c>
      <c r="D119" t="s">
        <v>14</v>
      </c>
      <c r="E119">
        <v>45811</v>
      </c>
      <c r="F119">
        <v>45833</v>
      </c>
      <c r="G119">
        <v>42317</v>
      </c>
      <c r="H119" t="s">
        <v>67</v>
      </c>
      <c r="I119" t="str" cm="1">
        <f t="array" ref="I119">_xlfn.IFS(G119=0,"Not Paid",G119=F119,"Fully Paid",G119&lt;F119,"Partially Paid")</f>
        <v>Partially Paid</v>
      </c>
      <c r="J119" t="str">
        <f t="shared" si="1"/>
        <v>NO</v>
      </c>
    </row>
    <row r="120" spans="1:10" x14ac:dyDescent="0.35">
      <c r="A120">
        <v>2119</v>
      </c>
      <c r="B120" t="s">
        <v>151</v>
      </c>
      <c r="C120" t="s">
        <v>9</v>
      </c>
      <c r="D120" t="s">
        <v>37</v>
      </c>
      <c r="E120">
        <v>46004</v>
      </c>
      <c r="F120">
        <v>31826</v>
      </c>
      <c r="G120">
        <v>28486</v>
      </c>
      <c r="H120" t="s">
        <v>25</v>
      </c>
      <c r="I120" t="str" cm="1">
        <f t="array" ref="I120">_xlfn.IFS(G120=0,"Not Paid",G120=F120,"Fully Paid",G120&lt;F120,"Partially Paid")</f>
        <v>Partially Paid</v>
      </c>
      <c r="J120" t="str">
        <f t="shared" si="1"/>
        <v>NO</v>
      </c>
    </row>
    <row r="121" spans="1:10" x14ac:dyDescent="0.35">
      <c r="A121">
        <v>2120</v>
      </c>
      <c r="B121" t="s">
        <v>152</v>
      </c>
      <c r="C121" t="s">
        <v>17</v>
      </c>
      <c r="D121" t="s">
        <v>27</v>
      </c>
      <c r="E121">
        <v>45950</v>
      </c>
      <c r="F121">
        <v>46417</v>
      </c>
      <c r="G121">
        <v>40007</v>
      </c>
      <c r="H121" t="s">
        <v>22</v>
      </c>
      <c r="I121" t="str" cm="1">
        <f t="array" ref="I121">_xlfn.IFS(G121=0,"Not Paid",G121=F121,"Fully Paid",G121&lt;F121,"Partially Paid")</f>
        <v>Partially Paid</v>
      </c>
      <c r="J121" t="str">
        <f t="shared" si="1"/>
        <v>NO</v>
      </c>
    </row>
    <row r="122" spans="1:10" x14ac:dyDescent="0.35">
      <c r="A122">
        <v>2121</v>
      </c>
      <c r="B122" t="s">
        <v>153</v>
      </c>
      <c r="C122" t="s">
        <v>56</v>
      </c>
      <c r="D122" t="s">
        <v>21</v>
      </c>
      <c r="E122">
        <v>45725</v>
      </c>
      <c r="F122">
        <v>38693</v>
      </c>
      <c r="G122">
        <v>38640</v>
      </c>
      <c r="H122" t="s">
        <v>19</v>
      </c>
      <c r="I122" t="str" cm="1">
        <f t="array" ref="I122">_xlfn.IFS(G122=0,"Not Paid",G122=F122,"Fully Paid",G122&lt;F122,"Partially Paid")</f>
        <v>Partially Paid</v>
      </c>
      <c r="J122" t="str">
        <f t="shared" si="1"/>
        <v>NO</v>
      </c>
    </row>
    <row r="123" spans="1:10" x14ac:dyDescent="0.35">
      <c r="A123">
        <v>2122</v>
      </c>
      <c r="B123" t="s">
        <v>154</v>
      </c>
      <c r="C123" t="s">
        <v>56</v>
      </c>
      <c r="D123" t="s">
        <v>27</v>
      </c>
      <c r="E123">
        <v>45707</v>
      </c>
      <c r="F123">
        <v>34138</v>
      </c>
      <c r="G123">
        <v>31563</v>
      </c>
      <c r="H123" t="s">
        <v>77</v>
      </c>
      <c r="I123" t="str" cm="1">
        <f t="array" ref="I123">_xlfn.IFS(G123=0,"Not Paid",G123=F123,"Fully Paid",G123&lt;F123,"Partially Paid")</f>
        <v>Partially Paid</v>
      </c>
      <c r="J123" t="str">
        <f t="shared" si="1"/>
        <v>NO</v>
      </c>
    </row>
    <row r="124" spans="1:10" x14ac:dyDescent="0.35">
      <c r="A124">
        <v>2123</v>
      </c>
      <c r="B124" t="s">
        <v>155</v>
      </c>
      <c r="C124" t="s">
        <v>9</v>
      </c>
      <c r="D124" t="s">
        <v>10</v>
      </c>
      <c r="E124">
        <v>45809</v>
      </c>
      <c r="F124">
        <v>22169</v>
      </c>
      <c r="G124">
        <v>10386</v>
      </c>
      <c r="H124" t="s">
        <v>67</v>
      </c>
      <c r="I124" t="str" cm="1">
        <f t="array" ref="I124">_xlfn.IFS(G124=0,"Not Paid",G124=F124,"Fully Paid",G124&lt;F124,"Partially Paid")</f>
        <v>Partially Paid</v>
      </c>
      <c r="J124" t="str">
        <f t="shared" si="1"/>
        <v>NO</v>
      </c>
    </row>
    <row r="125" spans="1:10" x14ac:dyDescent="0.35">
      <c r="A125">
        <v>2124</v>
      </c>
      <c r="B125" t="s">
        <v>156</v>
      </c>
      <c r="C125" t="s">
        <v>56</v>
      </c>
      <c r="D125" t="s">
        <v>10</v>
      </c>
      <c r="E125">
        <v>45676</v>
      </c>
      <c r="F125">
        <v>38556</v>
      </c>
      <c r="G125">
        <v>37941</v>
      </c>
      <c r="H125" t="s">
        <v>15</v>
      </c>
      <c r="I125" t="str" cm="1">
        <f t="array" ref="I125">_xlfn.IFS(G125=0,"Not Paid",G125=F125,"Fully Paid",G125&lt;F125,"Partially Paid")</f>
        <v>Partially Paid</v>
      </c>
      <c r="J125" t="str">
        <f t="shared" si="1"/>
        <v>NO</v>
      </c>
    </row>
    <row r="126" spans="1:10" x14ac:dyDescent="0.35">
      <c r="A126">
        <v>2125</v>
      </c>
      <c r="B126" t="s">
        <v>157</v>
      </c>
      <c r="C126" t="s">
        <v>56</v>
      </c>
      <c r="D126" t="s">
        <v>18</v>
      </c>
      <c r="E126">
        <v>45757</v>
      </c>
      <c r="F126">
        <v>42052</v>
      </c>
      <c r="G126">
        <v>28682</v>
      </c>
      <c r="H126" t="s">
        <v>11</v>
      </c>
      <c r="I126" t="str" cm="1">
        <f t="array" ref="I126">_xlfn.IFS(G126=0,"Not Paid",G126=F126,"Fully Paid",G126&lt;F126,"Partially Paid")</f>
        <v>Partially Paid</v>
      </c>
      <c r="J126" t="str">
        <f t="shared" si="1"/>
        <v>NO</v>
      </c>
    </row>
    <row r="127" spans="1:10" x14ac:dyDescent="0.35">
      <c r="A127">
        <v>2126</v>
      </c>
      <c r="B127" t="s">
        <v>158</v>
      </c>
      <c r="C127" t="s">
        <v>13</v>
      </c>
      <c r="D127" t="s">
        <v>14</v>
      </c>
      <c r="E127">
        <v>45717</v>
      </c>
      <c r="F127">
        <v>26313</v>
      </c>
      <c r="G127">
        <v>20369</v>
      </c>
      <c r="H127" t="s">
        <v>19</v>
      </c>
      <c r="I127" t="str" cm="1">
        <f t="array" ref="I127">_xlfn.IFS(G127=0,"Not Paid",G127=F127,"Fully Paid",G127&lt;F127,"Partially Paid")</f>
        <v>Partially Paid</v>
      </c>
      <c r="J127" t="str">
        <f t="shared" si="1"/>
        <v>NO</v>
      </c>
    </row>
    <row r="128" spans="1:10" x14ac:dyDescent="0.35">
      <c r="A128">
        <v>2127</v>
      </c>
      <c r="B128" t="s">
        <v>159</v>
      </c>
      <c r="C128" t="s">
        <v>9</v>
      </c>
      <c r="D128" t="s">
        <v>10</v>
      </c>
      <c r="E128">
        <v>45824</v>
      </c>
      <c r="F128">
        <v>28315</v>
      </c>
      <c r="G128">
        <v>20911</v>
      </c>
      <c r="H128" t="s">
        <v>67</v>
      </c>
      <c r="I128" t="str" cm="1">
        <f t="array" ref="I128">_xlfn.IFS(G128=0,"Not Paid",G128=F128,"Fully Paid",G128&lt;F128,"Partially Paid")</f>
        <v>Partially Paid</v>
      </c>
      <c r="J128" t="str">
        <f t="shared" si="1"/>
        <v>NO</v>
      </c>
    </row>
    <row r="129" spans="1:10" x14ac:dyDescent="0.35">
      <c r="A129">
        <v>2128</v>
      </c>
      <c r="B129" t="s">
        <v>160</v>
      </c>
      <c r="C129" t="s">
        <v>24</v>
      </c>
      <c r="D129" t="s">
        <v>37</v>
      </c>
      <c r="E129">
        <v>45859</v>
      </c>
      <c r="F129">
        <v>28036</v>
      </c>
      <c r="G129">
        <v>27082</v>
      </c>
      <c r="H129" t="s">
        <v>43</v>
      </c>
      <c r="I129" t="str" cm="1">
        <f t="array" ref="I129">_xlfn.IFS(G129=0,"Not Paid",G129=F129,"Fully Paid",G129&lt;F129,"Partially Paid")</f>
        <v>Partially Paid</v>
      </c>
      <c r="J129" t="str">
        <f t="shared" si="1"/>
        <v>NO</v>
      </c>
    </row>
    <row r="130" spans="1:10" x14ac:dyDescent="0.35">
      <c r="A130">
        <v>2129</v>
      </c>
      <c r="B130" t="s">
        <v>161</v>
      </c>
      <c r="C130" t="s">
        <v>24</v>
      </c>
      <c r="D130" t="s">
        <v>27</v>
      </c>
      <c r="E130">
        <v>46002</v>
      </c>
      <c r="F130">
        <v>51778</v>
      </c>
      <c r="G130">
        <v>41153</v>
      </c>
      <c r="H130" t="s">
        <v>25</v>
      </c>
      <c r="I130" t="str" cm="1">
        <f t="array" ref="I130">_xlfn.IFS(G130=0,"Not Paid",G130=F130,"Fully Paid",G130&lt;F130,"Partially Paid")</f>
        <v>Partially Paid</v>
      </c>
      <c r="J130" t="str">
        <f t="shared" si="1"/>
        <v>YES</v>
      </c>
    </row>
    <row r="131" spans="1:10" x14ac:dyDescent="0.35">
      <c r="A131">
        <v>2130</v>
      </c>
      <c r="B131" t="s">
        <v>162</v>
      </c>
      <c r="C131" t="s">
        <v>56</v>
      </c>
      <c r="D131" t="s">
        <v>27</v>
      </c>
      <c r="E131">
        <v>45803</v>
      </c>
      <c r="F131">
        <v>47734</v>
      </c>
      <c r="G131">
        <v>46105</v>
      </c>
      <c r="H131" t="s">
        <v>31</v>
      </c>
      <c r="I131" t="str" cm="1">
        <f t="array" ref="I131">_xlfn.IFS(G131=0,"Not Paid",G131=F131,"Fully Paid",G131&lt;F131,"Partially Paid")</f>
        <v>Partially Paid</v>
      </c>
      <c r="J131" t="str">
        <f t="shared" ref="J131:J194" si="2">IF(F131&gt;50000,"YES","NO")</f>
        <v>NO</v>
      </c>
    </row>
    <row r="132" spans="1:10" x14ac:dyDescent="0.35">
      <c r="A132">
        <v>2131</v>
      </c>
      <c r="B132" t="s">
        <v>163</v>
      </c>
      <c r="C132" t="s">
        <v>24</v>
      </c>
      <c r="D132" t="s">
        <v>18</v>
      </c>
      <c r="E132">
        <v>45821</v>
      </c>
      <c r="F132">
        <v>43173</v>
      </c>
      <c r="G132">
        <v>32200</v>
      </c>
      <c r="H132" t="s">
        <v>67</v>
      </c>
      <c r="I132" t="str" cm="1">
        <f t="array" ref="I132">_xlfn.IFS(G132=0,"Not Paid",G132=F132,"Fully Paid",G132&lt;F132,"Partially Paid")</f>
        <v>Partially Paid</v>
      </c>
      <c r="J132" t="str">
        <f t="shared" si="2"/>
        <v>NO</v>
      </c>
    </row>
    <row r="133" spans="1:10" x14ac:dyDescent="0.35">
      <c r="A133">
        <v>2132</v>
      </c>
      <c r="B133" t="s">
        <v>164</v>
      </c>
      <c r="C133" t="s">
        <v>24</v>
      </c>
      <c r="D133" t="s">
        <v>21</v>
      </c>
      <c r="E133">
        <v>45899</v>
      </c>
      <c r="F133">
        <v>50403</v>
      </c>
      <c r="G133">
        <v>43544</v>
      </c>
      <c r="H133" t="s">
        <v>38</v>
      </c>
      <c r="I133" t="str" cm="1">
        <f t="array" ref="I133">_xlfn.IFS(G133=0,"Not Paid",G133=F133,"Fully Paid",G133&lt;F133,"Partially Paid")</f>
        <v>Partially Paid</v>
      </c>
      <c r="J133" t="str">
        <f t="shared" si="2"/>
        <v>YES</v>
      </c>
    </row>
    <row r="134" spans="1:10" x14ac:dyDescent="0.35">
      <c r="A134">
        <v>2133</v>
      </c>
      <c r="B134" t="s">
        <v>165</v>
      </c>
      <c r="C134" t="s">
        <v>56</v>
      </c>
      <c r="D134" t="s">
        <v>18</v>
      </c>
      <c r="E134">
        <v>45726</v>
      </c>
      <c r="F134">
        <v>20785</v>
      </c>
      <c r="G134">
        <v>11944</v>
      </c>
      <c r="H134" t="s">
        <v>19</v>
      </c>
      <c r="I134" t="str" cm="1">
        <f t="array" ref="I134">_xlfn.IFS(G134=0,"Not Paid",G134=F134,"Fully Paid",G134&lt;F134,"Partially Paid")</f>
        <v>Partially Paid</v>
      </c>
      <c r="J134" t="str">
        <f t="shared" si="2"/>
        <v>NO</v>
      </c>
    </row>
    <row r="135" spans="1:10" x14ac:dyDescent="0.35">
      <c r="A135">
        <v>2134</v>
      </c>
      <c r="B135" t="s">
        <v>166</v>
      </c>
      <c r="C135" t="s">
        <v>24</v>
      </c>
      <c r="D135" t="s">
        <v>21</v>
      </c>
      <c r="E135">
        <v>45832</v>
      </c>
      <c r="F135">
        <v>26139</v>
      </c>
      <c r="G135">
        <v>15600</v>
      </c>
      <c r="H135" t="s">
        <v>67</v>
      </c>
      <c r="I135" t="str" cm="1">
        <f t="array" ref="I135">_xlfn.IFS(G135=0,"Not Paid",G135=F135,"Fully Paid",G135&lt;F135,"Partially Paid")</f>
        <v>Partially Paid</v>
      </c>
      <c r="J135" t="str">
        <f t="shared" si="2"/>
        <v>NO</v>
      </c>
    </row>
    <row r="136" spans="1:10" x14ac:dyDescent="0.35">
      <c r="A136">
        <v>2135</v>
      </c>
      <c r="B136" t="s">
        <v>167</v>
      </c>
      <c r="C136" t="s">
        <v>17</v>
      </c>
      <c r="D136" t="s">
        <v>18</v>
      </c>
      <c r="E136">
        <v>45706</v>
      </c>
      <c r="F136">
        <v>26344</v>
      </c>
      <c r="G136">
        <v>13662</v>
      </c>
      <c r="H136" t="s">
        <v>77</v>
      </c>
      <c r="I136" t="str" cm="1">
        <f t="array" ref="I136">_xlfn.IFS(G136=0,"Not Paid",G136=F136,"Fully Paid",G136&lt;F136,"Partially Paid")</f>
        <v>Partially Paid</v>
      </c>
      <c r="J136" t="str">
        <f t="shared" si="2"/>
        <v>NO</v>
      </c>
    </row>
    <row r="137" spans="1:10" x14ac:dyDescent="0.35">
      <c r="A137">
        <v>2136</v>
      </c>
      <c r="B137" t="s">
        <v>168</v>
      </c>
      <c r="C137" t="s">
        <v>33</v>
      </c>
      <c r="D137" t="s">
        <v>18</v>
      </c>
      <c r="E137">
        <v>45765</v>
      </c>
      <c r="F137">
        <v>38800</v>
      </c>
      <c r="G137">
        <v>35522</v>
      </c>
      <c r="H137" t="s">
        <v>11</v>
      </c>
      <c r="I137" t="str" cm="1">
        <f t="array" ref="I137">_xlfn.IFS(G137=0,"Not Paid",G137=F137,"Fully Paid",G137&lt;F137,"Partially Paid")</f>
        <v>Partially Paid</v>
      </c>
      <c r="J137" t="str">
        <f t="shared" si="2"/>
        <v>NO</v>
      </c>
    </row>
    <row r="138" spans="1:10" x14ac:dyDescent="0.35">
      <c r="A138">
        <v>2137</v>
      </c>
      <c r="B138" t="s">
        <v>169</v>
      </c>
      <c r="C138" t="s">
        <v>9</v>
      </c>
      <c r="D138" t="s">
        <v>18</v>
      </c>
      <c r="E138">
        <v>45883</v>
      </c>
      <c r="F138">
        <v>45372</v>
      </c>
      <c r="G138">
        <v>39917</v>
      </c>
      <c r="H138" t="s">
        <v>38</v>
      </c>
      <c r="I138" t="str" cm="1">
        <f t="array" ref="I138">_xlfn.IFS(G138=0,"Not Paid",G138=F138,"Fully Paid",G138&lt;F138,"Partially Paid")</f>
        <v>Partially Paid</v>
      </c>
      <c r="J138" t="str">
        <f t="shared" si="2"/>
        <v>NO</v>
      </c>
    </row>
    <row r="139" spans="1:10" x14ac:dyDescent="0.35">
      <c r="A139">
        <v>2138</v>
      </c>
      <c r="B139" t="s">
        <v>170</v>
      </c>
      <c r="C139" t="s">
        <v>33</v>
      </c>
      <c r="D139" t="s">
        <v>21</v>
      </c>
      <c r="E139">
        <v>45818</v>
      </c>
      <c r="F139">
        <v>40538</v>
      </c>
      <c r="G139">
        <v>29706</v>
      </c>
      <c r="H139" t="s">
        <v>67</v>
      </c>
      <c r="I139" t="str" cm="1">
        <f t="array" ref="I139">_xlfn.IFS(G139=0,"Not Paid",G139=F139,"Fully Paid",G139&lt;F139,"Partially Paid")</f>
        <v>Partially Paid</v>
      </c>
      <c r="J139" t="str">
        <f t="shared" si="2"/>
        <v>NO</v>
      </c>
    </row>
    <row r="140" spans="1:10" x14ac:dyDescent="0.35">
      <c r="A140">
        <v>2139</v>
      </c>
      <c r="B140" t="s">
        <v>171</v>
      </c>
      <c r="C140" t="s">
        <v>56</v>
      </c>
      <c r="D140" t="s">
        <v>21</v>
      </c>
      <c r="E140">
        <v>45776</v>
      </c>
      <c r="F140">
        <v>34973</v>
      </c>
      <c r="G140">
        <v>31172</v>
      </c>
      <c r="H140" t="s">
        <v>11</v>
      </c>
      <c r="I140" t="str" cm="1">
        <f t="array" ref="I140">_xlfn.IFS(G140=0,"Not Paid",G140=F140,"Fully Paid",G140&lt;F140,"Partially Paid")</f>
        <v>Partially Paid</v>
      </c>
      <c r="J140" t="str">
        <f t="shared" si="2"/>
        <v>NO</v>
      </c>
    </row>
    <row r="141" spans="1:10" x14ac:dyDescent="0.35">
      <c r="A141">
        <v>2140</v>
      </c>
      <c r="B141" t="s">
        <v>172</v>
      </c>
      <c r="C141" t="s">
        <v>13</v>
      </c>
      <c r="D141" t="s">
        <v>18</v>
      </c>
      <c r="E141">
        <v>45806</v>
      </c>
      <c r="F141">
        <v>25619</v>
      </c>
      <c r="G141">
        <v>23058</v>
      </c>
      <c r="H141" t="s">
        <v>31</v>
      </c>
      <c r="I141" t="str" cm="1">
        <f t="array" ref="I141">_xlfn.IFS(G141=0,"Not Paid",G141=F141,"Fully Paid",G141&lt;F141,"Partially Paid")</f>
        <v>Partially Paid</v>
      </c>
      <c r="J141" t="str">
        <f t="shared" si="2"/>
        <v>NO</v>
      </c>
    </row>
    <row r="142" spans="1:10" x14ac:dyDescent="0.35">
      <c r="A142">
        <v>2141</v>
      </c>
      <c r="B142" t="s">
        <v>173</v>
      </c>
      <c r="C142" t="s">
        <v>9</v>
      </c>
      <c r="D142" t="s">
        <v>10</v>
      </c>
      <c r="E142">
        <v>45807</v>
      </c>
      <c r="F142">
        <v>54704</v>
      </c>
      <c r="G142">
        <v>43263</v>
      </c>
      <c r="H142" t="s">
        <v>31</v>
      </c>
      <c r="I142" t="str" cm="1">
        <f t="array" ref="I142">_xlfn.IFS(G142=0,"Not Paid",G142=F142,"Fully Paid",G142&lt;F142,"Partially Paid")</f>
        <v>Partially Paid</v>
      </c>
      <c r="J142" t="str">
        <f t="shared" si="2"/>
        <v>YES</v>
      </c>
    </row>
    <row r="143" spans="1:10" x14ac:dyDescent="0.35">
      <c r="A143">
        <v>2142</v>
      </c>
      <c r="B143" t="s">
        <v>174</v>
      </c>
      <c r="C143" t="s">
        <v>56</v>
      </c>
      <c r="D143" t="s">
        <v>14</v>
      </c>
      <c r="E143">
        <v>45950</v>
      </c>
      <c r="F143">
        <v>56575</v>
      </c>
      <c r="G143">
        <v>50036</v>
      </c>
      <c r="H143" t="s">
        <v>22</v>
      </c>
      <c r="I143" t="str" cm="1">
        <f t="array" ref="I143">_xlfn.IFS(G143=0,"Not Paid",G143=F143,"Fully Paid",G143&lt;F143,"Partially Paid")</f>
        <v>Partially Paid</v>
      </c>
      <c r="J143" t="str">
        <f t="shared" si="2"/>
        <v>YES</v>
      </c>
    </row>
    <row r="144" spans="1:10" x14ac:dyDescent="0.35">
      <c r="A144">
        <v>2143</v>
      </c>
      <c r="B144" t="s">
        <v>175</v>
      </c>
      <c r="C144" t="s">
        <v>13</v>
      </c>
      <c r="D144" t="s">
        <v>14</v>
      </c>
      <c r="E144">
        <v>45800</v>
      </c>
      <c r="F144">
        <v>59919</v>
      </c>
      <c r="G144">
        <v>59549</v>
      </c>
      <c r="H144" t="s">
        <v>31</v>
      </c>
      <c r="I144" t="str" cm="1">
        <f t="array" ref="I144">_xlfn.IFS(G144=0,"Not Paid",G144=F144,"Fully Paid",G144&lt;F144,"Partially Paid")</f>
        <v>Partially Paid</v>
      </c>
      <c r="J144" t="str">
        <f t="shared" si="2"/>
        <v>YES</v>
      </c>
    </row>
    <row r="145" spans="1:10" x14ac:dyDescent="0.35">
      <c r="A145">
        <v>2144</v>
      </c>
      <c r="B145" t="s">
        <v>176</v>
      </c>
      <c r="C145" t="s">
        <v>33</v>
      </c>
      <c r="D145" t="s">
        <v>14</v>
      </c>
      <c r="E145">
        <v>45817</v>
      </c>
      <c r="F145">
        <v>47716</v>
      </c>
      <c r="G145">
        <v>46859</v>
      </c>
      <c r="H145" t="s">
        <v>67</v>
      </c>
      <c r="I145" t="str" cm="1">
        <f t="array" ref="I145">_xlfn.IFS(G145=0,"Not Paid",G145=F145,"Fully Paid",G145&lt;F145,"Partially Paid")</f>
        <v>Partially Paid</v>
      </c>
      <c r="J145" t="str">
        <f t="shared" si="2"/>
        <v>NO</v>
      </c>
    </row>
    <row r="146" spans="1:10" x14ac:dyDescent="0.35">
      <c r="A146">
        <v>2145</v>
      </c>
      <c r="B146" t="s">
        <v>177</v>
      </c>
      <c r="C146" t="s">
        <v>56</v>
      </c>
      <c r="D146" t="s">
        <v>21</v>
      </c>
      <c r="E146">
        <v>45668</v>
      </c>
      <c r="F146">
        <v>23236</v>
      </c>
      <c r="G146">
        <v>18350</v>
      </c>
      <c r="H146" t="s">
        <v>15</v>
      </c>
      <c r="I146" t="str" cm="1">
        <f t="array" ref="I146">_xlfn.IFS(G146=0,"Not Paid",G146=F146,"Fully Paid",G146&lt;F146,"Partially Paid")</f>
        <v>Partially Paid</v>
      </c>
      <c r="J146" t="str">
        <f t="shared" si="2"/>
        <v>NO</v>
      </c>
    </row>
    <row r="147" spans="1:10" x14ac:dyDescent="0.35">
      <c r="A147">
        <v>2146</v>
      </c>
      <c r="B147" t="s">
        <v>178</v>
      </c>
      <c r="C147" t="s">
        <v>9</v>
      </c>
      <c r="D147" t="s">
        <v>21</v>
      </c>
      <c r="E147">
        <v>45795</v>
      </c>
      <c r="F147">
        <v>35848</v>
      </c>
      <c r="G147">
        <v>22903</v>
      </c>
      <c r="H147" t="s">
        <v>31</v>
      </c>
      <c r="I147" t="str" cm="1">
        <f t="array" ref="I147">_xlfn.IFS(G147=0,"Not Paid",G147=F147,"Fully Paid",G147&lt;F147,"Partially Paid")</f>
        <v>Partially Paid</v>
      </c>
      <c r="J147" t="str">
        <f t="shared" si="2"/>
        <v>NO</v>
      </c>
    </row>
    <row r="148" spans="1:10" x14ac:dyDescent="0.35">
      <c r="A148">
        <v>2147</v>
      </c>
      <c r="B148" t="s">
        <v>179</v>
      </c>
      <c r="C148" t="s">
        <v>9</v>
      </c>
      <c r="D148" t="s">
        <v>10</v>
      </c>
      <c r="E148">
        <v>45735</v>
      </c>
      <c r="F148">
        <v>22352</v>
      </c>
      <c r="G148">
        <v>14867</v>
      </c>
      <c r="H148" t="s">
        <v>19</v>
      </c>
      <c r="I148" t="str" cm="1">
        <f t="array" ref="I148">_xlfn.IFS(G148=0,"Not Paid",G148=F148,"Fully Paid",G148&lt;F148,"Partially Paid")</f>
        <v>Partially Paid</v>
      </c>
      <c r="J148" t="str">
        <f t="shared" si="2"/>
        <v>NO</v>
      </c>
    </row>
    <row r="149" spans="1:10" x14ac:dyDescent="0.35">
      <c r="A149">
        <v>2148</v>
      </c>
      <c r="B149" t="s">
        <v>180</v>
      </c>
      <c r="C149" t="s">
        <v>45</v>
      </c>
      <c r="D149" t="s">
        <v>14</v>
      </c>
      <c r="E149">
        <v>45734</v>
      </c>
      <c r="F149">
        <v>21932</v>
      </c>
      <c r="G149">
        <v>8252</v>
      </c>
      <c r="H149" t="s">
        <v>19</v>
      </c>
      <c r="I149" t="str" cm="1">
        <f t="array" ref="I149">_xlfn.IFS(G149=0,"Not Paid",G149=F149,"Fully Paid",G149&lt;F149,"Partially Paid")</f>
        <v>Partially Paid</v>
      </c>
      <c r="J149" t="str">
        <f t="shared" si="2"/>
        <v>NO</v>
      </c>
    </row>
    <row r="150" spans="1:10" x14ac:dyDescent="0.35">
      <c r="A150">
        <v>2149</v>
      </c>
      <c r="B150" t="s">
        <v>181</v>
      </c>
      <c r="C150" t="s">
        <v>17</v>
      </c>
      <c r="D150" t="s">
        <v>14</v>
      </c>
      <c r="E150">
        <v>45911</v>
      </c>
      <c r="F150">
        <v>30913</v>
      </c>
      <c r="G150">
        <v>30530</v>
      </c>
      <c r="H150" t="s">
        <v>53</v>
      </c>
      <c r="I150" t="str" cm="1">
        <f t="array" ref="I150">_xlfn.IFS(G150=0,"Not Paid",G150=F150,"Fully Paid",G150&lt;F150,"Partially Paid")</f>
        <v>Partially Paid</v>
      </c>
      <c r="J150" t="str">
        <f t="shared" si="2"/>
        <v>NO</v>
      </c>
    </row>
    <row r="151" spans="1:10" x14ac:dyDescent="0.35">
      <c r="A151">
        <v>2150</v>
      </c>
      <c r="B151" t="s">
        <v>182</v>
      </c>
      <c r="C151" t="s">
        <v>24</v>
      </c>
      <c r="D151" t="s">
        <v>18</v>
      </c>
      <c r="E151">
        <v>45915</v>
      </c>
      <c r="F151">
        <v>28556</v>
      </c>
      <c r="G151">
        <v>14159</v>
      </c>
      <c r="H151" t="s">
        <v>53</v>
      </c>
      <c r="I151" t="str" cm="1">
        <f t="array" ref="I151">_xlfn.IFS(G151=0,"Not Paid",G151=F151,"Fully Paid",G151&lt;F151,"Partially Paid")</f>
        <v>Partially Paid</v>
      </c>
      <c r="J151" t="str">
        <f t="shared" si="2"/>
        <v>NO</v>
      </c>
    </row>
    <row r="152" spans="1:10" x14ac:dyDescent="0.35">
      <c r="A152">
        <v>2151</v>
      </c>
      <c r="B152" t="s">
        <v>183</v>
      </c>
      <c r="C152" t="s">
        <v>13</v>
      </c>
      <c r="D152" t="s">
        <v>21</v>
      </c>
      <c r="E152">
        <v>45977</v>
      </c>
      <c r="F152">
        <v>41300</v>
      </c>
      <c r="G152">
        <v>29231</v>
      </c>
      <c r="H152" t="s">
        <v>29</v>
      </c>
      <c r="I152" t="str" cm="1">
        <f t="array" ref="I152">_xlfn.IFS(G152=0,"Not Paid",G152=F152,"Fully Paid",G152&lt;F152,"Partially Paid")</f>
        <v>Partially Paid</v>
      </c>
      <c r="J152" t="str">
        <f t="shared" si="2"/>
        <v>NO</v>
      </c>
    </row>
    <row r="153" spans="1:10" x14ac:dyDescent="0.35">
      <c r="A153">
        <v>2152</v>
      </c>
      <c r="B153" t="s">
        <v>184</v>
      </c>
      <c r="C153" t="s">
        <v>45</v>
      </c>
      <c r="D153" t="s">
        <v>14</v>
      </c>
      <c r="E153">
        <v>45948</v>
      </c>
      <c r="F153">
        <v>25498</v>
      </c>
      <c r="G153">
        <v>14754</v>
      </c>
      <c r="H153" t="s">
        <v>22</v>
      </c>
      <c r="I153" t="str" cm="1">
        <f t="array" ref="I153">_xlfn.IFS(G153=0,"Not Paid",G153=F153,"Fully Paid",G153&lt;F153,"Partially Paid")</f>
        <v>Partially Paid</v>
      </c>
      <c r="J153" t="str">
        <f t="shared" si="2"/>
        <v>NO</v>
      </c>
    </row>
    <row r="154" spans="1:10" x14ac:dyDescent="0.35">
      <c r="A154">
        <v>2153</v>
      </c>
      <c r="B154" t="s">
        <v>185</v>
      </c>
      <c r="C154" t="s">
        <v>24</v>
      </c>
      <c r="D154" t="s">
        <v>27</v>
      </c>
      <c r="E154">
        <v>45920</v>
      </c>
      <c r="F154">
        <v>30582</v>
      </c>
      <c r="G154">
        <v>26248</v>
      </c>
      <c r="H154" t="s">
        <v>53</v>
      </c>
      <c r="I154" t="str" cm="1">
        <f t="array" ref="I154">_xlfn.IFS(G154=0,"Not Paid",G154=F154,"Fully Paid",G154&lt;F154,"Partially Paid")</f>
        <v>Partially Paid</v>
      </c>
      <c r="J154" t="str">
        <f t="shared" si="2"/>
        <v>NO</v>
      </c>
    </row>
    <row r="155" spans="1:10" x14ac:dyDescent="0.35">
      <c r="A155">
        <v>2154</v>
      </c>
      <c r="B155" t="s">
        <v>186</v>
      </c>
      <c r="C155" t="s">
        <v>24</v>
      </c>
      <c r="D155" t="s">
        <v>10</v>
      </c>
      <c r="E155">
        <v>45742</v>
      </c>
      <c r="F155">
        <v>29569</v>
      </c>
      <c r="G155">
        <v>25279</v>
      </c>
      <c r="H155" t="s">
        <v>19</v>
      </c>
      <c r="I155" t="str" cm="1">
        <f t="array" ref="I155">_xlfn.IFS(G155=0,"Not Paid",G155=F155,"Fully Paid",G155&lt;F155,"Partially Paid")</f>
        <v>Partially Paid</v>
      </c>
      <c r="J155" t="str">
        <f t="shared" si="2"/>
        <v>NO</v>
      </c>
    </row>
    <row r="156" spans="1:10" x14ac:dyDescent="0.35">
      <c r="A156">
        <v>2155</v>
      </c>
      <c r="B156" t="s">
        <v>187</v>
      </c>
      <c r="C156" t="s">
        <v>56</v>
      </c>
      <c r="D156" t="s">
        <v>27</v>
      </c>
      <c r="E156">
        <v>45803</v>
      </c>
      <c r="F156">
        <v>24857</v>
      </c>
      <c r="G156">
        <v>22132</v>
      </c>
      <c r="H156" t="s">
        <v>31</v>
      </c>
      <c r="I156" t="str" cm="1">
        <f t="array" ref="I156">_xlfn.IFS(G156=0,"Not Paid",G156=F156,"Fully Paid",G156&lt;F156,"Partially Paid")</f>
        <v>Partially Paid</v>
      </c>
      <c r="J156" t="str">
        <f t="shared" si="2"/>
        <v>NO</v>
      </c>
    </row>
    <row r="157" spans="1:10" x14ac:dyDescent="0.35">
      <c r="A157">
        <v>2156</v>
      </c>
      <c r="B157" t="s">
        <v>188</v>
      </c>
      <c r="C157" t="s">
        <v>24</v>
      </c>
      <c r="D157" t="s">
        <v>27</v>
      </c>
      <c r="E157">
        <v>45980</v>
      </c>
      <c r="F157">
        <v>20340</v>
      </c>
      <c r="G157">
        <v>8114</v>
      </c>
      <c r="H157" t="s">
        <v>29</v>
      </c>
      <c r="I157" t="str" cm="1">
        <f t="array" ref="I157">_xlfn.IFS(G157=0,"Not Paid",G157=F157,"Fully Paid",G157&lt;F157,"Partially Paid")</f>
        <v>Partially Paid</v>
      </c>
      <c r="J157" t="str">
        <f t="shared" si="2"/>
        <v>NO</v>
      </c>
    </row>
    <row r="158" spans="1:10" x14ac:dyDescent="0.35">
      <c r="A158">
        <v>2157</v>
      </c>
      <c r="B158" t="s">
        <v>189</v>
      </c>
      <c r="C158" t="s">
        <v>17</v>
      </c>
      <c r="D158" t="s">
        <v>10</v>
      </c>
      <c r="E158">
        <v>45699</v>
      </c>
      <c r="F158">
        <v>36766</v>
      </c>
      <c r="G158">
        <v>25281</v>
      </c>
      <c r="H158" t="s">
        <v>77</v>
      </c>
      <c r="I158" t="str" cm="1">
        <f t="array" ref="I158">_xlfn.IFS(G158=0,"Not Paid",G158=F158,"Fully Paid",G158&lt;F158,"Partially Paid")</f>
        <v>Partially Paid</v>
      </c>
      <c r="J158" t="str">
        <f t="shared" si="2"/>
        <v>NO</v>
      </c>
    </row>
    <row r="159" spans="1:10" x14ac:dyDescent="0.35">
      <c r="A159">
        <v>2158</v>
      </c>
      <c r="B159" t="s">
        <v>190</v>
      </c>
      <c r="C159" t="s">
        <v>9</v>
      </c>
      <c r="D159" t="s">
        <v>27</v>
      </c>
      <c r="E159">
        <v>45782</v>
      </c>
      <c r="F159">
        <v>46132</v>
      </c>
      <c r="G159">
        <v>39928</v>
      </c>
      <c r="H159" t="s">
        <v>31</v>
      </c>
      <c r="I159" t="str" cm="1">
        <f t="array" ref="I159">_xlfn.IFS(G159=0,"Not Paid",G159=F159,"Fully Paid",G159&lt;F159,"Partially Paid")</f>
        <v>Partially Paid</v>
      </c>
      <c r="J159" t="str">
        <f t="shared" si="2"/>
        <v>NO</v>
      </c>
    </row>
    <row r="160" spans="1:10" x14ac:dyDescent="0.35">
      <c r="A160">
        <v>2159</v>
      </c>
      <c r="B160" t="s">
        <v>191</v>
      </c>
      <c r="C160" t="s">
        <v>45</v>
      </c>
      <c r="D160" t="s">
        <v>14</v>
      </c>
      <c r="E160">
        <v>45824</v>
      </c>
      <c r="F160">
        <v>28491</v>
      </c>
      <c r="G160">
        <v>15051</v>
      </c>
      <c r="H160" t="s">
        <v>67</v>
      </c>
      <c r="I160" t="str" cm="1">
        <f t="array" ref="I160">_xlfn.IFS(G160=0,"Not Paid",G160=F160,"Fully Paid",G160&lt;F160,"Partially Paid")</f>
        <v>Partially Paid</v>
      </c>
      <c r="J160" t="str">
        <f t="shared" si="2"/>
        <v>NO</v>
      </c>
    </row>
    <row r="161" spans="1:10" x14ac:dyDescent="0.35">
      <c r="A161">
        <v>2160</v>
      </c>
      <c r="B161" t="s">
        <v>192</v>
      </c>
      <c r="C161" t="s">
        <v>24</v>
      </c>
      <c r="D161" t="s">
        <v>21</v>
      </c>
      <c r="E161">
        <v>45898</v>
      </c>
      <c r="F161">
        <v>20138</v>
      </c>
      <c r="G161">
        <v>14027</v>
      </c>
      <c r="H161" t="s">
        <v>38</v>
      </c>
      <c r="I161" t="str" cm="1">
        <f t="array" ref="I161">_xlfn.IFS(G161=0,"Not Paid",G161=F161,"Fully Paid",G161&lt;F161,"Partially Paid")</f>
        <v>Partially Paid</v>
      </c>
      <c r="J161" t="str">
        <f t="shared" si="2"/>
        <v>NO</v>
      </c>
    </row>
    <row r="162" spans="1:10" x14ac:dyDescent="0.35">
      <c r="A162">
        <v>2161</v>
      </c>
      <c r="B162" t="s">
        <v>193</v>
      </c>
      <c r="C162" t="s">
        <v>56</v>
      </c>
      <c r="D162" t="s">
        <v>10</v>
      </c>
      <c r="E162">
        <v>45937</v>
      </c>
      <c r="F162">
        <v>20358</v>
      </c>
      <c r="G162">
        <v>16107</v>
      </c>
      <c r="H162" t="s">
        <v>22</v>
      </c>
      <c r="I162" t="str" cm="1">
        <f t="array" ref="I162">_xlfn.IFS(G162=0,"Not Paid",G162=F162,"Fully Paid",G162&lt;F162,"Partially Paid")</f>
        <v>Partially Paid</v>
      </c>
      <c r="J162" t="str">
        <f t="shared" si="2"/>
        <v>NO</v>
      </c>
    </row>
    <row r="163" spans="1:10" x14ac:dyDescent="0.35">
      <c r="A163">
        <v>2162</v>
      </c>
      <c r="B163" t="s">
        <v>194</v>
      </c>
      <c r="C163" t="s">
        <v>17</v>
      </c>
      <c r="D163" t="s">
        <v>18</v>
      </c>
      <c r="E163">
        <v>45845</v>
      </c>
      <c r="F163">
        <v>29714</v>
      </c>
      <c r="G163">
        <v>17534</v>
      </c>
      <c r="H163" t="s">
        <v>43</v>
      </c>
      <c r="I163" t="str" cm="1">
        <f t="array" ref="I163">_xlfn.IFS(G163=0,"Not Paid",G163=F163,"Fully Paid",G163&lt;F163,"Partially Paid")</f>
        <v>Partially Paid</v>
      </c>
      <c r="J163" t="str">
        <f t="shared" si="2"/>
        <v>NO</v>
      </c>
    </row>
    <row r="164" spans="1:10" x14ac:dyDescent="0.35">
      <c r="A164">
        <v>2163</v>
      </c>
      <c r="B164" t="s">
        <v>195</v>
      </c>
      <c r="C164" t="s">
        <v>33</v>
      </c>
      <c r="D164" t="s">
        <v>27</v>
      </c>
      <c r="E164">
        <v>45959</v>
      </c>
      <c r="F164">
        <v>39840</v>
      </c>
      <c r="G164">
        <v>38918</v>
      </c>
      <c r="H164" t="s">
        <v>22</v>
      </c>
      <c r="I164" t="str" cm="1">
        <f t="array" ref="I164">_xlfn.IFS(G164=0,"Not Paid",G164=F164,"Fully Paid",G164&lt;F164,"Partially Paid")</f>
        <v>Partially Paid</v>
      </c>
      <c r="J164" t="str">
        <f t="shared" si="2"/>
        <v>NO</v>
      </c>
    </row>
    <row r="165" spans="1:10" x14ac:dyDescent="0.35">
      <c r="A165">
        <v>2164</v>
      </c>
      <c r="B165" t="s">
        <v>196</v>
      </c>
      <c r="C165" t="s">
        <v>9</v>
      </c>
      <c r="D165" t="s">
        <v>10</v>
      </c>
      <c r="E165">
        <v>45676</v>
      </c>
      <c r="F165">
        <v>54395</v>
      </c>
      <c r="G165">
        <v>51480</v>
      </c>
      <c r="H165" t="s">
        <v>15</v>
      </c>
      <c r="I165" t="str" cm="1">
        <f t="array" ref="I165">_xlfn.IFS(G165=0,"Not Paid",G165=F165,"Fully Paid",G165&lt;F165,"Partially Paid")</f>
        <v>Partially Paid</v>
      </c>
      <c r="J165" t="str">
        <f t="shared" si="2"/>
        <v>YES</v>
      </c>
    </row>
    <row r="166" spans="1:10" x14ac:dyDescent="0.35">
      <c r="A166">
        <v>2165</v>
      </c>
      <c r="B166" t="s">
        <v>197</v>
      </c>
      <c r="C166" t="s">
        <v>9</v>
      </c>
      <c r="D166" t="s">
        <v>37</v>
      </c>
      <c r="E166">
        <v>45725</v>
      </c>
      <c r="F166">
        <v>50654</v>
      </c>
      <c r="G166">
        <v>39512</v>
      </c>
      <c r="H166" t="s">
        <v>19</v>
      </c>
      <c r="I166" t="str" cm="1">
        <f t="array" ref="I166">_xlfn.IFS(G166=0,"Not Paid",G166=F166,"Fully Paid",G166&lt;F166,"Partially Paid")</f>
        <v>Partially Paid</v>
      </c>
      <c r="J166" t="str">
        <f t="shared" si="2"/>
        <v>YES</v>
      </c>
    </row>
    <row r="167" spans="1:10" x14ac:dyDescent="0.35">
      <c r="A167">
        <v>2166</v>
      </c>
      <c r="B167" t="s">
        <v>198</v>
      </c>
      <c r="C167" t="s">
        <v>45</v>
      </c>
      <c r="D167" t="s">
        <v>37</v>
      </c>
      <c r="E167">
        <v>45875</v>
      </c>
      <c r="F167">
        <v>45879</v>
      </c>
      <c r="G167">
        <v>37922</v>
      </c>
      <c r="H167" t="s">
        <v>38</v>
      </c>
      <c r="I167" t="str" cm="1">
        <f t="array" ref="I167">_xlfn.IFS(G167=0,"Not Paid",G167=F167,"Fully Paid",G167&lt;F167,"Partially Paid")</f>
        <v>Partially Paid</v>
      </c>
      <c r="J167" t="str">
        <f t="shared" si="2"/>
        <v>NO</v>
      </c>
    </row>
    <row r="168" spans="1:10" x14ac:dyDescent="0.35">
      <c r="A168">
        <v>2167</v>
      </c>
      <c r="B168" t="s">
        <v>199</v>
      </c>
      <c r="C168" t="s">
        <v>9</v>
      </c>
      <c r="D168" t="s">
        <v>21</v>
      </c>
      <c r="E168">
        <v>45759</v>
      </c>
      <c r="F168">
        <v>35996</v>
      </c>
      <c r="G168">
        <v>22099</v>
      </c>
      <c r="H168" t="s">
        <v>11</v>
      </c>
      <c r="I168" t="str" cm="1">
        <f t="array" ref="I168">_xlfn.IFS(G168=0,"Not Paid",G168=F168,"Fully Paid",G168&lt;F168,"Partially Paid")</f>
        <v>Partially Paid</v>
      </c>
      <c r="J168" t="str">
        <f t="shared" si="2"/>
        <v>NO</v>
      </c>
    </row>
    <row r="169" spans="1:10" x14ac:dyDescent="0.35">
      <c r="A169">
        <v>2168</v>
      </c>
      <c r="B169" t="s">
        <v>200</v>
      </c>
      <c r="C169" t="s">
        <v>24</v>
      </c>
      <c r="D169" t="s">
        <v>14</v>
      </c>
      <c r="E169">
        <v>45699</v>
      </c>
      <c r="F169">
        <v>57772</v>
      </c>
      <c r="G169">
        <v>54726</v>
      </c>
      <c r="H169" t="s">
        <v>77</v>
      </c>
      <c r="I169" t="str" cm="1">
        <f t="array" ref="I169">_xlfn.IFS(G169=0,"Not Paid",G169=F169,"Fully Paid",G169&lt;F169,"Partially Paid")</f>
        <v>Partially Paid</v>
      </c>
      <c r="J169" t="str">
        <f t="shared" si="2"/>
        <v>YES</v>
      </c>
    </row>
    <row r="170" spans="1:10" x14ac:dyDescent="0.35">
      <c r="A170">
        <v>2169</v>
      </c>
      <c r="B170" t="s">
        <v>201</v>
      </c>
      <c r="C170" t="s">
        <v>56</v>
      </c>
      <c r="D170" t="s">
        <v>21</v>
      </c>
      <c r="E170">
        <v>45945</v>
      </c>
      <c r="F170">
        <v>46762</v>
      </c>
      <c r="G170">
        <v>37596</v>
      </c>
      <c r="H170" t="s">
        <v>22</v>
      </c>
      <c r="I170" t="str" cm="1">
        <f t="array" ref="I170">_xlfn.IFS(G170=0,"Not Paid",G170=F170,"Fully Paid",G170&lt;F170,"Partially Paid")</f>
        <v>Partially Paid</v>
      </c>
      <c r="J170" t="str">
        <f t="shared" si="2"/>
        <v>NO</v>
      </c>
    </row>
    <row r="171" spans="1:10" x14ac:dyDescent="0.35">
      <c r="A171">
        <v>2170</v>
      </c>
      <c r="B171" t="s">
        <v>202</v>
      </c>
      <c r="C171" t="s">
        <v>9</v>
      </c>
      <c r="D171" t="s">
        <v>21</v>
      </c>
      <c r="E171">
        <v>45824</v>
      </c>
      <c r="F171">
        <v>33283</v>
      </c>
      <c r="G171">
        <v>32053</v>
      </c>
      <c r="H171" t="s">
        <v>67</v>
      </c>
      <c r="I171" t="str" cm="1">
        <f t="array" ref="I171">_xlfn.IFS(G171=0,"Not Paid",G171=F171,"Fully Paid",G171&lt;F171,"Partially Paid")</f>
        <v>Partially Paid</v>
      </c>
      <c r="J171" t="str">
        <f t="shared" si="2"/>
        <v>NO</v>
      </c>
    </row>
    <row r="172" spans="1:10" x14ac:dyDescent="0.35">
      <c r="A172">
        <v>2171</v>
      </c>
      <c r="B172" t="s">
        <v>203</v>
      </c>
      <c r="C172" t="s">
        <v>9</v>
      </c>
      <c r="D172" t="s">
        <v>21</v>
      </c>
      <c r="E172">
        <v>45766</v>
      </c>
      <c r="F172">
        <v>59420</v>
      </c>
      <c r="G172">
        <v>48793</v>
      </c>
      <c r="H172" t="s">
        <v>11</v>
      </c>
      <c r="I172" t="str" cm="1">
        <f t="array" ref="I172">_xlfn.IFS(G172=0,"Not Paid",G172=F172,"Fully Paid",G172&lt;F172,"Partially Paid")</f>
        <v>Partially Paid</v>
      </c>
      <c r="J172" t="str">
        <f t="shared" si="2"/>
        <v>YES</v>
      </c>
    </row>
    <row r="173" spans="1:10" x14ac:dyDescent="0.35">
      <c r="A173">
        <v>2172</v>
      </c>
      <c r="B173" t="s">
        <v>204</v>
      </c>
      <c r="C173" t="s">
        <v>33</v>
      </c>
      <c r="D173" t="s">
        <v>21</v>
      </c>
      <c r="E173">
        <v>45693</v>
      </c>
      <c r="F173">
        <v>39554</v>
      </c>
      <c r="G173">
        <v>31907</v>
      </c>
      <c r="H173" t="s">
        <v>77</v>
      </c>
      <c r="I173" t="str" cm="1">
        <f t="array" ref="I173">_xlfn.IFS(G173=0,"Not Paid",G173=F173,"Fully Paid",G173&lt;F173,"Partially Paid")</f>
        <v>Partially Paid</v>
      </c>
      <c r="J173" t="str">
        <f t="shared" si="2"/>
        <v>NO</v>
      </c>
    </row>
    <row r="174" spans="1:10" x14ac:dyDescent="0.35">
      <c r="A174">
        <v>2173</v>
      </c>
      <c r="B174" t="s">
        <v>205</v>
      </c>
      <c r="C174" t="s">
        <v>33</v>
      </c>
      <c r="D174" t="s">
        <v>18</v>
      </c>
      <c r="E174">
        <v>45889</v>
      </c>
      <c r="F174">
        <v>40219</v>
      </c>
      <c r="G174">
        <v>30213</v>
      </c>
      <c r="H174" t="s">
        <v>38</v>
      </c>
      <c r="I174" t="str" cm="1">
        <f t="array" ref="I174">_xlfn.IFS(G174=0,"Not Paid",G174=F174,"Fully Paid",G174&lt;F174,"Partially Paid")</f>
        <v>Partially Paid</v>
      </c>
      <c r="J174" t="str">
        <f t="shared" si="2"/>
        <v>NO</v>
      </c>
    </row>
    <row r="175" spans="1:10" x14ac:dyDescent="0.35">
      <c r="A175">
        <v>2174</v>
      </c>
      <c r="B175" t="s">
        <v>206</v>
      </c>
      <c r="C175" t="s">
        <v>13</v>
      </c>
      <c r="D175" t="s">
        <v>18</v>
      </c>
      <c r="E175">
        <v>45886</v>
      </c>
      <c r="F175">
        <v>54919</v>
      </c>
      <c r="G175">
        <v>43793</v>
      </c>
      <c r="H175" t="s">
        <v>38</v>
      </c>
      <c r="I175" t="str" cm="1">
        <f t="array" ref="I175">_xlfn.IFS(G175=0,"Not Paid",G175=F175,"Fully Paid",G175&lt;F175,"Partially Paid")</f>
        <v>Partially Paid</v>
      </c>
      <c r="J175" t="str">
        <f t="shared" si="2"/>
        <v>YES</v>
      </c>
    </row>
    <row r="176" spans="1:10" x14ac:dyDescent="0.35">
      <c r="A176">
        <v>2175</v>
      </c>
      <c r="B176" t="s">
        <v>207</v>
      </c>
      <c r="C176" t="s">
        <v>17</v>
      </c>
      <c r="D176" t="s">
        <v>10</v>
      </c>
      <c r="E176">
        <v>46010</v>
      </c>
      <c r="F176">
        <v>29429</v>
      </c>
      <c r="G176">
        <v>24496</v>
      </c>
      <c r="H176" t="s">
        <v>25</v>
      </c>
      <c r="I176" t="str" cm="1">
        <f t="array" ref="I176">_xlfn.IFS(G176=0,"Not Paid",G176=F176,"Fully Paid",G176&lt;F176,"Partially Paid")</f>
        <v>Partially Paid</v>
      </c>
      <c r="J176" t="str">
        <f t="shared" si="2"/>
        <v>NO</v>
      </c>
    </row>
    <row r="177" spans="1:10" x14ac:dyDescent="0.35">
      <c r="A177">
        <v>2176</v>
      </c>
      <c r="B177" t="s">
        <v>208</v>
      </c>
      <c r="C177" t="s">
        <v>24</v>
      </c>
      <c r="D177" t="s">
        <v>37</v>
      </c>
      <c r="E177">
        <v>45821</v>
      </c>
      <c r="F177">
        <v>59673</v>
      </c>
      <c r="G177">
        <v>45378</v>
      </c>
      <c r="H177" t="s">
        <v>67</v>
      </c>
      <c r="I177" t="str" cm="1">
        <f t="array" ref="I177">_xlfn.IFS(G177=0,"Not Paid",G177=F177,"Fully Paid",G177&lt;F177,"Partially Paid")</f>
        <v>Partially Paid</v>
      </c>
      <c r="J177" t="str">
        <f t="shared" si="2"/>
        <v>YES</v>
      </c>
    </row>
    <row r="178" spans="1:10" x14ac:dyDescent="0.35">
      <c r="A178">
        <v>2177</v>
      </c>
      <c r="B178" t="s">
        <v>209</v>
      </c>
      <c r="C178" t="s">
        <v>9</v>
      </c>
      <c r="D178" t="s">
        <v>21</v>
      </c>
      <c r="E178">
        <v>45730</v>
      </c>
      <c r="F178">
        <v>39218</v>
      </c>
      <c r="G178">
        <v>29663</v>
      </c>
      <c r="H178" t="s">
        <v>19</v>
      </c>
      <c r="I178" t="str" cm="1">
        <f t="array" ref="I178">_xlfn.IFS(G178=0,"Not Paid",G178=F178,"Fully Paid",G178&lt;F178,"Partially Paid")</f>
        <v>Partially Paid</v>
      </c>
      <c r="J178" t="str">
        <f t="shared" si="2"/>
        <v>NO</v>
      </c>
    </row>
    <row r="179" spans="1:10" x14ac:dyDescent="0.35">
      <c r="A179">
        <v>2178</v>
      </c>
      <c r="B179" t="s">
        <v>210</v>
      </c>
      <c r="C179" t="s">
        <v>9</v>
      </c>
      <c r="D179" t="s">
        <v>10</v>
      </c>
      <c r="E179">
        <v>45793</v>
      </c>
      <c r="F179">
        <v>32452</v>
      </c>
      <c r="G179">
        <v>28512</v>
      </c>
      <c r="H179" t="s">
        <v>31</v>
      </c>
      <c r="I179" t="str" cm="1">
        <f t="array" ref="I179">_xlfn.IFS(G179=0,"Not Paid",G179=F179,"Fully Paid",G179&lt;F179,"Partially Paid")</f>
        <v>Partially Paid</v>
      </c>
      <c r="J179" t="str">
        <f t="shared" si="2"/>
        <v>NO</v>
      </c>
    </row>
    <row r="180" spans="1:10" x14ac:dyDescent="0.35">
      <c r="A180">
        <v>2179</v>
      </c>
      <c r="B180" t="s">
        <v>211</v>
      </c>
      <c r="C180" t="s">
        <v>56</v>
      </c>
      <c r="D180" t="s">
        <v>37</v>
      </c>
      <c r="E180">
        <v>46010</v>
      </c>
      <c r="F180">
        <v>38951</v>
      </c>
      <c r="G180">
        <v>32468</v>
      </c>
      <c r="H180" t="s">
        <v>25</v>
      </c>
      <c r="I180" t="str" cm="1">
        <f t="array" ref="I180">_xlfn.IFS(G180=0,"Not Paid",G180=F180,"Fully Paid",G180&lt;F180,"Partially Paid")</f>
        <v>Partially Paid</v>
      </c>
      <c r="J180" t="str">
        <f t="shared" si="2"/>
        <v>NO</v>
      </c>
    </row>
    <row r="181" spans="1:10" x14ac:dyDescent="0.35">
      <c r="A181">
        <v>2180</v>
      </c>
      <c r="B181" t="s">
        <v>212</v>
      </c>
      <c r="C181" t="s">
        <v>13</v>
      </c>
      <c r="D181" t="s">
        <v>27</v>
      </c>
      <c r="E181">
        <v>45727</v>
      </c>
      <c r="F181">
        <v>21307</v>
      </c>
      <c r="G181">
        <v>21104</v>
      </c>
      <c r="H181" t="s">
        <v>19</v>
      </c>
      <c r="I181" t="str" cm="1">
        <f t="array" ref="I181">_xlfn.IFS(G181=0,"Not Paid",G181=F181,"Fully Paid",G181&lt;F181,"Partially Paid")</f>
        <v>Partially Paid</v>
      </c>
      <c r="J181" t="str">
        <f t="shared" si="2"/>
        <v>NO</v>
      </c>
    </row>
    <row r="182" spans="1:10" x14ac:dyDescent="0.35">
      <c r="A182">
        <v>2181</v>
      </c>
      <c r="B182" t="s">
        <v>213</v>
      </c>
      <c r="C182" t="s">
        <v>17</v>
      </c>
      <c r="D182" t="s">
        <v>14</v>
      </c>
      <c r="E182">
        <v>45853</v>
      </c>
      <c r="F182">
        <v>34852</v>
      </c>
      <c r="G182">
        <v>34692</v>
      </c>
      <c r="H182" t="s">
        <v>43</v>
      </c>
      <c r="I182" t="str" cm="1">
        <f t="array" ref="I182">_xlfn.IFS(G182=0,"Not Paid",G182=F182,"Fully Paid",G182&lt;F182,"Partially Paid")</f>
        <v>Partially Paid</v>
      </c>
      <c r="J182" t="str">
        <f t="shared" si="2"/>
        <v>NO</v>
      </c>
    </row>
    <row r="183" spans="1:10" x14ac:dyDescent="0.35">
      <c r="A183">
        <v>2182</v>
      </c>
      <c r="B183" t="s">
        <v>214</v>
      </c>
      <c r="C183" t="s">
        <v>13</v>
      </c>
      <c r="D183" t="s">
        <v>18</v>
      </c>
      <c r="E183">
        <v>45926</v>
      </c>
      <c r="F183">
        <v>45232</v>
      </c>
      <c r="G183">
        <v>32553</v>
      </c>
      <c r="H183" t="s">
        <v>53</v>
      </c>
      <c r="I183" t="str" cm="1">
        <f t="array" ref="I183">_xlfn.IFS(G183=0,"Not Paid",G183=F183,"Fully Paid",G183&lt;F183,"Partially Paid")</f>
        <v>Partially Paid</v>
      </c>
      <c r="J183" t="str">
        <f t="shared" si="2"/>
        <v>NO</v>
      </c>
    </row>
    <row r="184" spans="1:10" x14ac:dyDescent="0.35">
      <c r="A184">
        <v>2183</v>
      </c>
      <c r="B184" t="s">
        <v>215</v>
      </c>
      <c r="C184" t="s">
        <v>45</v>
      </c>
      <c r="D184" t="s">
        <v>27</v>
      </c>
      <c r="E184">
        <v>45706</v>
      </c>
      <c r="F184">
        <v>55428</v>
      </c>
      <c r="G184">
        <v>46468</v>
      </c>
      <c r="H184" t="s">
        <v>77</v>
      </c>
      <c r="I184" t="str" cm="1">
        <f t="array" ref="I184">_xlfn.IFS(G184=0,"Not Paid",G184=F184,"Fully Paid",G184&lt;F184,"Partially Paid")</f>
        <v>Partially Paid</v>
      </c>
      <c r="J184" t="str">
        <f t="shared" si="2"/>
        <v>YES</v>
      </c>
    </row>
    <row r="185" spans="1:10" x14ac:dyDescent="0.35">
      <c r="A185">
        <v>2184</v>
      </c>
      <c r="B185" t="s">
        <v>216</v>
      </c>
      <c r="C185" t="s">
        <v>17</v>
      </c>
      <c r="D185" t="s">
        <v>37</v>
      </c>
      <c r="E185">
        <v>45973</v>
      </c>
      <c r="F185">
        <v>46485</v>
      </c>
      <c r="G185">
        <v>42737</v>
      </c>
      <c r="H185" t="s">
        <v>29</v>
      </c>
      <c r="I185" t="str" cm="1">
        <f t="array" ref="I185">_xlfn.IFS(G185=0,"Not Paid",G185=F185,"Fully Paid",G185&lt;F185,"Partially Paid")</f>
        <v>Partially Paid</v>
      </c>
      <c r="J185" t="str">
        <f t="shared" si="2"/>
        <v>NO</v>
      </c>
    </row>
    <row r="186" spans="1:10" x14ac:dyDescent="0.35">
      <c r="A186">
        <v>2185</v>
      </c>
      <c r="B186" t="s">
        <v>217</v>
      </c>
      <c r="C186" t="s">
        <v>9</v>
      </c>
      <c r="D186" t="s">
        <v>27</v>
      </c>
      <c r="E186">
        <v>45787</v>
      </c>
      <c r="F186">
        <v>30238</v>
      </c>
      <c r="G186">
        <v>23520</v>
      </c>
      <c r="H186" t="s">
        <v>31</v>
      </c>
      <c r="I186" t="str" cm="1">
        <f t="array" ref="I186">_xlfn.IFS(G186=0,"Not Paid",G186=F186,"Fully Paid",G186&lt;F186,"Partially Paid")</f>
        <v>Partially Paid</v>
      </c>
      <c r="J186" t="str">
        <f t="shared" si="2"/>
        <v>NO</v>
      </c>
    </row>
    <row r="187" spans="1:10" x14ac:dyDescent="0.35">
      <c r="A187">
        <v>2186</v>
      </c>
      <c r="B187" t="s">
        <v>218</v>
      </c>
      <c r="C187" t="s">
        <v>9</v>
      </c>
      <c r="D187" t="s">
        <v>14</v>
      </c>
      <c r="E187">
        <v>45662</v>
      </c>
      <c r="F187">
        <v>58975</v>
      </c>
      <c r="G187">
        <v>56394</v>
      </c>
      <c r="H187" t="s">
        <v>15</v>
      </c>
      <c r="I187" t="str" cm="1">
        <f t="array" ref="I187">_xlfn.IFS(G187=0,"Not Paid",G187=F187,"Fully Paid",G187&lt;F187,"Partially Paid")</f>
        <v>Partially Paid</v>
      </c>
      <c r="J187" t="str">
        <f t="shared" si="2"/>
        <v>YES</v>
      </c>
    </row>
    <row r="188" spans="1:10" x14ac:dyDescent="0.35">
      <c r="A188">
        <v>2187</v>
      </c>
      <c r="B188" t="s">
        <v>219</v>
      </c>
      <c r="C188" t="s">
        <v>17</v>
      </c>
      <c r="D188" t="s">
        <v>37</v>
      </c>
      <c r="E188">
        <v>45684</v>
      </c>
      <c r="F188">
        <v>21140</v>
      </c>
      <c r="G188">
        <v>20047</v>
      </c>
      <c r="H188" t="s">
        <v>15</v>
      </c>
      <c r="I188" t="str" cm="1">
        <f t="array" ref="I188">_xlfn.IFS(G188=0,"Not Paid",G188=F188,"Fully Paid",G188&lt;F188,"Partially Paid")</f>
        <v>Partially Paid</v>
      </c>
      <c r="J188" t="str">
        <f t="shared" si="2"/>
        <v>NO</v>
      </c>
    </row>
    <row r="189" spans="1:10" x14ac:dyDescent="0.35">
      <c r="A189">
        <v>2188</v>
      </c>
      <c r="B189" t="s">
        <v>220</v>
      </c>
      <c r="C189" t="s">
        <v>9</v>
      </c>
      <c r="D189" t="s">
        <v>27</v>
      </c>
      <c r="E189">
        <v>45817</v>
      </c>
      <c r="F189">
        <v>44842</v>
      </c>
      <c r="G189">
        <v>40342</v>
      </c>
      <c r="H189" t="s">
        <v>67</v>
      </c>
      <c r="I189" t="str" cm="1">
        <f t="array" ref="I189">_xlfn.IFS(G189=0,"Not Paid",G189=F189,"Fully Paid",G189&lt;F189,"Partially Paid")</f>
        <v>Partially Paid</v>
      </c>
      <c r="J189" t="str">
        <f t="shared" si="2"/>
        <v>NO</v>
      </c>
    </row>
    <row r="190" spans="1:10" x14ac:dyDescent="0.35">
      <c r="A190">
        <v>2189</v>
      </c>
      <c r="B190" t="s">
        <v>221</v>
      </c>
      <c r="C190" t="s">
        <v>24</v>
      </c>
      <c r="D190" t="s">
        <v>18</v>
      </c>
      <c r="E190">
        <v>45806</v>
      </c>
      <c r="F190">
        <v>46421</v>
      </c>
      <c r="G190">
        <v>37622</v>
      </c>
      <c r="H190" t="s">
        <v>31</v>
      </c>
      <c r="I190" t="str" cm="1">
        <f t="array" ref="I190">_xlfn.IFS(G190=0,"Not Paid",G190=F190,"Fully Paid",G190&lt;F190,"Partially Paid")</f>
        <v>Partially Paid</v>
      </c>
      <c r="J190" t="str">
        <f t="shared" si="2"/>
        <v>NO</v>
      </c>
    </row>
    <row r="191" spans="1:10" x14ac:dyDescent="0.35">
      <c r="A191">
        <v>2190</v>
      </c>
      <c r="B191" t="s">
        <v>222</v>
      </c>
      <c r="C191" t="s">
        <v>17</v>
      </c>
      <c r="D191" t="s">
        <v>18</v>
      </c>
      <c r="E191">
        <v>45921</v>
      </c>
      <c r="F191">
        <v>21708</v>
      </c>
      <c r="G191">
        <v>15998</v>
      </c>
      <c r="H191" t="s">
        <v>53</v>
      </c>
      <c r="I191" t="str" cm="1">
        <f t="array" ref="I191">_xlfn.IFS(G191=0,"Not Paid",G191=F191,"Fully Paid",G191&lt;F191,"Partially Paid")</f>
        <v>Partially Paid</v>
      </c>
      <c r="J191" t="str">
        <f t="shared" si="2"/>
        <v>NO</v>
      </c>
    </row>
    <row r="192" spans="1:10" x14ac:dyDescent="0.35">
      <c r="A192">
        <v>2191</v>
      </c>
      <c r="B192" t="s">
        <v>223</v>
      </c>
      <c r="C192" t="s">
        <v>13</v>
      </c>
      <c r="D192" t="s">
        <v>10</v>
      </c>
      <c r="E192">
        <v>45887</v>
      </c>
      <c r="F192">
        <v>23630</v>
      </c>
      <c r="G192">
        <v>13898</v>
      </c>
      <c r="H192" t="s">
        <v>38</v>
      </c>
      <c r="I192" t="str" cm="1">
        <f t="array" ref="I192">_xlfn.IFS(G192=0,"Not Paid",G192=F192,"Fully Paid",G192&lt;F192,"Partially Paid")</f>
        <v>Partially Paid</v>
      </c>
      <c r="J192" t="str">
        <f t="shared" si="2"/>
        <v>NO</v>
      </c>
    </row>
    <row r="193" spans="1:10" x14ac:dyDescent="0.35">
      <c r="A193">
        <v>2192</v>
      </c>
      <c r="B193" t="s">
        <v>224</v>
      </c>
      <c r="C193" t="s">
        <v>17</v>
      </c>
      <c r="D193" t="s">
        <v>27</v>
      </c>
      <c r="E193">
        <v>45857</v>
      </c>
      <c r="F193">
        <v>39595</v>
      </c>
      <c r="G193">
        <v>36720</v>
      </c>
      <c r="H193" t="s">
        <v>43</v>
      </c>
      <c r="I193" t="str" cm="1">
        <f t="array" ref="I193">_xlfn.IFS(G193=0,"Not Paid",G193=F193,"Fully Paid",G193&lt;F193,"Partially Paid")</f>
        <v>Partially Paid</v>
      </c>
      <c r="J193" t="str">
        <f t="shared" si="2"/>
        <v>NO</v>
      </c>
    </row>
    <row r="194" spans="1:10" x14ac:dyDescent="0.35">
      <c r="A194">
        <v>2193</v>
      </c>
      <c r="B194" t="s">
        <v>225</v>
      </c>
      <c r="C194" t="s">
        <v>9</v>
      </c>
      <c r="D194" t="s">
        <v>21</v>
      </c>
      <c r="E194">
        <v>45707</v>
      </c>
      <c r="F194">
        <v>30485</v>
      </c>
      <c r="G194">
        <v>27294</v>
      </c>
      <c r="H194" t="s">
        <v>77</v>
      </c>
      <c r="I194" t="str" cm="1">
        <f t="array" ref="I194">_xlfn.IFS(G194=0,"Not Paid",G194=F194,"Fully Paid",G194&lt;F194,"Partially Paid")</f>
        <v>Partially Paid</v>
      </c>
      <c r="J194" t="str">
        <f t="shared" si="2"/>
        <v>NO</v>
      </c>
    </row>
    <row r="195" spans="1:10" x14ac:dyDescent="0.35">
      <c r="A195">
        <v>2194</v>
      </c>
      <c r="B195" t="s">
        <v>226</v>
      </c>
      <c r="C195" t="s">
        <v>24</v>
      </c>
      <c r="D195" t="s">
        <v>27</v>
      </c>
      <c r="E195">
        <v>45724</v>
      </c>
      <c r="F195">
        <v>48308</v>
      </c>
      <c r="G195">
        <v>46471</v>
      </c>
      <c r="H195" t="s">
        <v>19</v>
      </c>
      <c r="I195" t="str" cm="1">
        <f t="array" ref="I195">_xlfn.IFS(G195=0,"Not Paid",G195=F195,"Fully Paid",G195&lt;F195,"Partially Paid")</f>
        <v>Partially Paid</v>
      </c>
      <c r="J195" t="str">
        <f t="shared" ref="J195:J258" si="3">IF(F195&gt;50000,"YES","NO")</f>
        <v>NO</v>
      </c>
    </row>
    <row r="196" spans="1:10" x14ac:dyDescent="0.35">
      <c r="A196">
        <v>2195</v>
      </c>
      <c r="B196" t="s">
        <v>227</v>
      </c>
      <c r="C196" t="s">
        <v>24</v>
      </c>
      <c r="D196" t="s">
        <v>37</v>
      </c>
      <c r="E196">
        <v>45957</v>
      </c>
      <c r="F196">
        <v>46086</v>
      </c>
      <c r="G196">
        <v>45397</v>
      </c>
      <c r="H196" t="s">
        <v>22</v>
      </c>
      <c r="I196" t="str" cm="1">
        <f t="array" ref="I196">_xlfn.IFS(G196=0,"Not Paid",G196=F196,"Fully Paid",G196&lt;F196,"Partially Paid")</f>
        <v>Partially Paid</v>
      </c>
      <c r="J196" t="str">
        <f t="shared" si="3"/>
        <v>NO</v>
      </c>
    </row>
    <row r="197" spans="1:10" x14ac:dyDescent="0.35">
      <c r="A197">
        <v>2196</v>
      </c>
      <c r="B197" t="s">
        <v>228</v>
      </c>
      <c r="C197" t="s">
        <v>45</v>
      </c>
      <c r="D197" t="s">
        <v>37</v>
      </c>
      <c r="E197">
        <v>45715</v>
      </c>
      <c r="F197">
        <v>36859</v>
      </c>
      <c r="G197">
        <v>33100</v>
      </c>
      <c r="H197" t="s">
        <v>77</v>
      </c>
      <c r="I197" t="str" cm="1">
        <f t="array" ref="I197">_xlfn.IFS(G197=0,"Not Paid",G197=F197,"Fully Paid",G197&lt;F197,"Partially Paid")</f>
        <v>Partially Paid</v>
      </c>
      <c r="J197" t="str">
        <f t="shared" si="3"/>
        <v>NO</v>
      </c>
    </row>
    <row r="198" spans="1:10" x14ac:dyDescent="0.35">
      <c r="A198">
        <v>2197</v>
      </c>
      <c r="B198" t="s">
        <v>229</v>
      </c>
      <c r="C198" t="s">
        <v>13</v>
      </c>
      <c r="D198" t="s">
        <v>27</v>
      </c>
      <c r="E198">
        <v>45916</v>
      </c>
      <c r="F198">
        <v>27684</v>
      </c>
      <c r="G198">
        <v>16543</v>
      </c>
      <c r="H198" t="s">
        <v>53</v>
      </c>
      <c r="I198" t="str" cm="1">
        <f t="array" ref="I198">_xlfn.IFS(G198=0,"Not Paid",G198=F198,"Fully Paid",G198&lt;F198,"Partially Paid")</f>
        <v>Partially Paid</v>
      </c>
      <c r="J198" t="str">
        <f t="shared" si="3"/>
        <v>NO</v>
      </c>
    </row>
    <row r="199" spans="1:10" x14ac:dyDescent="0.35">
      <c r="A199">
        <v>2198</v>
      </c>
      <c r="B199" t="s">
        <v>230</v>
      </c>
      <c r="C199" t="s">
        <v>33</v>
      </c>
      <c r="D199" t="s">
        <v>14</v>
      </c>
      <c r="E199">
        <v>45999</v>
      </c>
      <c r="F199">
        <v>45552</v>
      </c>
      <c r="G199">
        <v>32024</v>
      </c>
      <c r="H199" t="s">
        <v>25</v>
      </c>
      <c r="I199" t="str" cm="1">
        <f t="array" ref="I199">_xlfn.IFS(G199=0,"Not Paid",G199=F199,"Fully Paid",G199&lt;F199,"Partially Paid")</f>
        <v>Partially Paid</v>
      </c>
      <c r="J199" t="str">
        <f t="shared" si="3"/>
        <v>NO</v>
      </c>
    </row>
    <row r="200" spans="1:10" x14ac:dyDescent="0.35">
      <c r="A200">
        <v>2199</v>
      </c>
      <c r="B200" t="s">
        <v>231</v>
      </c>
      <c r="C200" t="s">
        <v>33</v>
      </c>
      <c r="D200" t="s">
        <v>18</v>
      </c>
      <c r="E200">
        <v>45983</v>
      </c>
      <c r="F200">
        <v>21207</v>
      </c>
      <c r="G200">
        <v>19104</v>
      </c>
      <c r="H200" t="s">
        <v>29</v>
      </c>
      <c r="I200" t="str" cm="1">
        <f t="array" ref="I200">_xlfn.IFS(G200=0,"Not Paid",G200=F200,"Fully Paid",G200&lt;F200,"Partially Paid")</f>
        <v>Partially Paid</v>
      </c>
      <c r="J200" t="str">
        <f t="shared" si="3"/>
        <v>NO</v>
      </c>
    </row>
    <row r="201" spans="1:10" x14ac:dyDescent="0.35">
      <c r="A201">
        <v>2200</v>
      </c>
      <c r="B201" t="s">
        <v>232</v>
      </c>
      <c r="C201" t="s">
        <v>17</v>
      </c>
      <c r="D201" t="s">
        <v>37</v>
      </c>
      <c r="E201">
        <v>45787</v>
      </c>
      <c r="F201">
        <v>21960</v>
      </c>
      <c r="G201">
        <v>21595</v>
      </c>
      <c r="H201" t="s">
        <v>31</v>
      </c>
      <c r="I201" t="str" cm="1">
        <f t="array" ref="I201">_xlfn.IFS(G201=0,"Not Paid",G201=F201,"Fully Paid",G201&lt;F201,"Partially Paid")</f>
        <v>Partially Paid</v>
      </c>
      <c r="J201" t="str">
        <f t="shared" si="3"/>
        <v>NO</v>
      </c>
    </row>
    <row r="202" spans="1:10" x14ac:dyDescent="0.35">
      <c r="A202">
        <v>2201</v>
      </c>
      <c r="B202" t="s">
        <v>233</v>
      </c>
      <c r="C202" t="s">
        <v>45</v>
      </c>
      <c r="D202" t="s">
        <v>18</v>
      </c>
      <c r="E202">
        <v>45872</v>
      </c>
      <c r="F202">
        <v>20557</v>
      </c>
      <c r="G202">
        <v>6547</v>
      </c>
      <c r="H202" t="s">
        <v>38</v>
      </c>
      <c r="I202" t="str" cm="1">
        <f t="array" ref="I202">_xlfn.IFS(G202=0,"Not Paid",G202=F202,"Fully Paid",G202&lt;F202,"Partially Paid")</f>
        <v>Partially Paid</v>
      </c>
      <c r="J202" t="str">
        <f t="shared" si="3"/>
        <v>NO</v>
      </c>
    </row>
    <row r="203" spans="1:10" x14ac:dyDescent="0.35">
      <c r="A203">
        <v>2202</v>
      </c>
      <c r="B203" t="s">
        <v>234</v>
      </c>
      <c r="C203" t="s">
        <v>56</v>
      </c>
      <c r="D203" t="s">
        <v>37</v>
      </c>
      <c r="E203">
        <v>45829</v>
      </c>
      <c r="F203">
        <v>49689</v>
      </c>
      <c r="G203">
        <v>37922</v>
      </c>
      <c r="H203" t="s">
        <v>67</v>
      </c>
      <c r="I203" t="str" cm="1">
        <f t="array" ref="I203">_xlfn.IFS(G203=0,"Not Paid",G203=F203,"Fully Paid",G203&lt;F203,"Partially Paid")</f>
        <v>Partially Paid</v>
      </c>
      <c r="J203" t="str">
        <f t="shared" si="3"/>
        <v>NO</v>
      </c>
    </row>
    <row r="204" spans="1:10" x14ac:dyDescent="0.35">
      <c r="A204">
        <v>2203</v>
      </c>
      <c r="B204" t="s">
        <v>235</v>
      </c>
      <c r="C204" t="s">
        <v>17</v>
      </c>
      <c r="D204" t="s">
        <v>10</v>
      </c>
      <c r="E204">
        <v>45915</v>
      </c>
      <c r="F204">
        <v>33893</v>
      </c>
      <c r="G204">
        <v>25801</v>
      </c>
      <c r="H204" t="s">
        <v>53</v>
      </c>
      <c r="I204" t="str" cm="1">
        <f t="array" ref="I204">_xlfn.IFS(G204=0,"Not Paid",G204=F204,"Fully Paid",G204&lt;F204,"Partially Paid")</f>
        <v>Partially Paid</v>
      </c>
      <c r="J204" t="str">
        <f t="shared" si="3"/>
        <v>NO</v>
      </c>
    </row>
    <row r="205" spans="1:10" x14ac:dyDescent="0.35">
      <c r="A205">
        <v>2204</v>
      </c>
      <c r="B205" t="s">
        <v>236</v>
      </c>
      <c r="C205" t="s">
        <v>45</v>
      </c>
      <c r="D205" t="s">
        <v>21</v>
      </c>
      <c r="E205">
        <v>45759</v>
      </c>
      <c r="F205">
        <v>52272</v>
      </c>
      <c r="G205">
        <v>39530</v>
      </c>
      <c r="H205" t="s">
        <v>11</v>
      </c>
      <c r="I205" t="str" cm="1">
        <f t="array" ref="I205">_xlfn.IFS(G205=0,"Not Paid",G205=F205,"Fully Paid",G205&lt;F205,"Partially Paid")</f>
        <v>Partially Paid</v>
      </c>
      <c r="J205" t="str">
        <f t="shared" si="3"/>
        <v>YES</v>
      </c>
    </row>
    <row r="206" spans="1:10" x14ac:dyDescent="0.35">
      <c r="A206">
        <v>2205</v>
      </c>
      <c r="B206" t="s">
        <v>237</v>
      </c>
      <c r="C206" t="s">
        <v>13</v>
      </c>
      <c r="D206" t="s">
        <v>37</v>
      </c>
      <c r="E206">
        <v>45866</v>
      </c>
      <c r="F206">
        <v>20882</v>
      </c>
      <c r="G206">
        <v>8491</v>
      </c>
      <c r="H206" t="s">
        <v>43</v>
      </c>
      <c r="I206" t="str" cm="1">
        <f t="array" ref="I206">_xlfn.IFS(G206=0,"Not Paid",G206=F206,"Fully Paid",G206&lt;F206,"Partially Paid")</f>
        <v>Partially Paid</v>
      </c>
      <c r="J206" t="str">
        <f t="shared" si="3"/>
        <v>NO</v>
      </c>
    </row>
    <row r="207" spans="1:10" x14ac:dyDescent="0.35">
      <c r="A207">
        <v>2206</v>
      </c>
      <c r="B207" t="s">
        <v>238</v>
      </c>
      <c r="C207" t="s">
        <v>13</v>
      </c>
      <c r="D207" t="s">
        <v>18</v>
      </c>
      <c r="E207">
        <v>45948</v>
      </c>
      <c r="F207">
        <v>57529</v>
      </c>
      <c r="G207">
        <v>53357</v>
      </c>
      <c r="H207" t="s">
        <v>22</v>
      </c>
      <c r="I207" t="str" cm="1">
        <f t="array" ref="I207">_xlfn.IFS(G207=0,"Not Paid",G207=F207,"Fully Paid",G207&lt;F207,"Partially Paid")</f>
        <v>Partially Paid</v>
      </c>
      <c r="J207" t="str">
        <f t="shared" si="3"/>
        <v>YES</v>
      </c>
    </row>
    <row r="208" spans="1:10" x14ac:dyDescent="0.35">
      <c r="A208">
        <v>2207</v>
      </c>
      <c r="B208" t="s">
        <v>239</v>
      </c>
      <c r="C208" t="s">
        <v>13</v>
      </c>
      <c r="D208" t="s">
        <v>10</v>
      </c>
      <c r="E208">
        <v>46011</v>
      </c>
      <c r="F208">
        <v>58635</v>
      </c>
      <c r="G208">
        <v>46118</v>
      </c>
      <c r="H208" t="s">
        <v>25</v>
      </c>
      <c r="I208" t="str" cm="1">
        <f t="array" ref="I208">_xlfn.IFS(G208=0,"Not Paid",G208=F208,"Fully Paid",G208&lt;F208,"Partially Paid")</f>
        <v>Partially Paid</v>
      </c>
      <c r="J208" t="str">
        <f t="shared" si="3"/>
        <v>YES</v>
      </c>
    </row>
    <row r="209" spans="1:10" x14ac:dyDescent="0.35">
      <c r="A209">
        <v>2208</v>
      </c>
      <c r="B209" t="s">
        <v>240</v>
      </c>
      <c r="C209" t="s">
        <v>13</v>
      </c>
      <c r="D209" t="s">
        <v>37</v>
      </c>
      <c r="E209">
        <v>45943</v>
      </c>
      <c r="F209">
        <v>49535</v>
      </c>
      <c r="G209">
        <v>43502</v>
      </c>
      <c r="H209" t="s">
        <v>22</v>
      </c>
      <c r="I209" t="str" cm="1">
        <f t="array" ref="I209">_xlfn.IFS(G209=0,"Not Paid",G209=F209,"Fully Paid",G209&lt;F209,"Partially Paid")</f>
        <v>Partially Paid</v>
      </c>
      <c r="J209" t="str">
        <f t="shared" si="3"/>
        <v>NO</v>
      </c>
    </row>
    <row r="210" spans="1:10" x14ac:dyDescent="0.35">
      <c r="A210">
        <v>2209</v>
      </c>
      <c r="B210" t="s">
        <v>241</v>
      </c>
      <c r="C210" t="s">
        <v>13</v>
      </c>
      <c r="D210" t="s">
        <v>14</v>
      </c>
      <c r="E210">
        <v>45773</v>
      </c>
      <c r="F210">
        <v>32869</v>
      </c>
      <c r="G210">
        <v>30491</v>
      </c>
      <c r="H210" t="s">
        <v>11</v>
      </c>
      <c r="I210" t="str" cm="1">
        <f t="array" ref="I210">_xlfn.IFS(G210=0,"Not Paid",G210=F210,"Fully Paid",G210&lt;F210,"Partially Paid")</f>
        <v>Partially Paid</v>
      </c>
      <c r="J210" t="str">
        <f t="shared" si="3"/>
        <v>NO</v>
      </c>
    </row>
    <row r="211" spans="1:10" x14ac:dyDescent="0.35">
      <c r="A211">
        <v>2210</v>
      </c>
      <c r="B211" t="s">
        <v>242</v>
      </c>
      <c r="C211" t="s">
        <v>45</v>
      </c>
      <c r="D211" t="s">
        <v>21</v>
      </c>
      <c r="E211">
        <v>45921</v>
      </c>
      <c r="F211">
        <v>27166</v>
      </c>
      <c r="G211">
        <v>25961</v>
      </c>
      <c r="H211" t="s">
        <v>53</v>
      </c>
      <c r="I211" t="str" cm="1">
        <f t="array" ref="I211">_xlfn.IFS(G211=0,"Not Paid",G211=F211,"Fully Paid",G211&lt;F211,"Partially Paid")</f>
        <v>Partially Paid</v>
      </c>
      <c r="J211" t="str">
        <f t="shared" si="3"/>
        <v>NO</v>
      </c>
    </row>
    <row r="212" spans="1:10" x14ac:dyDescent="0.35">
      <c r="A212">
        <v>2211</v>
      </c>
      <c r="B212" t="s">
        <v>243</v>
      </c>
      <c r="C212" t="s">
        <v>45</v>
      </c>
      <c r="D212" t="s">
        <v>37</v>
      </c>
      <c r="E212">
        <v>45807</v>
      </c>
      <c r="F212">
        <v>32982</v>
      </c>
      <c r="G212">
        <v>27994</v>
      </c>
      <c r="H212" t="s">
        <v>31</v>
      </c>
      <c r="I212" t="str" cm="1">
        <f t="array" ref="I212">_xlfn.IFS(G212=0,"Not Paid",G212=F212,"Fully Paid",G212&lt;F212,"Partially Paid")</f>
        <v>Partially Paid</v>
      </c>
      <c r="J212" t="str">
        <f t="shared" si="3"/>
        <v>NO</v>
      </c>
    </row>
    <row r="213" spans="1:10" x14ac:dyDescent="0.35">
      <c r="A213">
        <v>2212</v>
      </c>
      <c r="B213" t="s">
        <v>244</v>
      </c>
      <c r="C213" t="s">
        <v>24</v>
      </c>
      <c r="D213" t="s">
        <v>10</v>
      </c>
      <c r="E213">
        <v>45957</v>
      </c>
      <c r="F213">
        <v>58115</v>
      </c>
      <c r="G213">
        <v>46084</v>
      </c>
      <c r="H213" t="s">
        <v>22</v>
      </c>
      <c r="I213" t="str" cm="1">
        <f t="array" ref="I213">_xlfn.IFS(G213=0,"Not Paid",G213=F213,"Fully Paid",G213&lt;F213,"Partially Paid")</f>
        <v>Partially Paid</v>
      </c>
      <c r="J213" t="str">
        <f t="shared" si="3"/>
        <v>YES</v>
      </c>
    </row>
    <row r="214" spans="1:10" x14ac:dyDescent="0.35">
      <c r="A214">
        <v>2213</v>
      </c>
      <c r="B214" t="s">
        <v>245</v>
      </c>
      <c r="C214" t="s">
        <v>33</v>
      </c>
      <c r="D214" t="s">
        <v>14</v>
      </c>
      <c r="E214">
        <v>45693</v>
      </c>
      <c r="F214">
        <v>27269</v>
      </c>
      <c r="G214">
        <v>21600</v>
      </c>
      <c r="H214" t="s">
        <v>77</v>
      </c>
      <c r="I214" t="str" cm="1">
        <f t="array" ref="I214">_xlfn.IFS(G214=0,"Not Paid",G214=F214,"Fully Paid",G214&lt;F214,"Partially Paid")</f>
        <v>Partially Paid</v>
      </c>
      <c r="J214" t="str">
        <f t="shared" si="3"/>
        <v>NO</v>
      </c>
    </row>
    <row r="215" spans="1:10" x14ac:dyDescent="0.35">
      <c r="A215">
        <v>2214</v>
      </c>
      <c r="B215" t="s">
        <v>246</v>
      </c>
      <c r="C215" t="s">
        <v>9</v>
      </c>
      <c r="D215" t="s">
        <v>27</v>
      </c>
      <c r="E215">
        <v>45990</v>
      </c>
      <c r="F215">
        <v>48064</v>
      </c>
      <c r="G215">
        <v>45329</v>
      </c>
      <c r="H215" t="s">
        <v>29</v>
      </c>
      <c r="I215" t="str" cm="1">
        <f t="array" ref="I215">_xlfn.IFS(G215=0,"Not Paid",G215=F215,"Fully Paid",G215&lt;F215,"Partially Paid")</f>
        <v>Partially Paid</v>
      </c>
      <c r="J215" t="str">
        <f t="shared" si="3"/>
        <v>NO</v>
      </c>
    </row>
    <row r="216" spans="1:10" x14ac:dyDescent="0.35">
      <c r="A216">
        <v>2215</v>
      </c>
      <c r="B216" t="s">
        <v>247</v>
      </c>
      <c r="C216" t="s">
        <v>13</v>
      </c>
      <c r="D216" t="s">
        <v>10</v>
      </c>
      <c r="E216">
        <v>45944</v>
      </c>
      <c r="F216">
        <v>33527</v>
      </c>
      <c r="G216">
        <v>19165</v>
      </c>
      <c r="H216" t="s">
        <v>22</v>
      </c>
      <c r="I216" t="str" cm="1">
        <f t="array" ref="I216">_xlfn.IFS(G216=0,"Not Paid",G216=F216,"Fully Paid",G216&lt;F216,"Partially Paid")</f>
        <v>Partially Paid</v>
      </c>
      <c r="J216" t="str">
        <f t="shared" si="3"/>
        <v>NO</v>
      </c>
    </row>
    <row r="217" spans="1:10" x14ac:dyDescent="0.35">
      <c r="A217">
        <v>2216</v>
      </c>
      <c r="B217" t="s">
        <v>248</v>
      </c>
      <c r="C217" t="s">
        <v>56</v>
      </c>
      <c r="D217" t="s">
        <v>10</v>
      </c>
      <c r="E217">
        <v>45960</v>
      </c>
      <c r="F217">
        <v>22454</v>
      </c>
      <c r="G217">
        <v>10915</v>
      </c>
      <c r="H217" t="s">
        <v>22</v>
      </c>
      <c r="I217" t="str" cm="1">
        <f t="array" ref="I217">_xlfn.IFS(G217=0,"Not Paid",G217=F217,"Fully Paid",G217&lt;F217,"Partially Paid")</f>
        <v>Partially Paid</v>
      </c>
      <c r="J217" t="str">
        <f t="shared" si="3"/>
        <v>NO</v>
      </c>
    </row>
    <row r="218" spans="1:10" x14ac:dyDescent="0.35">
      <c r="A218">
        <v>2217</v>
      </c>
      <c r="B218" t="s">
        <v>249</v>
      </c>
      <c r="C218" t="s">
        <v>9</v>
      </c>
      <c r="D218" t="s">
        <v>14</v>
      </c>
      <c r="E218">
        <v>45968</v>
      </c>
      <c r="F218">
        <v>40878</v>
      </c>
      <c r="G218">
        <v>31011</v>
      </c>
      <c r="H218" t="s">
        <v>29</v>
      </c>
      <c r="I218" t="str" cm="1">
        <f t="array" ref="I218">_xlfn.IFS(G218=0,"Not Paid",G218=F218,"Fully Paid",G218&lt;F218,"Partially Paid")</f>
        <v>Partially Paid</v>
      </c>
      <c r="J218" t="str">
        <f t="shared" si="3"/>
        <v>NO</v>
      </c>
    </row>
    <row r="219" spans="1:10" x14ac:dyDescent="0.35">
      <c r="A219">
        <v>2218</v>
      </c>
      <c r="B219" t="s">
        <v>250</v>
      </c>
      <c r="C219" t="s">
        <v>45</v>
      </c>
      <c r="D219" t="s">
        <v>10</v>
      </c>
      <c r="E219">
        <v>45865</v>
      </c>
      <c r="F219">
        <v>32991</v>
      </c>
      <c r="G219">
        <v>24501</v>
      </c>
      <c r="H219" t="s">
        <v>43</v>
      </c>
      <c r="I219" t="str" cm="1">
        <f t="array" ref="I219">_xlfn.IFS(G219=0,"Not Paid",G219=F219,"Fully Paid",G219&lt;F219,"Partially Paid")</f>
        <v>Partially Paid</v>
      </c>
      <c r="J219" t="str">
        <f t="shared" si="3"/>
        <v>NO</v>
      </c>
    </row>
    <row r="220" spans="1:10" x14ac:dyDescent="0.35">
      <c r="A220">
        <v>2219</v>
      </c>
      <c r="B220" t="s">
        <v>251</v>
      </c>
      <c r="C220" t="s">
        <v>56</v>
      </c>
      <c r="D220" t="s">
        <v>14</v>
      </c>
      <c r="E220">
        <v>45763</v>
      </c>
      <c r="F220">
        <v>22808</v>
      </c>
      <c r="G220">
        <v>21852</v>
      </c>
      <c r="H220" t="s">
        <v>11</v>
      </c>
      <c r="I220" t="str" cm="1">
        <f t="array" ref="I220">_xlfn.IFS(G220=0,"Not Paid",G220=F220,"Fully Paid",G220&lt;F220,"Partially Paid")</f>
        <v>Partially Paid</v>
      </c>
      <c r="J220" t="str">
        <f t="shared" si="3"/>
        <v>NO</v>
      </c>
    </row>
    <row r="221" spans="1:10" x14ac:dyDescent="0.35">
      <c r="A221">
        <v>2220</v>
      </c>
      <c r="B221" t="s">
        <v>252</v>
      </c>
      <c r="C221" t="s">
        <v>56</v>
      </c>
      <c r="D221" t="s">
        <v>37</v>
      </c>
      <c r="E221">
        <v>45815</v>
      </c>
      <c r="F221">
        <v>59410</v>
      </c>
      <c r="G221">
        <v>50104</v>
      </c>
      <c r="H221" t="s">
        <v>67</v>
      </c>
      <c r="I221" t="str" cm="1">
        <f t="array" ref="I221">_xlfn.IFS(G221=0,"Not Paid",G221=F221,"Fully Paid",G221&lt;F221,"Partially Paid")</f>
        <v>Partially Paid</v>
      </c>
      <c r="J221" t="str">
        <f t="shared" si="3"/>
        <v>YES</v>
      </c>
    </row>
    <row r="222" spans="1:10" x14ac:dyDescent="0.35">
      <c r="A222">
        <v>2221</v>
      </c>
      <c r="B222" t="s">
        <v>253</v>
      </c>
      <c r="C222" t="s">
        <v>56</v>
      </c>
      <c r="D222" t="s">
        <v>14</v>
      </c>
      <c r="E222">
        <v>45778</v>
      </c>
      <c r="F222">
        <v>56593</v>
      </c>
      <c r="G222">
        <v>49970</v>
      </c>
      <c r="H222" t="s">
        <v>31</v>
      </c>
      <c r="I222" t="str" cm="1">
        <f t="array" ref="I222">_xlfn.IFS(G222=0,"Not Paid",G222=F222,"Fully Paid",G222&lt;F222,"Partially Paid")</f>
        <v>Partially Paid</v>
      </c>
      <c r="J222" t="str">
        <f t="shared" si="3"/>
        <v>YES</v>
      </c>
    </row>
    <row r="223" spans="1:10" x14ac:dyDescent="0.35">
      <c r="A223">
        <v>2222</v>
      </c>
      <c r="B223" t="s">
        <v>254</v>
      </c>
      <c r="C223" t="s">
        <v>24</v>
      </c>
      <c r="D223" t="s">
        <v>14</v>
      </c>
      <c r="E223">
        <v>45712</v>
      </c>
      <c r="F223">
        <v>56304</v>
      </c>
      <c r="G223">
        <v>41396</v>
      </c>
      <c r="H223" t="s">
        <v>77</v>
      </c>
      <c r="I223" t="str" cm="1">
        <f t="array" ref="I223">_xlfn.IFS(G223=0,"Not Paid",G223=F223,"Fully Paid",G223&lt;F223,"Partially Paid")</f>
        <v>Partially Paid</v>
      </c>
      <c r="J223" t="str">
        <f t="shared" si="3"/>
        <v>YES</v>
      </c>
    </row>
    <row r="224" spans="1:10" x14ac:dyDescent="0.35">
      <c r="A224">
        <v>2223</v>
      </c>
      <c r="B224" t="s">
        <v>255</v>
      </c>
      <c r="C224" t="s">
        <v>45</v>
      </c>
      <c r="D224" t="s">
        <v>21</v>
      </c>
      <c r="E224">
        <v>45669</v>
      </c>
      <c r="F224">
        <v>50386</v>
      </c>
      <c r="G224">
        <v>39689</v>
      </c>
      <c r="H224" t="s">
        <v>15</v>
      </c>
      <c r="I224" t="str" cm="1">
        <f t="array" ref="I224">_xlfn.IFS(G224=0,"Not Paid",G224=F224,"Fully Paid",G224&lt;F224,"Partially Paid")</f>
        <v>Partially Paid</v>
      </c>
      <c r="J224" t="str">
        <f t="shared" si="3"/>
        <v>YES</v>
      </c>
    </row>
    <row r="225" spans="1:10" x14ac:dyDescent="0.35">
      <c r="A225">
        <v>2224</v>
      </c>
      <c r="B225" t="s">
        <v>256</v>
      </c>
      <c r="C225" t="s">
        <v>56</v>
      </c>
      <c r="D225" t="s">
        <v>14</v>
      </c>
      <c r="E225">
        <v>45802</v>
      </c>
      <c r="F225">
        <v>23802</v>
      </c>
      <c r="G225">
        <v>22328</v>
      </c>
      <c r="H225" t="s">
        <v>31</v>
      </c>
      <c r="I225" t="str" cm="1">
        <f t="array" ref="I225">_xlfn.IFS(G225=0,"Not Paid",G225=F225,"Fully Paid",G225&lt;F225,"Partially Paid")</f>
        <v>Partially Paid</v>
      </c>
      <c r="J225" t="str">
        <f t="shared" si="3"/>
        <v>NO</v>
      </c>
    </row>
    <row r="226" spans="1:10" x14ac:dyDescent="0.35">
      <c r="A226">
        <v>2225</v>
      </c>
      <c r="B226" t="s">
        <v>257</v>
      </c>
      <c r="C226" t="s">
        <v>13</v>
      </c>
      <c r="D226" t="s">
        <v>14</v>
      </c>
      <c r="E226">
        <v>45793</v>
      </c>
      <c r="F226">
        <v>48753</v>
      </c>
      <c r="G226">
        <v>44293</v>
      </c>
      <c r="H226" t="s">
        <v>31</v>
      </c>
      <c r="I226" t="str" cm="1">
        <f t="array" ref="I226">_xlfn.IFS(G226=0,"Not Paid",G226=F226,"Fully Paid",G226&lt;F226,"Partially Paid")</f>
        <v>Partially Paid</v>
      </c>
      <c r="J226" t="str">
        <f t="shared" si="3"/>
        <v>NO</v>
      </c>
    </row>
    <row r="227" spans="1:10" x14ac:dyDescent="0.35">
      <c r="A227">
        <v>2226</v>
      </c>
      <c r="B227" t="s">
        <v>258</v>
      </c>
      <c r="C227" t="s">
        <v>17</v>
      </c>
      <c r="D227" t="s">
        <v>27</v>
      </c>
      <c r="E227">
        <v>45660</v>
      </c>
      <c r="F227">
        <v>41083</v>
      </c>
      <c r="G227">
        <v>34081</v>
      </c>
      <c r="H227" t="s">
        <v>15</v>
      </c>
      <c r="I227" t="str" cm="1">
        <f t="array" ref="I227">_xlfn.IFS(G227=0,"Not Paid",G227=F227,"Fully Paid",G227&lt;F227,"Partially Paid")</f>
        <v>Partially Paid</v>
      </c>
      <c r="J227" t="str">
        <f t="shared" si="3"/>
        <v>NO</v>
      </c>
    </row>
    <row r="228" spans="1:10" x14ac:dyDescent="0.35">
      <c r="A228">
        <v>2227</v>
      </c>
      <c r="B228" t="s">
        <v>259</v>
      </c>
      <c r="C228" t="s">
        <v>56</v>
      </c>
      <c r="D228" t="s">
        <v>37</v>
      </c>
      <c r="E228">
        <v>45801</v>
      </c>
      <c r="F228">
        <v>38354</v>
      </c>
      <c r="G228">
        <v>24368</v>
      </c>
      <c r="H228" t="s">
        <v>31</v>
      </c>
      <c r="I228" t="str" cm="1">
        <f t="array" ref="I228">_xlfn.IFS(G228=0,"Not Paid",G228=F228,"Fully Paid",G228&lt;F228,"Partially Paid")</f>
        <v>Partially Paid</v>
      </c>
      <c r="J228" t="str">
        <f t="shared" si="3"/>
        <v>NO</v>
      </c>
    </row>
    <row r="229" spans="1:10" x14ac:dyDescent="0.35">
      <c r="A229">
        <v>2228</v>
      </c>
      <c r="B229" t="s">
        <v>260</v>
      </c>
      <c r="C229" t="s">
        <v>24</v>
      </c>
      <c r="D229" t="s">
        <v>21</v>
      </c>
      <c r="E229">
        <v>45687</v>
      </c>
      <c r="F229">
        <v>42190</v>
      </c>
      <c r="G229">
        <v>29552</v>
      </c>
      <c r="H229" t="s">
        <v>15</v>
      </c>
      <c r="I229" t="str" cm="1">
        <f t="array" ref="I229">_xlfn.IFS(G229=0,"Not Paid",G229=F229,"Fully Paid",G229&lt;F229,"Partially Paid")</f>
        <v>Partially Paid</v>
      </c>
      <c r="J229" t="str">
        <f t="shared" si="3"/>
        <v>NO</v>
      </c>
    </row>
    <row r="230" spans="1:10" x14ac:dyDescent="0.35">
      <c r="A230">
        <v>2229</v>
      </c>
      <c r="B230" t="s">
        <v>261</v>
      </c>
      <c r="C230" t="s">
        <v>9</v>
      </c>
      <c r="D230" t="s">
        <v>27</v>
      </c>
      <c r="E230">
        <v>45894</v>
      </c>
      <c r="F230">
        <v>26142</v>
      </c>
      <c r="G230">
        <v>14224</v>
      </c>
      <c r="H230" t="s">
        <v>38</v>
      </c>
      <c r="I230" t="str" cm="1">
        <f t="array" ref="I230">_xlfn.IFS(G230=0,"Not Paid",G230=F230,"Fully Paid",G230&lt;F230,"Partially Paid")</f>
        <v>Partially Paid</v>
      </c>
      <c r="J230" t="str">
        <f t="shared" si="3"/>
        <v>NO</v>
      </c>
    </row>
    <row r="231" spans="1:10" x14ac:dyDescent="0.35">
      <c r="A231">
        <v>2230</v>
      </c>
      <c r="B231" t="s">
        <v>262</v>
      </c>
      <c r="C231" t="s">
        <v>45</v>
      </c>
      <c r="D231" t="s">
        <v>18</v>
      </c>
      <c r="E231">
        <v>45936</v>
      </c>
      <c r="F231">
        <v>48398</v>
      </c>
      <c r="G231">
        <v>36735</v>
      </c>
      <c r="H231" t="s">
        <v>22</v>
      </c>
      <c r="I231" t="str" cm="1">
        <f t="array" ref="I231">_xlfn.IFS(G231=0,"Not Paid",G231=F231,"Fully Paid",G231&lt;F231,"Partially Paid")</f>
        <v>Partially Paid</v>
      </c>
      <c r="J231" t="str">
        <f t="shared" si="3"/>
        <v>NO</v>
      </c>
    </row>
    <row r="232" spans="1:10" x14ac:dyDescent="0.35">
      <c r="A232">
        <v>2231</v>
      </c>
      <c r="B232" t="s">
        <v>263</v>
      </c>
      <c r="C232" t="s">
        <v>24</v>
      </c>
      <c r="D232" t="s">
        <v>37</v>
      </c>
      <c r="E232">
        <v>46005</v>
      </c>
      <c r="F232">
        <v>53132</v>
      </c>
      <c r="G232">
        <v>46736</v>
      </c>
      <c r="H232" t="s">
        <v>25</v>
      </c>
      <c r="I232" t="str" cm="1">
        <f t="array" ref="I232">_xlfn.IFS(G232=0,"Not Paid",G232=F232,"Fully Paid",G232&lt;F232,"Partially Paid")</f>
        <v>Partially Paid</v>
      </c>
      <c r="J232" t="str">
        <f t="shared" si="3"/>
        <v>YES</v>
      </c>
    </row>
    <row r="233" spans="1:10" x14ac:dyDescent="0.35">
      <c r="A233">
        <v>2232</v>
      </c>
      <c r="B233" t="s">
        <v>264</v>
      </c>
      <c r="C233" t="s">
        <v>56</v>
      </c>
      <c r="D233" t="s">
        <v>37</v>
      </c>
      <c r="E233">
        <v>45772</v>
      </c>
      <c r="F233">
        <v>39503</v>
      </c>
      <c r="G233">
        <v>36675</v>
      </c>
      <c r="H233" t="s">
        <v>11</v>
      </c>
      <c r="I233" t="str" cm="1">
        <f t="array" ref="I233">_xlfn.IFS(G233=0,"Not Paid",G233=F233,"Fully Paid",G233&lt;F233,"Partially Paid")</f>
        <v>Partially Paid</v>
      </c>
      <c r="J233" t="str">
        <f t="shared" si="3"/>
        <v>NO</v>
      </c>
    </row>
    <row r="234" spans="1:10" x14ac:dyDescent="0.35">
      <c r="A234">
        <v>2233</v>
      </c>
      <c r="B234" t="s">
        <v>265</v>
      </c>
      <c r="C234" t="s">
        <v>45</v>
      </c>
      <c r="D234" t="s">
        <v>18</v>
      </c>
      <c r="E234">
        <v>45761</v>
      </c>
      <c r="F234">
        <v>54631</v>
      </c>
      <c r="G234">
        <v>40439</v>
      </c>
      <c r="H234" t="s">
        <v>11</v>
      </c>
      <c r="I234" t="str" cm="1">
        <f t="array" ref="I234">_xlfn.IFS(G234=0,"Not Paid",G234=F234,"Fully Paid",G234&lt;F234,"Partially Paid")</f>
        <v>Partially Paid</v>
      </c>
      <c r="J234" t="str">
        <f t="shared" si="3"/>
        <v>YES</v>
      </c>
    </row>
    <row r="235" spans="1:10" x14ac:dyDescent="0.35">
      <c r="A235">
        <v>2234</v>
      </c>
      <c r="B235" t="s">
        <v>266</v>
      </c>
      <c r="C235" t="s">
        <v>17</v>
      </c>
      <c r="D235" t="s">
        <v>14</v>
      </c>
      <c r="E235">
        <v>45775</v>
      </c>
      <c r="F235">
        <v>36499</v>
      </c>
      <c r="G235">
        <v>33649</v>
      </c>
      <c r="H235" t="s">
        <v>11</v>
      </c>
      <c r="I235" t="str" cm="1">
        <f t="array" ref="I235">_xlfn.IFS(G235=0,"Not Paid",G235=F235,"Fully Paid",G235&lt;F235,"Partially Paid")</f>
        <v>Partially Paid</v>
      </c>
      <c r="J235" t="str">
        <f t="shared" si="3"/>
        <v>NO</v>
      </c>
    </row>
    <row r="236" spans="1:10" x14ac:dyDescent="0.35">
      <c r="A236">
        <v>2235</v>
      </c>
      <c r="B236" t="s">
        <v>267</v>
      </c>
      <c r="C236" t="s">
        <v>56</v>
      </c>
      <c r="D236" t="s">
        <v>27</v>
      </c>
      <c r="E236">
        <v>45662</v>
      </c>
      <c r="F236">
        <v>59852</v>
      </c>
      <c r="G236">
        <v>46553</v>
      </c>
      <c r="H236" t="s">
        <v>15</v>
      </c>
      <c r="I236" t="str" cm="1">
        <f t="array" ref="I236">_xlfn.IFS(G236=0,"Not Paid",G236=F236,"Fully Paid",G236&lt;F236,"Partially Paid")</f>
        <v>Partially Paid</v>
      </c>
      <c r="J236" t="str">
        <f t="shared" si="3"/>
        <v>YES</v>
      </c>
    </row>
    <row r="237" spans="1:10" x14ac:dyDescent="0.35">
      <c r="A237">
        <v>2236</v>
      </c>
      <c r="B237" t="s">
        <v>268</v>
      </c>
      <c r="C237" t="s">
        <v>24</v>
      </c>
      <c r="D237" t="s">
        <v>10</v>
      </c>
      <c r="E237">
        <v>46017</v>
      </c>
      <c r="F237">
        <v>28016</v>
      </c>
      <c r="G237">
        <v>17318</v>
      </c>
      <c r="H237" t="s">
        <v>25</v>
      </c>
      <c r="I237" t="str" cm="1">
        <f t="array" ref="I237">_xlfn.IFS(G237=0,"Not Paid",G237=F237,"Fully Paid",G237&lt;F237,"Partially Paid")</f>
        <v>Partially Paid</v>
      </c>
      <c r="J237" t="str">
        <f t="shared" si="3"/>
        <v>NO</v>
      </c>
    </row>
    <row r="238" spans="1:10" x14ac:dyDescent="0.35">
      <c r="A238">
        <v>2237</v>
      </c>
      <c r="B238" t="s">
        <v>269</v>
      </c>
      <c r="C238" t="s">
        <v>33</v>
      </c>
      <c r="D238" t="s">
        <v>21</v>
      </c>
      <c r="E238">
        <v>45905</v>
      </c>
      <c r="F238">
        <v>22384</v>
      </c>
      <c r="G238">
        <v>10422</v>
      </c>
      <c r="H238" t="s">
        <v>53</v>
      </c>
      <c r="I238" t="str" cm="1">
        <f t="array" ref="I238">_xlfn.IFS(G238=0,"Not Paid",G238=F238,"Fully Paid",G238&lt;F238,"Partially Paid")</f>
        <v>Partially Paid</v>
      </c>
      <c r="J238" t="str">
        <f t="shared" si="3"/>
        <v>NO</v>
      </c>
    </row>
    <row r="239" spans="1:10" x14ac:dyDescent="0.35">
      <c r="A239">
        <v>2238</v>
      </c>
      <c r="B239" t="s">
        <v>270</v>
      </c>
      <c r="C239" t="s">
        <v>13</v>
      </c>
      <c r="D239" t="s">
        <v>10</v>
      </c>
      <c r="E239">
        <v>46021</v>
      </c>
      <c r="F239">
        <v>35072</v>
      </c>
      <c r="G239">
        <v>32108</v>
      </c>
      <c r="H239" t="s">
        <v>25</v>
      </c>
      <c r="I239" t="str" cm="1">
        <f t="array" ref="I239">_xlfn.IFS(G239=0,"Not Paid",G239=F239,"Fully Paid",G239&lt;F239,"Partially Paid")</f>
        <v>Partially Paid</v>
      </c>
      <c r="J239" t="str">
        <f t="shared" si="3"/>
        <v>NO</v>
      </c>
    </row>
    <row r="240" spans="1:10" x14ac:dyDescent="0.35">
      <c r="A240">
        <v>2239</v>
      </c>
      <c r="B240" t="s">
        <v>271</v>
      </c>
      <c r="C240" t="s">
        <v>9</v>
      </c>
      <c r="D240" t="s">
        <v>18</v>
      </c>
      <c r="E240">
        <v>45978</v>
      </c>
      <c r="F240">
        <v>56703</v>
      </c>
      <c r="G240">
        <v>52109</v>
      </c>
      <c r="H240" t="s">
        <v>29</v>
      </c>
      <c r="I240" t="str" cm="1">
        <f t="array" ref="I240">_xlfn.IFS(G240=0,"Not Paid",G240=F240,"Fully Paid",G240&lt;F240,"Partially Paid")</f>
        <v>Partially Paid</v>
      </c>
      <c r="J240" t="str">
        <f t="shared" si="3"/>
        <v>YES</v>
      </c>
    </row>
    <row r="241" spans="1:10" x14ac:dyDescent="0.35">
      <c r="A241">
        <v>2240</v>
      </c>
      <c r="B241" t="s">
        <v>272</v>
      </c>
      <c r="C241" t="s">
        <v>24</v>
      </c>
      <c r="D241" t="s">
        <v>37</v>
      </c>
      <c r="E241">
        <v>45778</v>
      </c>
      <c r="F241">
        <v>34482</v>
      </c>
      <c r="G241">
        <v>25341</v>
      </c>
      <c r="H241" t="s">
        <v>31</v>
      </c>
      <c r="I241" t="str" cm="1">
        <f t="array" ref="I241">_xlfn.IFS(G241=0,"Not Paid",G241=F241,"Fully Paid",G241&lt;F241,"Partially Paid")</f>
        <v>Partially Paid</v>
      </c>
      <c r="J241" t="str">
        <f t="shared" si="3"/>
        <v>NO</v>
      </c>
    </row>
    <row r="242" spans="1:10" x14ac:dyDescent="0.35">
      <c r="A242">
        <v>2241</v>
      </c>
      <c r="B242" t="s">
        <v>273</v>
      </c>
      <c r="C242" t="s">
        <v>45</v>
      </c>
      <c r="D242" t="s">
        <v>37</v>
      </c>
      <c r="E242">
        <v>45943</v>
      </c>
      <c r="F242">
        <v>41826</v>
      </c>
      <c r="G242">
        <v>27544</v>
      </c>
      <c r="H242" t="s">
        <v>22</v>
      </c>
      <c r="I242" t="str" cm="1">
        <f t="array" ref="I242">_xlfn.IFS(G242=0,"Not Paid",G242=F242,"Fully Paid",G242&lt;F242,"Partially Paid")</f>
        <v>Partially Paid</v>
      </c>
      <c r="J242" t="str">
        <f t="shared" si="3"/>
        <v>NO</v>
      </c>
    </row>
    <row r="243" spans="1:10" x14ac:dyDescent="0.35">
      <c r="A243">
        <v>2242</v>
      </c>
      <c r="B243" t="s">
        <v>274</v>
      </c>
      <c r="C243" t="s">
        <v>56</v>
      </c>
      <c r="D243" t="s">
        <v>21</v>
      </c>
      <c r="E243">
        <v>45806</v>
      </c>
      <c r="F243">
        <v>22490</v>
      </c>
      <c r="G243">
        <v>8156</v>
      </c>
      <c r="H243" t="s">
        <v>31</v>
      </c>
      <c r="I243" t="str" cm="1">
        <f t="array" ref="I243">_xlfn.IFS(G243=0,"Not Paid",G243=F243,"Fully Paid",G243&lt;F243,"Partially Paid")</f>
        <v>Partially Paid</v>
      </c>
      <c r="J243" t="str">
        <f t="shared" si="3"/>
        <v>NO</v>
      </c>
    </row>
    <row r="244" spans="1:10" x14ac:dyDescent="0.35">
      <c r="A244">
        <v>2243</v>
      </c>
      <c r="B244" t="s">
        <v>275</v>
      </c>
      <c r="C244" t="s">
        <v>13</v>
      </c>
      <c r="D244" t="s">
        <v>37</v>
      </c>
      <c r="E244">
        <v>45741</v>
      </c>
      <c r="F244">
        <v>45518</v>
      </c>
      <c r="G244">
        <v>32723</v>
      </c>
      <c r="H244" t="s">
        <v>19</v>
      </c>
      <c r="I244" t="str" cm="1">
        <f t="array" ref="I244">_xlfn.IFS(G244=0,"Not Paid",G244=F244,"Fully Paid",G244&lt;F244,"Partially Paid")</f>
        <v>Partially Paid</v>
      </c>
      <c r="J244" t="str">
        <f t="shared" si="3"/>
        <v>NO</v>
      </c>
    </row>
    <row r="245" spans="1:10" x14ac:dyDescent="0.35">
      <c r="A245">
        <v>2244</v>
      </c>
      <c r="B245" t="s">
        <v>276</v>
      </c>
      <c r="C245" t="s">
        <v>56</v>
      </c>
      <c r="D245" t="s">
        <v>37</v>
      </c>
      <c r="E245">
        <v>45888</v>
      </c>
      <c r="F245">
        <v>44045</v>
      </c>
      <c r="G245">
        <v>30430</v>
      </c>
      <c r="H245" t="s">
        <v>38</v>
      </c>
      <c r="I245" t="str" cm="1">
        <f t="array" ref="I245">_xlfn.IFS(G245=0,"Not Paid",G245=F245,"Fully Paid",G245&lt;F245,"Partially Paid")</f>
        <v>Partially Paid</v>
      </c>
      <c r="J245" t="str">
        <f t="shared" si="3"/>
        <v>NO</v>
      </c>
    </row>
    <row r="246" spans="1:10" x14ac:dyDescent="0.35">
      <c r="A246">
        <v>2245</v>
      </c>
      <c r="B246" t="s">
        <v>277</v>
      </c>
      <c r="C246" t="s">
        <v>45</v>
      </c>
      <c r="D246" t="s">
        <v>21</v>
      </c>
      <c r="E246">
        <v>45945</v>
      </c>
      <c r="F246">
        <v>46910</v>
      </c>
      <c r="G246">
        <v>40266</v>
      </c>
      <c r="H246" t="s">
        <v>22</v>
      </c>
      <c r="I246" t="str" cm="1">
        <f t="array" ref="I246">_xlfn.IFS(G246=0,"Not Paid",G246=F246,"Fully Paid",G246&lt;F246,"Partially Paid")</f>
        <v>Partially Paid</v>
      </c>
      <c r="J246" t="str">
        <f t="shared" si="3"/>
        <v>NO</v>
      </c>
    </row>
    <row r="247" spans="1:10" x14ac:dyDescent="0.35">
      <c r="A247">
        <v>2246</v>
      </c>
      <c r="B247" t="s">
        <v>278</v>
      </c>
      <c r="C247" t="s">
        <v>56</v>
      </c>
      <c r="D247" t="s">
        <v>27</v>
      </c>
      <c r="E247">
        <v>45818</v>
      </c>
      <c r="F247">
        <v>44566</v>
      </c>
      <c r="G247">
        <v>41716</v>
      </c>
      <c r="H247" t="s">
        <v>67</v>
      </c>
      <c r="I247" t="str" cm="1">
        <f t="array" ref="I247">_xlfn.IFS(G247=0,"Not Paid",G247=F247,"Fully Paid",G247&lt;F247,"Partially Paid")</f>
        <v>Partially Paid</v>
      </c>
      <c r="J247" t="str">
        <f t="shared" si="3"/>
        <v>NO</v>
      </c>
    </row>
    <row r="248" spans="1:10" x14ac:dyDescent="0.35">
      <c r="A248">
        <v>2247</v>
      </c>
      <c r="B248" t="s">
        <v>279</v>
      </c>
      <c r="C248" t="s">
        <v>33</v>
      </c>
      <c r="D248" t="s">
        <v>27</v>
      </c>
      <c r="E248">
        <v>45929</v>
      </c>
      <c r="F248">
        <v>53905</v>
      </c>
      <c r="G248">
        <v>38972</v>
      </c>
      <c r="H248" t="s">
        <v>53</v>
      </c>
      <c r="I248" t="str" cm="1">
        <f t="array" ref="I248">_xlfn.IFS(G248=0,"Not Paid",G248=F248,"Fully Paid",G248&lt;F248,"Partially Paid")</f>
        <v>Partially Paid</v>
      </c>
      <c r="J248" t="str">
        <f t="shared" si="3"/>
        <v>YES</v>
      </c>
    </row>
    <row r="249" spans="1:10" x14ac:dyDescent="0.35">
      <c r="A249">
        <v>2248</v>
      </c>
      <c r="B249" t="s">
        <v>280</v>
      </c>
      <c r="C249" t="s">
        <v>13</v>
      </c>
      <c r="D249" t="s">
        <v>21</v>
      </c>
      <c r="E249">
        <v>45695</v>
      </c>
      <c r="F249">
        <v>47103</v>
      </c>
      <c r="G249">
        <v>46938</v>
      </c>
      <c r="H249" t="s">
        <v>77</v>
      </c>
      <c r="I249" t="str" cm="1">
        <f t="array" ref="I249">_xlfn.IFS(G249=0,"Not Paid",G249=F249,"Fully Paid",G249&lt;F249,"Partially Paid")</f>
        <v>Partially Paid</v>
      </c>
      <c r="J249" t="str">
        <f t="shared" si="3"/>
        <v>NO</v>
      </c>
    </row>
    <row r="250" spans="1:10" x14ac:dyDescent="0.35">
      <c r="A250">
        <v>2249</v>
      </c>
      <c r="B250" t="s">
        <v>281</v>
      </c>
      <c r="C250" t="s">
        <v>13</v>
      </c>
      <c r="D250" t="s">
        <v>18</v>
      </c>
      <c r="E250">
        <v>45883</v>
      </c>
      <c r="F250">
        <v>56188</v>
      </c>
      <c r="G250">
        <v>44510</v>
      </c>
      <c r="H250" t="s">
        <v>38</v>
      </c>
      <c r="I250" t="str" cm="1">
        <f t="array" ref="I250">_xlfn.IFS(G250=0,"Not Paid",G250=F250,"Fully Paid",G250&lt;F250,"Partially Paid")</f>
        <v>Partially Paid</v>
      </c>
      <c r="J250" t="str">
        <f t="shared" si="3"/>
        <v>YES</v>
      </c>
    </row>
    <row r="251" spans="1:10" x14ac:dyDescent="0.35">
      <c r="A251">
        <v>2250</v>
      </c>
      <c r="B251" t="s">
        <v>282</v>
      </c>
      <c r="C251" t="s">
        <v>45</v>
      </c>
      <c r="D251" t="s">
        <v>37</v>
      </c>
      <c r="E251">
        <v>45799</v>
      </c>
      <c r="F251">
        <v>25845</v>
      </c>
      <c r="G251">
        <v>15144</v>
      </c>
      <c r="H251" t="s">
        <v>31</v>
      </c>
      <c r="I251" t="str" cm="1">
        <f t="array" ref="I251">_xlfn.IFS(G251=0,"Not Paid",G251=F251,"Fully Paid",G251&lt;F251,"Partially Paid")</f>
        <v>Partially Paid</v>
      </c>
      <c r="J251" t="str">
        <f t="shared" si="3"/>
        <v>NO</v>
      </c>
    </row>
    <row r="252" spans="1:10" x14ac:dyDescent="0.35">
      <c r="A252">
        <v>2251</v>
      </c>
      <c r="B252" t="s">
        <v>283</v>
      </c>
      <c r="C252" t="s">
        <v>9</v>
      </c>
      <c r="D252" t="s">
        <v>37</v>
      </c>
      <c r="E252">
        <v>45949</v>
      </c>
      <c r="F252">
        <v>41162</v>
      </c>
      <c r="G252">
        <v>40243</v>
      </c>
      <c r="H252" t="s">
        <v>22</v>
      </c>
      <c r="I252" t="str" cm="1">
        <f t="array" ref="I252">_xlfn.IFS(G252=0,"Not Paid",G252=F252,"Fully Paid",G252&lt;F252,"Partially Paid")</f>
        <v>Partially Paid</v>
      </c>
      <c r="J252" t="str">
        <f t="shared" si="3"/>
        <v>NO</v>
      </c>
    </row>
    <row r="253" spans="1:10" x14ac:dyDescent="0.35">
      <c r="A253">
        <v>2252</v>
      </c>
      <c r="B253" t="s">
        <v>284</v>
      </c>
      <c r="C253" t="s">
        <v>33</v>
      </c>
      <c r="D253" t="s">
        <v>18</v>
      </c>
      <c r="E253">
        <v>45808</v>
      </c>
      <c r="F253">
        <v>56674</v>
      </c>
      <c r="G253">
        <v>48369</v>
      </c>
      <c r="H253" t="s">
        <v>31</v>
      </c>
      <c r="I253" t="str" cm="1">
        <f t="array" ref="I253">_xlfn.IFS(G253=0,"Not Paid",G253=F253,"Fully Paid",G253&lt;F253,"Partially Paid")</f>
        <v>Partially Paid</v>
      </c>
      <c r="J253" t="str">
        <f t="shared" si="3"/>
        <v>YES</v>
      </c>
    </row>
    <row r="254" spans="1:10" x14ac:dyDescent="0.35">
      <c r="A254">
        <v>2253</v>
      </c>
      <c r="B254" t="s">
        <v>285</v>
      </c>
      <c r="C254" t="s">
        <v>24</v>
      </c>
      <c r="D254" t="s">
        <v>27</v>
      </c>
      <c r="E254">
        <v>45771</v>
      </c>
      <c r="F254">
        <v>39337</v>
      </c>
      <c r="G254">
        <v>35833</v>
      </c>
      <c r="H254" t="s">
        <v>11</v>
      </c>
      <c r="I254" t="str" cm="1">
        <f t="array" ref="I254">_xlfn.IFS(G254=0,"Not Paid",G254=F254,"Fully Paid",G254&lt;F254,"Partially Paid")</f>
        <v>Partially Paid</v>
      </c>
      <c r="J254" t="str">
        <f t="shared" si="3"/>
        <v>NO</v>
      </c>
    </row>
    <row r="255" spans="1:10" x14ac:dyDescent="0.35">
      <c r="A255">
        <v>2254</v>
      </c>
      <c r="B255" t="s">
        <v>286</v>
      </c>
      <c r="C255" t="s">
        <v>56</v>
      </c>
      <c r="D255" t="s">
        <v>14</v>
      </c>
      <c r="E255">
        <v>45894</v>
      </c>
      <c r="F255">
        <v>42313</v>
      </c>
      <c r="G255">
        <v>41322</v>
      </c>
      <c r="H255" t="s">
        <v>38</v>
      </c>
      <c r="I255" t="str" cm="1">
        <f t="array" ref="I255">_xlfn.IFS(G255=0,"Not Paid",G255=F255,"Fully Paid",G255&lt;F255,"Partially Paid")</f>
        <v>Partially Paid</v>
      </c>
      <c r="J255" t="str">
        <f t="shared" si="3"/>
        <v>NO</v>
      </c>
    </row>
    <row r="256" spans="1:10" x14ac:dyDescent="0.35">
      <c r="A256">
        <v>2255</v>
      </c>
      <c r="B256" t="s">
        <v>287</v>
      </c>
      <c r="C256" t="s">
        <v>17</v>
      </c>
      <c r="D256" t="s">
        <v>14</v>
      </c>
      <c r="E256">
        <v>45723</v>
      </c>
      <c r="F256">
        <v>46943</v>
      </c>
      <c r="G256">
        <v>40896</v>
      </c>
      <c r="H256" t="s">
        <v>19</v>
      </c>
      <c r="I256" t="str" cm="1">
        <f t="array" ref="I256">_xlfn.IFS(G256=0,"Not Paid",G256=F256,"Fully Paid",G256&lt;F256,"Partially Paid")</f>
        <v>Partially Paid</v>
      </c>
      <c r="J256" t="str">
        <f t="shared" si="3"/>
        <v>NO</v>
      </c>
    </row>
    <row r="257" spans="1:10" x14ac:dyDescent="0.35">
      <c r="A257">
        <v>2256</v>
      </c>
      <c r="B257" t="s">
        <v>288</v>
      </c>
      <c r="C257" t="s">
        <v>56</v>
      </c>
      <c r="D257" t="s">
        <v>14</v>
      </c>
      <c r="E257">
        <v>46018</v>
      </c>
      <c r="F257">
        <v>32413</v>
      </c>
      <c r="G257">
        <v>17871</v>
      </c>
      <c r="H257" t="s">
        <v>25</v>
      </c>
      <c r="I257" t="str" cm="1">
        <f t="array" ref="I257">_xlfn.IFS(G257=0,"Not Paid",G257=F257,"Fully Paid",G257&lt;F257,"Partially Paid")</f>
        <v>Partially Paid</v>
      </c>
      <c r="J257" t="str">
        <f t="shared" si="3"/>
        <v>NO</v>
      </c>
    </row>
    <row r="258" spans="1:10" x14ac:dyDescent="0.35">
      <c r="A258">
        <v>2257</v>
      </c>
      <c r="B258" t="s">
        <v>289</v>
      </c>
      <c r="C258" t="s">
        <v>56</v>
      </c>
      <c r="D258" t="s">
        <v>27</v>
      </c>
      <c r="E258">
        <v>45998</v>
      </c>
      <c r="F258">
        <v>20276</v>
      </c>
      <c r="G258">
        <v>16437</v>
      </c>
      <c r="H258" t="s">
        <v>25</v>
      </c>
      <c r="I258" t="str" cm="1">
        <f t="array" ref="I258">_xlfn.IFS(G258=0,"Not Paid",G258=F258,"Fully Paid",G258&lt;F258,"Partially Paid")</f>
        <v>Partially Paid</v>
      </c>
      <c r="J258" t="str">
        <f t="shared" si="3"/>
        <v>NO</v>
      </c>
    </row>
    <row r="259" spans="1:10" x14ac:dyDescent="0.35">
      <c r="A259">
        <v>2258</v>
      </c>
      <c r="B259" t="s">
        <v>290</v>
      </c>
      <c r="C259" t="s">
        <v>24</v>
      </c>
      <c r="D259" t="s">
        <v>27</v>
      </c>
      <c r="E259">
        <v>45915</v>
      </c>
      <c r="F259">
        <v>37611</v>
      </c>
      <c r="G259">
        <v>36353</v>
      </c>
      <c r="H259" t="s">
        <v>53</v>
      </c>
      <c r="I259" t="str" cm="1">
        <f t="array" ref="I259">_xlfn.IFS(G259=0,"Not Paid",G259=F259,"Fully Paid",G259&lt;F259,"Partially Paid")</f>
        <v>Partially Paid</v>
      </c>
      <c r="J259" t="str">
        <f t="shared" ref="J259:J322" si="4">IF(F259&gt;50000,"YES","NO")</f>
        <v>NO</v>
      </c>
    </row>
    <row r="260" spans="1:10" x14ac:dyDescent="0.35">
      <c r="A260">
        <v>2259</v>
      </c>
      <c r="B260" t="s">
        <v>291</v>
      </c>
      <c r="C260" t="s">
        <v>56</v>
      </c>
      <c r="D260" t="s">
        <v>18</v>
      </c>
      <c r="E260">
        <v>45906</v>
      </c>
      <c r="F260">
        <v>59105</v>
      </c>
      <c r="G260">
        <v>51496</v>
      </c>
      <c r="H260" t="s">
        <v>53</v>
      </c>
      <c r="I260" t="str" cm="1">
        <f t="array" ref="I260">_xlfn.IFS(G260=0,"Not Paid",G260=F260,"Fully Paid",G260&lt;F260,"Partially Paid")</f>
        <v>Partially Paid</v>
      </c>
      <c r="J260" t="str">
        <f t="shared" si="4"/>
        <v>YES</v>
      </c>
    </row>
    <row r="261" spans="1:10" x14ac:dyDescent="0.35">
      <c r="A261">
        <v>2260</v>
      </c>
      <c r="B261" t="s">
        <v>292</v>
      </c>
      <c r="C261" t="s">
        <v>33</v>
      </c>
      <c r="D261" t="s">
        <v>37</v>
      </c>
      <c r="E261">
        <v>45988</v>
      </c>
      <c r="F261">
        <v>31944</v>
      </c>
      <c r="G261">
        <v>20326</v>
      </c>
      <c r="H261" t="s">
        <v>29</v>
      </c>
      <c r="I261" t="str" cm="1">
        <f t="array" ref="I261">_xlfn.IFS(G261=0,"Not Paid",G261=F261,"Fully Paid",G261&lt;F261,"Partially Paid")</f>
        <v>Partially Paid</v>
      </c>
      <c r="J261" t="str">
        <f t="shared" si="4"/>
        <v>NO</v>
      </c>
    </row>
    <row r="262" spans="1:10" x14ac:dyDescent="0.35">
      <c r="A262">
        <v>2261</v>
      </c>
      <c r="B262" t="s">
        <v>293</v>
      </c>
      <c r="C262" t="s">
        <v>33</v>
      </c>
      <c r="D262" t="s">
        <v>18</v>
      </c>
      <c r="E262">
        <v>45980</v>
      </c>
      <c r="F262">
        <v>35906</v>
      </c>
      <c r="G262">
        <v>27200</v>
      </c>
      <c r="H262" t="s">
        <v>29</v>
      </c>
      <c r="I262" t="str" cm="1">
        <f t="array" ref="I262">_xlfn.IFS(G262=0,"Not Paid",G262=F262,"Fully Paid",G262&lt;F262,"Partially Paid")</f>
        <v>Partially Paid</v>
      </c>
      <c r="J262" t="str">
        <f t="shared" si="4"/>
        <v>NO</v>
      </c>
    </row>
    <row r="263" spans="1:10" x14ac:dyDescent="0.35">
      <c r="A263">
        <v>2262</v>
      </c>
      <c r="B263" t="s">
        <v>294</v>
      </c>
      <c r="C263" t="s">
        <v>13</v>
      </c>
      <c r="D263" t="s">
        <v>18</v>
      </c>
      <c r="E263">
        <v>45837</v>
      </c>
      <c r="F263">
        <v>40536</v>
      </c>
      <c r="G263">
        <v>27017</v>
      </c>
      <c r="H263" t="s">
        <v>67</v>
      </c>
      <c r="I263" t="str" cm="1">
        <f t="array" ref="I263">_xlfn.IFS(G263=0,"Not Paid",G263=F263,"Fully Paid",G263&lt;F263,"Partially Paid")</f>
        <v>Partially Paid</v>
      </c>
      <c r="J263" t="str">
        <f t="shared" si="4"/>
        <v>NO</v>
      </c>
    </row>
    <row r="264" spans="1:10" x14ac:dyDescent="0.35">
      <c r="A264">
        <v>2263</v>
      </c>
      <c r="B264" t="s">
        <v>295</v>
      </c>
      <c r="C264" t="s">
        <v>45</v>
      </c>
      <c r="D264" t="s">
        <v>27</v>
      </c>
      <c r="E264">
        <v>45847</v>
      </c>
      <c r="F264">
        <v>47810</v>
      </c>
      <c r="G264">
        <v>43006</v>
      </c>
      <c r="H264" t="s">
        <v>43</v>
      </c>
      <c r="I264" t="str" cm="1">
        <f t="array" ref="I264">_xlfn.IFS(G264=0,"Not Paid",G264=F264,"Fully Paid",G264&lt;F264,"Partially Paid")</f>
        <v>Partially Paid</v>
      </c>
      <c r="J264" t="str">
        <f t="shared" si="4"/>
        <v>NO</v>
      </c>
    </row>
    <row r="265" spans="1:10" x14ac:dyDescent="0.35">
      <c r="A265">
        <v>2264</v>
      </c>
      <c r="B265" t="s">
        <v>296</v>
      </c>
      <c r="C265" t="s">
        <v>9</v>
      </c>
      <c r="D265" t="s">
        <v>14</v>
      </c>
      <c r="E265">
        <v>45811</v>
      </c>
      <c r="F265">
        <v>32306</v>
      </c>
      <c r="G265">
        <v>20918</v>
      </c>
      <c r="H265" t="s">
        <v>67</v>
      </c>
      <c r="I265" t="str" cm="1">
        <f t="array" ref="I265">_xlfn.IFS(G265=0,"Not Paid",G265=F265,"Fully Paid",G265&lt;F265,"Partially Paid")</f>
        <v>Partially Paid</v>
      </c>
      <c r="J265" t="str">
        <f t="shared" si="4"/>
        <v>NO</v>
      </c>
    </row>
    <row r="266" spans="1:10" x14ac:dyDescent="0.35">
      <c r="A266">
        <v>2265</v>
      </c>
      <c r="B266" t="s">
        <v>297</v>
      </c>
      <c r="C266" t="s">
        <v>17</v>
      </c>
      <c r="D266" t="s">
        <v>10</v>
      </c>
      <c r="E266">
        <v>45853</v>
      </c>
      <c r="F266">
        <v>30503</v>
      </c>
      <c r="G266">
        <v>16030</v>
      </c>
      <c r="H266" t="s">
        <v>43</v>
      </c>
      <c r="I266" t="str" cm="1">
        <f t="array" ref="I266">_xlfn.IFS(G266=0,"Not Paid",G266=F266,"Fully Paid",G266&lt;F266,"Partially Paid")</f>
        <v>Partially Paid</v>
      </c>
      <c r="J266" t="str">
        <f t="shared" si="4"/>
        <v>NO</v>
      </c>
    </row>
    <row r="267" spans="1:10" x14ac:dyDescent="0.35">
      <c r="A267">
        <v>2266</v>
      </c>
      <c r="B267" t="s">
        <v>298</v>
      </c>
      <c r="C267" t="s">
        <v>56</v>
      </c>
      <c r="D267" t="s">
        <v>37</v>
      </c>
      <c r="E267">
        <v>45968</v>
      </c>
      <c r="F267">
        <v>39225</v>
      </c>
      <c r="G267">
        <v>26599</v>
      </c>
      <c r="H267" t="s">
        <v>29</v>
      </c>
      <c r="I267" t="str" cm="1">
        <f t="array" ref="I267">_xlfn.IFS(G267=0,"Not Paid",G267=F267,"Fully Paid",G267&lt;F267,"Partially Paid")</f>
        <v>Partially Paid</v>
      </c>
      <c r="J267" t="str">
        <f t="shared" si="4"/>
        <v>NO</v>
      </c>
    </row>
    <row r="268" spans="1:10" x14ac:dyDescent="0.35">
      <c r="A268">
        <v>2267</v>
      </c>
      <c r="B268" t="s">
        <v>299</v>
      </c>
      <c r="C268" t="s">
        <v>56</v>
      </c>
      <c r="D268" t="s">
        <v>27</v>
      </c>
      <c r="E268">
        <v>45919</v>
      </c>
      <c r="F268">
        <v>56976</v>
      </c>
      <c r="G268">
        <v>46200</v>
      </c>
      <c r="H268" t="s">
        <v>53</v>
      </c>
      <c r="I268" t="str" cm="1">
        <f t="array" ref="I268">_xlfn.IFS(G268=0,"Not Paid",G268=F268,"Fully Paid",G268&lt;F268,"Partially Paid")</f>
        <v>Partially Paid</v>
      </c>
      <c r="J268" t="str">
        <f t="shared" si="4"/>
        <v>YES</v>
      </c>
    </row>
    <row r="269" spans="1:10" x14ac:dyDescent="0.35">
      <c r="A269">
        <v>2268</v>
      </c>
      <c r="B269" t="s">
        <v>300</v>
      </c>
      <c r="C269" t="s">
        <v>24</v>
      </c>
      <c r="D269" t="s">
        <v>14</v>
      </c>
      <c r="E269">
        <v>45800</v>
      </c>
      <c r="F269">
        <v>31590</v>
      </c>
      <c r="G269">
        <v>31523</v>
      </c>
      <c r="H269" t="s">
        <v>31</v>
      </c>
      <c r="I269" t="str" cm="1">
        <f t="array" ref="I269">_xlfn.IFS(G269=0,"Not Paid",G269=F269,"Fully Paid",G269&lt;F269,"Partially Paid")</f>
        <v>Partially Paid</v>
      </c>
      <c r="J269" t="str">
        <f t="shared" si="4"/>
        <v>NO</v>
      </c>
    </row>
    <row r="270" spans="1:10" x14ac:dyDescent="0.35">
      <c r="A270">
        <v>2269</v>
      </c>
      <c r="B270" t="s">
        <v>301</v>
      </c>
      <c r="C270" t="s">
        <v>45</v>
      </c>
      <c r="D270" t="s">
        <v>10</v>
      </c>
      <c r="E270">
        <v>45999</v>
      </c>
      <c r="F270">
        <v>30886</v>
      </c>
      <c r="G270">
        <v>21098</v>
      </c>
      <c r="H270" t="s">
        <v>25</v>
      </c>
      <c r="I270" t="str" cm="1">
        <f t="array" ref="I270">_xlfn.IFS(G270=0,"Not Paid",G270=F270,"Fully Paid",G270&lt;F270,"Partially Paid")</f>
        <v>Partially Paid</v>
      </c>
      <c r="J270" t="str">
        <f t="shared" si="4"/>
        <v>NO</v>
      </c>
    </row>
    <row r="271" spans="1:10" x14ac:dyDescent="0.35">
      <c r="A271">
        <v>2270</v>
      </c>
      <c r="B271" t="s">
        <v>302</v>
      </c>
      <c r="C271" t="s">
        <v>33</v>
      </c>
      <c r="D271" t="s">
        <v>10</v>
      </c>
      <c r="E271">
        <v>45973</v>
      </c>
      <c r="F271">
        <v>32866</v>
      </c>
      <c r="G271">
        <v>27206</v>
      </c>
      <c r="H271" t="s">
        <v>29</v>
      </c>
      <c r="I271" t="str" cm="1">
        <f t="array" ref="I271">_xlfn.IFS(G271=0,"Not Paid",G271=F271,"Fully Paid",G271&lt;F271,"Partially Paid")</f>
        <v>Partially Paid</v>
      </c>
      <c r="J271" t="str">
        <f t="shared" si="4"/>
        <v>NO</v>
      </c>
    </row>
    <row r="272" spans="1:10" x14ac:dyDescent="0.35">
      <c r="A272">
        <v>2271</v>
      </c>
      <c r="B272" t="s">
        <v>303</v>
      </c>
      <c r="C272" t="s">
        <v>17</v>
      </c>
      <c r="D272" t="s">
        <v>27</v>
      </c>
      <c r="E272">
        <v>45758</v>
      </c>
      <c r="F272">
        <v>21088</v>
      </c>
      <c r="G272">
        <v>16610</v>
      </c>
      <c r="H272" t="s">
        <v>11</v>
      </c>
      <c r="I272" t="str" cm="1">
        <f t="array" ref="I272">_xlfn.IFS(G272=0,"Not Paid",G272=F272,"Fully Paid",G272&lt;F272,"Partially Paid")</f>
        <v>Partially Paid</v>
      </c>
      <c r="J272" t="str">
        <f t="shared" si="4"/>
        <v>NO</v>
      </c>
    </row>
    <row r="273" spans="1:10" x14ac:dyDescent="0.35">
      <c r="A273">
        <v>2272</v>
      </c>
      <c r="B273" t="s">
        <v>304</v>
      </c>
      <c r="C273" t="s">
        <v>13</v>
      </c>
      <c r="D273" t="s">
        <v>21</v>
      </c>
      <c r="E273">
        <v>45901</v>
      </c>
      <c r="F273">
        <v>23363</v>
      </c>
      <c r="G273">
        <v>15153</v>
      </c>
      <c r="H273" t="s">
        <v>53</v>
      </c>
      <c r="I273" t="str" cm="1">
        <f t="array" ref="I273">_xlfn.IFS(G273=0,"Not Paid",G273=F273,"Fully Paid",G273&lt;F273,"Partially Paid")</f>
        <v>Partially Paid</v>
      </c>
      <c r="J273" t="str">
        <f t="shared" si="4"/>
        <v>NO</v>
      </c>
    </row>
    <row r="274" spans="1:10" x14ac:dyDescent="0.35">
      <c r="A274">
        <v>2273</v>
      </c>
      <c r="B274" t="s">
        <v>305</v>
      </c>
      <c r="C274" t="s">
        <v>33</v>
      </c>
      <c r="D274" t="s">
        <v>37</v>
      </c>
      <c r="E274">
        <v>45669</v>
      </c>
      <c r="F274">
        <v>52792</v>
      </c>
      <c r="G274">
        <v>41870</v>
      </c>
      <c r="H274" t="s">
        <v>15</v>
      </c>
      <c r="I274" t="str" cm="1">
        <f t="array" ref="I274">_xlfn.IFS(G274=0,"Not Paid",G274=F274,"Fully Paid",G274&lt;F274,"Partially Paid")</f>
        <v>Partially Paid</v>
      </c>
      <c r="J274" t="str">
        <f t="shared" si="4"/>
        <v>YES</v>
      </c>
    </row>
    <row r="275" spans="1:10" x14ac:dyDescent="0.35">
      <c r="A275">
        <v>2274</v>
      </c>
      <c r="B275" t="s">
        <v>306</v>
      </c>
      <c r="C275" t="s">
        <v>45</v>
      </c>
      <c r="D275" t="s">
        <v>10</v>
      </c>
      <c r="E275">
        <v>45896</v>
      </c>
      <c r="F275">
        <v>29764</v>
      </c>
      <c r="G275">
        <v>26243</v>
      </c>
      <c r="H275" t="s">
        <v>38</v>
      </c>
      <c r="I275" t="str" cm="1">
        <f t="array" ref="I275">_xlfn.IFS(G275=0,"Not Paid",G275=F275,"Fully Paid",G275&lt;F275,"Partially Paid")</f>
        <v>Partially Paid</v>
      </c>
      <c r="J275" t="str">
        <f t="shared" si="4"/>
        <v>NO</v>
      </c>
    </row>
    <row r="276" spans="1:10" x14ac:dyDescent="0.35">
      <c r="A276">
        <v>2275</v>
      </c>
      <c r="B276" t="s">
        <v>307</v>
      </c>
      <c r="C276" t="s">
        <v>9</v>
      </c>
      <c r="D276" t="s">
        <v>27</v>
      </c>
      <c r="E276">
        <v>45706</v>
      </c>
      <c r="F276">
        <v>40620</v>
      </c>
      <c r="G276">
        <v>26211</v>
      </c>
      <c r="H276" t="s">
        <v>77</v>
      </c>
      <c r="I276" t="str" cm="1">
        <f t="array" ref="I276">_xlfn.IFS(G276=0,"Not Paid",G276=F276,"Fully Paid",G276&lt;F276,"Partially Paid")</f>
        <v>Partially Paid</v>
      </c>
      <c r="J276" t="str">
        <f t="shared" si="4"/>
        <v>NO</v>
      </c>
    </row>
    <row r="277" spans="1:10" x14ac:dyDescent="0.35">
      <c r="A277">
        <v>2276</v>
      </c>
      <c r="B277" t="s">
        <v>308</v>
      </c>
      <c r="C277" t="s">
        <v>13</v>
      </c>
      <c r="D277" t="s">
        <v>27</v>
      </c>
      <c r="E277">
        <v>45699</v>
      </c>
      <c r="F277">
        <v>32935</v>
      </c>
      <c r="G277">
        <v>32363</v>
      </c>
      <c r="H277" t="s">
        <v>77</v>
      </c>
      <c r="I277" t="str" cm="1">
        <f t="array" ref="I277">_xlfn.IFS(G277=0,"Not Paid",G277=F277,"Fully Paid",G277&lt;F277,"Partially Paid")</f>
        <v>Partially Paid</v>
      </c>
      <c r="J277" t="str">
        <f t="shared" si="4"/>
        <v>NO</v>
      </c>
    </row>
    <row r="278" spans="1:10" x14ac:dyDescent="0.35">
      <c r="A278">
        <v>2277</v>
      </c>
      <c r="B278" t="s">
        <v>309</v>
      </c>
      <c r="C278" t="s">
        <v>9</v>
      </c>
      <c r="D278" t="s">
        <v>14</v>
      </c>
      <c r="E278">
        <v>45823</v>
      </c>
      <c r="F278">
        <v>28068</v>
      </c>
      <c r="G278">
        <v>20986</v>
      </c>
      <c r="H278" t="s">
        <v>67</v>
      </c>
      <c r="I278" t="str" cm="1">
        <f t="array" ref="I278">_xlfn.IFS(G278=0,"Not Paid",G278=F278,"Fully Paid",G278&lt;F278,"Partially Paid")</f>
        <v>Partially Paid</v>
      </c>
      <c r="J278" t="str">
        <f t="shared" si="4"/>
        <v>NO</v>
      </c>
    </row>
    <row r="279" spans="1:10" x14ac:dyDescent="0.35">
      <c r="A279">
        <v>2278</v>
      </c>
      <c r="B279" t="s">
        <v>310</v>
      </c>
      <c r="C279" t="s">
        <v>24</v>
      </c>
      <c r="D279" t="s">
        <v>21</v>
      </c>
      <c r="E279">
        <v>45739</v>
      </c>
      <c r="F279">
        <v>27295</v>
      </c>
      <c r="G279">
        <v>19463</v>
      </c>
      <c r="H279" t="s">
        <v>19</v>
      </c>
      <c r="I279" t="str" cm="1">
        <f t="array" ref="I279">_xlfn.IFS(G279=0,"Not Paid",G279=F279,"Fully Paid",G279&lt;F279,"Partially Paid")</f>
        <v>Partially Paid</v>
      </c>
      <c r="J279" t="str">
        <f t="shared" si="4"/>
        <v>NO</v>
      </c>
    </row>
    <row r="280" spans="1:10" x14ac:dyDescent="0.35">
      <c r="A280">
        <v>2279</v>
      </c>
      <c r="B280" t="s">
        <v>311</v>
      </c>
      <c r="C280" t="s">
        <v>24</v>
      </c>
      <c r="D280" t="s">
        <v>37</v>
      </c>
      <c r="E280">
        <v>45948</v>
      </c>
      <c r="F280">
        <v>31390</v>
      </c>
      <c r="G280">
        <v>25995</v>
      </c>
      <c r="H280" t="s">
        <v>22</v>
      </c>
      <c r="I280" t="str" cm="1">
        <f t="array" ref="I280">_xlfn.IFS(G280=0,"Not Paid",G280=F280,"Fully Paid",G280&lt;F280,"Partially Paid")</f>
        <v>Partially Paid</v>
      </c>
      <c r="J280" t="str">
        <f t="shared" si="4"/>
        <v>NO</v>
      </c>
    </row>
    <row r="281" spans="1:10" x14ac:dyDescent="0.35">
      <c r="A281">
        <v>2280</v>
      </c>
      <c r="B281" t="s">
        <v>312</v>
      </c>
      <c r="C281" t="s">
        <v>56</v>
      </c>
      <c r="D281" t="s">
        <v>18</v>
      </c>
      <c r="E281">
        <v>45815</v>
      </c>
      <c r="F281">
        <v>40131</v>
      </c>
      <c r="G281">
        <v>37873</v>
      </c>
      <c r="H281" t="s">
        <v>67</v>
      </c>
      <c r="I281" t="str" cm="1">
        <f t="array" ref="I281">_xlfn.IFS(G281=0,"Not Paid",G281=F281,"Fully Paid",G281&lt;F281,"Partially Paid")</f>
        <v>Partially Paid</v>
      </c>
      <c r="J281" t="str">
        <f t="shared" si="4"/>
        <v>NO</v>
      </c>
    </row>
    <row r="282" spans="1:10" x14ac:dyDescent="0.35">
      <c r="A282">
        <v>2281</v>
      </c>
      <c r="B282" t="s">
        <v>313</v>
      </c>
      <c r="C282" t="s">
        <v>9</v>
      </c>
      <c r="D282" t="s">
        <v>14</v>
      </c>
      <c r="E282">
        <v>45873</v>
      </c>
      <c r="F282">
        <v>49218</v>
      </c>
      <c r="G282">
        <v>38124</v>
      </c>
      <c r="H282" t="s">
        <v>38</v>
      </c>
      <c r="I282" t="str" cm="1">
        <f t="array" ref="I282">_xlfn.IFS(G282=0,"Not Paid",G282=F282,"Fully Paid",G282&lt;F282,"Partially Paid")</f>
        <v>Partially Paid</v>
      </c>
      <c r="J282" t="str">
        <f t="shared" si="4"/>
        <v>NO</v>
      </c>
    </row>
    <row r="283" spans="1:10" x14ac:dyDescent="0.35">
      <c r="A283">
        <v>2282</v>
      </c>
      <c r="B283" t="s">
        <v>314</v>
      </c>
      <c r="C283" t="s">
        <v>45</v>
      </c>
      <c r="D283" t="s">
        <v>10</v>
      </c>
      <c r="E283">
        <v>45815</v>
      </c>
      <c r="F283">
        <v>30433</v>
      </c>
      <c r="G283">
        <v>24394</v>
      </c>
      <c r="H283" t="s">
        <v>67</v>
      </c>
      <c r="I283" t="str" cm="1">
        <f t="array" ref="I283">_xlfn.IFS(G283=0,"Not Paid",G283=F283,"Fully Paid",G283&lt;F283,"Partially Paid")</f>
        <v>Partially Paid</v>
      </c>
      <c r="J283" t="str">
        <f t="shared" si="4"/>
        <v>NO</v>
      </c>
    </row>
    <row r="284" spans="1:10" x14ac:dyDescent="0.35">
      <c r="A284">
        <v>2283</v>
      </c>
      <c r="B284" t="s">
        <v>315</v>
      </c>
      <c r="C284" t="s">
        <v>17</v>
      </c>
      <c r="D284" t="s">
        <v>10</v>
      </c>
      <c r="E284">
        <v>45791</v>
      </c>
      <c r="F284">
        <v>35038</v>
      </c>
      <c r="G284">
        <v>34388</v>
      </c>
      <c r="H284" t="s">
        <v>31</v>
      </c>
      <c r="I284" t="str" cm="1">
        <f t="array" ref="I284">_xlfn.IFS(G284=0,"Not Paid",G284=F284,"Fully Paid",G284&lt;F284,"Partially Paid")</f>
        <v>Partially Paid</v>
      </c>
      <c r="J284" t="str">
        <f t="shared" si="4"/>
        <v>NO</v>
      </c>
    </row>
    <row r="285" spans="1:10" x14ac:dyDescent="0.35">
      <c r="A285">
        <v>2284</v>
      </c>
      <c r="B285" t="s">
        <v>316</v>
      </c>
      <c r="C285" t="s">
        <v>13</v>
      </c>
      <c r="D285" t="s">
        <v>14</v>
      </c>
      <c r="E285">
        <v>45724</v>
      </c>
      <c r="F285">
        <v>48182</v>
      </c>
      <c r="G285">
        <v>42441</v>
      </c>
      <c r="H285" t="s">
        <v>19</v>
      </c>
      <c r="I285" t="str" cm="1">
        <f t="array" ref="I285">_xlfn.IFS(G285=0,"Not Paid",G285=F285,"Fully Paid",G285&lt;F285,"Partially Paid")</f>
        <v>Partially Paid</v>
      </c>
      <c r="J285" t="str">
        <f t="shared" si="4"/>
        <v>NO</v>
      </c>
    </row>
    <row r="286" spans="1:10" x14ac:dyDescent="0.35">
      <c r="A286">
        <v>2285</v>
      </c>
      <c r="B286" t="s">
        <v>317</v>
      </c>
      <c r="C286" t="s">
        <v>33</v>
      </c>
      <c r="D286" t="s">
        <v>27</v>
      </c>
      <c r="E286">
        <v>45993</v>
      </c>
      <c r="F286">
        <v>31528</v>
      </c>
      <c r="G286">
        <v>18247</v>
      </c>
      <c r="H286" t="s">
        <v>25</v>
      </c>
      <c r="I286" t="str" cm="1">
        <f t="array" ref="I286">_xlfn.IFS(G286=0,"Not Paid",G286=F286,"Fully Paid",G286&lt;F286,"Partially Paid")</f>
        <v>Partially Paid</v>
      </c>
      <c r="J286" t="str">
        <f t="shared" si="4"/>
        <v>NO</v>
      </c>
    </row>
    <row r="287" spans="1:10" x14ac:dyDescent="0.35">
      <c r="A287">
        <v>2286</v>
      </c>
      <c r="B287" t="s">
        <v>318</v>
      </c>
      <c r="C287" t="s">
        <v>45</v>
      </c>
      <c r="D287" t="s">
        <v>10</v>
      </c>
      <c r="E287">
        <v>45664</v>
      </c>
      <c r="F287">
        <v>41281</v>
      </c>
      <c r="G287">
        <v>34443</v>
      </c>
      <c r="H287" t="s">
        <v>15</v>
      </c>
      <c r="I287" t="str" cm="1">
        <f t="array" ref="I287">_xlfn.IFS(G287=0,"Not Paid",G287=F287,"Fully Paid",G287&lt;F287,"Partially Paid")</f>
        <v>Partially Paid</v>
      </c>
      <c r="J287" t="str">
        <f t="shared" si="4"/>
        <v>NO</v>
      </c>
    </row>
    <row r="288" spans="1:10" x14ac:dyDescent="0.35">
      <c r="A288">
        <v>2287</v>
      </c>
      <c r="B288" t="s">
        <v>319</v>
      </c>
      <c r="C288" t="s">
        <v>45</v>
      </c>
      <c r="D288" t="s">
        <v>21</v>
      </c>
      <c r="E288">
        <v>45671</v>
      </c>
      <c r="F288">
        <v>28605</v>
      </c>
      <c r="G288">
        <v>26018</v>
      </c>
      <c r="H288" t="s">
        <v>15</v>
      </c>
      <c r="I288" t="str" cm="1">
        <f t="array" ref="I288">_xlfn.IFS(G288=0,"Not Paid",G288=F288,"Fully Paid",G288&lt;F288,"Partially Paid")</f>
        <v>Partially Paid</v>
      </c>
      <c r="J288" t="str">
        <f t="shared" si="4"/>
        <v>NO</v>
      </c>
    </row>
    <row r="289" spans="1:10" x14ac:dyDescent="0.35">
      <c r="A289">
        <v>2288</v>
      </c>
      <c r="B289" t="s">
        <v>320</v>
      </c>
      <c r="C289" t="s">
        <v>24</v>
      </c>
      <c r="D289" t="s">
        <v>37</v>
      </c>
      <c r="E289">
        <v>45730</v>
      </c>
      <c r="F289">
        <v>54782</v>
      </c>
      <c r="G289">
        <v>46906</v>
      </c>
      <c r="H289" t="s">
        <v>19</v>
      </c>
      <c r="I289" t="str" cm="1">
        <f t="array" ref="I289">_xlfn.IFS(G289=0,"Not Paid",G289=F289,"Fully Paid",G289&lt;F289,"Partially Paid")</f>
        <v>Partially Paid</v>
      </c>
      <c r="J289" t="str">
        <f t="shared" si="4"/>
        <v>YES</v>
      </c>
    </row>
    <row r="290" spans="1:10" x14ac:dyDescent="0.35">
      <c r="A290">
        <v>2289</v>
      </c>
      <c r="B290" t="s">
        <v>321</v>
      </c>
      <c r="C290" t="s">
        <v>9</v>
      </c>
      <c r="D290" t="s">
        <v>21</v>
      </c>
      <c r="E290">
        <v>45820</v>
      </c>
      <c r="F290">
        <v>21381</v>
      </c>
      <c r="G290">
        <v>18119</v>
      </c>
      <c r="H290" t="s">
        <v>67</v>
      </c>
      <c r="I290" t="str" cm="1">
        <f t="array" ref="I290">_xlfn.IFS(G290=0,"Not Paid",G290=F290,"Fully Paid",G290&lt;F290,"Partially Paid")</f>
        <v>Partially Paid</v>
      </c>
      <c r="J290" t="str">
        <f t="shared" si="4"/>
        <v>NO</v>
      </c>
    </row>
    <row r="291" spans="1:10" x14ac:dyDescent="0.35">
      <c r="A291">
        <v>2290</v>
      </c>
      <c r="B291" t="s">
        <v>322</v>
      </c>
      <c r="C291" t="s">
        <v>56</v>
      </c>
      <c r="D291" t="s">
        <v>10</v>
      </c>
      <c r="E291">
        <v>45723</v>
      </c>
      <c r="F291">
        <v>21098</v>
      </c>
      <c r="G291">
        <v>19760</v>
      </c>
      <c r="H291" t="s">
        <v>19</v>
      </c>
      <c r="I291" t="str" cm="1">
        <f t="array" ref="I291">_xlfn.IFS(G291=0,"Not Paid",G291=F291,"Fully Paid",G291&lt;F291,"Partially Paid")</f>
        <v>Partially Paid</v>
      </c>
      <c r="J291" t="str">
        <f t="shared" si="4"/>
        <v>NO</v>
      </c>
    </row>
    <row r="292" spans="1:10" x14ac:dyDescent="0.35">
      <c r="A292">
        <v>2291</v>
      </c>
      <c r="B292" t="s">
        <v>323</v>
      </c>
      <c r="C292" t="s">
        <v>56</v>
      </c>
      <c r="D292" t="s">
        <v>18</v>
      </c>
      <c r="E292">
        <v>46004</v>
      </c>
      <c r="F292">
        <v>39810</v>
      </c>
      <c r="G292">
        <v>34814</v>
      </c>
      <c r="H292" t="s">
        <v>25</v>
      </c>
      <c r="I292" t="str" cm="1">
        <f t="array" ref="I292">_xlfn.IFS(G292=0,"Not Paid",G292=F292,"Fully Paid",G292&lt;F292,"Partially Paid")</f>
        <v>Partially Paid</v>
      </c>
      <c r="J292" t="str">
        <f t="shared" si="4"/>
        <v>NO</v>
      </c>
    </row>
    <row r="293" spans="1:10" x14ac:dyDescent="0.35">
      <c r="A293">
        <v>2292</v>
      </c>
      <c r="B293" t="s">
        <v>324</v>
      </c>
      <c r="C293" t="s">
        <v>13</v>
      </c>
      <c r="D293" t="s">
        <v>37</v>
      </c>
      <c r="E293">
        <v>45787</v>
      </c>
      <c r="F293">
        <v>44322</v>
      </c>
      <c r="G293">
        <v>32496</v>
      </c>
      <c r="H293" t="s">
        <v>31</v>
      </c>
      <c r="I293" t="str" cm="1">
        <f t="array" ref="I293">_xlfn.IFS(G293=0,"Not Paid",G293=F293,"Fully Paid",G293&lt;F293,"Partially Paid")</f>
        <v>Partially Paid</v>
      </c>
      <c r="J293" t="str">
        <f t="shared" si="4"/>
        <v>NO</v>
      </c>
    </row>
    <row r="294" spans="1:10" x14ac:dyDescent="0.35">
      <c r="A294">
        <v>2293</v>
      </c>
      <c r="B294" t="s">
        <v>325</v>
      </c>
      <c r="C294" t="s">
        <v>24</v>
      </c>
      <c r="D294" t="s">
        <v>37</v>
      </c>
      <c r="E294">
        <v>45863</v>
      </c>
      <c r="F294">
        <v>52955</v>
      </c>
      <c r="G294">
        <v>47175</v>
      </c>
      <c r="H294" t="s">
        <v>43</v>
      </c>
      <c r="I294" t="str" cm="1">
        <f t="array" ref="I294">_xlfn.IFS(G294=0,"Not Paid",G294=F294,"Fully Paid",G294&lt;F294,"Partially Paid")</f>
        <v>Partially Paid</v>
      </c>
      <c r="J294" t="str">
        <f t="shared" si="4"/>
        <v>YES</v>
      </c>
    </row>
    <row r="295" spans="1:10" x14ac:dyDescent="0.35">
      <c r="A295">
        <v>2294</v>
      </c>
      <c r="B295" t="s">
        <v>326</v>
      </c>
      <c r="C295" t="s">
        <v>45</v>
      </c>
      <c r="D295" t="s">
        <v>14</v>
      </c>
      <c r="E295">
        <v>45933</v>
      </c>
      <c r="F295">
        <v>30207</v>
      </c>
      <c r="G295">
        <v>27380</v>
      </c>
      <c r="H295" t="s">
        <v>22</v>
      </c>
      <c r="I295" t="str" cm="1">
        <f t="array" ref="I295">_xlfn.IFS(G295=0,"Not Paid",G295=F295,"Fully Paid",G295&lt;F295,"Partially Paid")</f>
        <v>Partially Paid</v>
      </c>
      <c r="J295" t="str">
        <f t="shared" si="4"/>
        <v>NO</v>
      </c>
    </row>
    <row r="296" spans="1:10" x14ac:dyDescent="0.35">
      <c r="A296">
        <v>2295</v>
      </c>
      <c r="B296" t="s">
        <v>327</v>
      </c>
      <c r="C296" t="s">
        <v>17</v>
      </c>
      <c r="D296" t="s">
        <v>14</v>
      </c>
      <c r="E296">
        <v>45913</v>
      </c>
      <c r="F296">
        <v>41793</v>
      </c>
      <c r="G296">
        <v>27920</v>
      </c>
      <c r="H296" t="s">
        <v>53</v>
      </c>
      <c r="I296" t="str" cm="1">
        <f t="array" ref="I296">_xlfn.IFS(G296=0,"Not Paid",G296=F296,"Fully Paid",G296&lt;F296,"Partially Paid")</f>
        <v>Partially Paid</v>
      </c>
      <c r="J296" t="str">
        <f t="shared" si="4"/>
        <v>NO</v>
      </c>
    </row>
    <row r="297" spans="1:10" x14ac:dyDescent="0.35">
      <c r="A297">
        <v>2296</v>
      </c>
      <c r="B297" t="s">
        <v>328</v>
      </c>
      <c r="C297" t="s">
        <v>24</v>
      </c>
      <c r="D297" t="s">
        <v>18</v>
      </c>
      <c r="E297">
        <v>45923</v>
      </c>
      <c r="F297">
        <v>22092</v>
      </c>
      <c r="G297">
        <v>7881</v>
      </c>
      <c r="H297" t="s">
        <v>53</v>
      </c>
      <c r="I297" t="str" cm="1">
        <f t="array" ref="I297">_xlfn.IFS(G297=0,"Not Paid",G297=F297,"Fully Paid",G297&lt;F297,"Partially Paid")</f>
        <v>Partially Paid</v>
      </c>
      <c r="J297" t="str">
        <f t="shared" si="4"/>
        <v>NO</v>
      </c>
    </row>
    <row r="298" spans="1:10" x14ac:dyDescent="0.35">
      <c r="A298">
        <v>2297</v>
      </c>
      <c r="B298" t="s">
        <v>329</v>
      </c>
      <c r="C298" t="s">
        <v>13</v>
      </c>
      <c r="D298" t="s">
        <v>27</v>
      </c>
      <c r="E298">
        <v>45682</v>
      </c>
      <c r="F298">
        <v>48220</v>
      </c>
      <c r="G298">
        <v>34151</v>
      </c>
      <c r="H298" t="s">
        <v>15</v>
      </c>
      <c r="I298" t="str" cm="1">
        <f t="array" ref="I298">_xlfn.IFS(G298=0,"Not Paid",G298=F298,"Fully Paid",G298&lt;F298,"Partially Paid")</f>
        <v>Partially Paid</v>
      </c>
      <c r="J298" t="str">
        <f t="shared" si="4"/>
        <v>NO</v>
      </c>
    </row>
    <row r="299" spans="1:10" x14ac:dyDescent="0.35">
      <c r="A299">
        <v>2298</v>
      </c>
      <c r="B299" t="s">
        <v>330</v>
      </c>
      <c r="C299" t="s">
        <v>13</v>
      </c>
      <c r="D299" t="s">
        <v>37</v>
      </c>
      <c r="E299">
        <v>45938</v>
      </c>
      <c r="F299">
        <v>38514</v>
      </c>
      <c r="G299">
        <v>33282</v>
      </c>
      <c r="H299" t="s">
        <v>22</v>
      </c>
      <c r="I299" t="str" cm="1">
        <f t="array" ref="I299">_xlfn.IFS(G299=0,"Not Paid",G299=F299,"Fully Paid",G299&lt;F299,"Partially Paid")</f>
        <v>Partially Paid</v>
      </c>
      <c r="J299" t="str">
        <f t="shared" si="4"/>
        <v>NO</v>
      </c>
    </row>
    <row r="300" spans="1:10" x14ac:dyDescent="0.35">
      <c r="A300">
        <v>2299</v>
      </c>
      <c r="B300" t="s">
        <v>331</v>
      </c>
      <c r="C300" t="s">
        <v>24</v>
      </c>
      <c r="D300" t="s">
        <v>18</v>
      </c>
      <c r="E300">
        <v>45910</v>
      </c>
      <c r="F300">
        <v>58010</v>
      </c>
      <c r="G300">
        <v>55793</v>
      </c>
      <c r="H300" t="s">
        <v>53</v>
      </c>
      <c r="I300" t="str" cm="1">
        <f t="array" ref="I300">_xlfn.IFS(G300=0,"Not Paid",G300=F300,"Fully Paid",G300&lt;F300,"Partially Paid")</f>
        <v>Partially Paid</v>
      </c>
      <c r="J300" t="str">
        <f t="shared" si="4"/>
        <v>YES</v>
      </c>
    </row>
    <row r="301" spans="1:10" x14ac:dyDescent="0.35">
      <c r="A301">
        <v>2300</v>
      </c>
      <c r="B301" t="s">
        <v>332</v>
      </c>
      <c r="C301" t="s">
        <v>13</v>
      </c>
      <c r="D301" t="s">
        <v>14</v>
      </c>
      <c r="E301">
        <v>45967</v>
      </c>
      <c r="F301">
        <v>28549</v>
      </c>
      <c r="G301">
        <v>25010</v>
      </c>
      <c r="H301" t="s">
        <v>29</v>
      </c>
      <c r="I301" t="str" cm="1">
        <f t="array" ref="I301">_xlfn.IFS(G301=0,"Not Paid",G301=F301,"Fully Paid",G301&lt;F301,"Partially Paid")</f>
        <v>Partially Paid</v>
      </c>
      <c r="J301" t="str">
        <f t="shared" si="4"/>
        <v>NO</v>
      </c>
    </row>
    <row r="302" spans="1:10" x14ac:dyDescent="0.35">
      <c r="A302">
        <v>2301</v>
      </c>
      <c r="B302" t="s">
        <v>333</v>
      </c>
      <c r="C302" t="s">
        <v>24</v>
      </c>
      <c r="D302" t="s">
        <v>14</v>
      </c>
      <c r="E302">
        <v>45946</v>
      </c>
      <c r="F302">
        <v>42031</v>
      </c>
      <c r="G302">
        <v>34186</v>
      </c>
      <c r="H302" t="s">
        <v>22</v>
      </c>
      <c r="I302" t="str" cm="1">
        <f t="array" ref="I302">_xlfn.IFS(G302=0,"Not Paid",G302=F302,"Fully Paid",G302&lt;F302,"Partially Paid")</f>
        <v>Partially Paid</v>
      </c>
      <c r="J302" t="str">
        <f t="shared" si="4"/>
        <v>NO</v>
      </c>
    </row>
    <row r="303" spans="1:10" x14ac:dyDescent="0.35">
      <c r="A303">
        <v>2302</v>
      </c>
      <c r="B303" t="s">
        <v>334</v>
      </c>
      <c r="C303" t="s">
        <v>33</v>
      </c>
      <c r="D303" t="s">
        <v>37</v>
      </c>
      <c r="E303">
        <v>45821</v>
      </c>
      <c r="F303">
        <v>25185</v>
      </c>
      <c r="G303">
        <v>10953</v>
      </c>
      <c r="H303" t="s">
        <v>67</v>
      </c>
      <c r="I303" t="str" cm="1">
        <f t="array" ref="I303">_xlfn.IFS(G303=0,"Not Paid",G303=F303,"Fully Paid",G303&lt;F303,"Partially Paid")</f>
        <v>Partially Paid</v>
      </c>
      <c r="J303" t="str">
        <f t="shared" si="4"/>
        <v>NO</v>
      </c>
    </row>
    <row r="304" spans="1:10" x14ac:dyDescent="0.35">
      <c r="A304">
        <v>2303</v>
      </c>
      <c r="B304" t="s">
        <v>335</v>
      </c>
      <c r="C304" t="s">
        <v>24</v>
      </c>
      <c r="D304" t="s">
        <v>21</v>
      </c>
      <c r="E304">
        <v>45752</v>
      </c>
      <c r="F304">
        <v>35271</v>
      </c>
      <c r="G304">
        <v>26042</v>
      </c>
      <c r="H304" t="s">
        <v>11</v>
      </c>
      <c r="I304" t="str" cm="1">
        <f t="array" ref="I304">_xlfn.IFS(G304=0,"Not Paid",G304=F304,"Fully Paid",G304&lt;F304,"Partially Paid")</f>
        <v>Partially Paid</v>
      </c>
      <c r="J304" t="str">
        <f t="shared" si="4"/>
        <v>NO</v>
      </c>
    </row>
    <row r="305" spans="1:10" x14ac:dyDescent="0.35">
      <c r="A305">
        <v>2304</v>
      </c>
      <c r="B305" t="s">
        <v>336</v>
      </c>
      <c r="C305" t="s">
        <v>9</v>
      </c>
      <c r="D305" t="s">
        <v>10</v>
      </c>
      <c r="E305">
        <v>45927</v>
      </c>
      <c r="F305">
        <v>25776</v>
      </c>
      <c r="G305">
        <v>11750</v>
      </c>
      <c r="H305" t="s">
        <v>53</v>
      </c>
      <c r="I305" t="str" cm="1">
        <f t="array" ref="I305">_xlfn.IFS(G305=0,"Not Paid",G305=F305,"Fully Paid",G305&lt;F305,"Partially Paid")</f>
        <v>Partially Paid</v>
      </c>
      <c r="J305" t="str">
        <f t="shared" si="4"/>
        <v>NO</v>
      </c>
    </row>
    <row r="306" spans="1:10" x14ac:dyDescent="0.35">
      <c r="A306">
        <v>2305</v>
      </c>
      <c r="B306" t="s">
        <v>337</v>
      </c>
      <c r="C306" t="s">
        <v>24</v>
      </c>
      <c r="D306" t="s">
        <v>14</v>
      </c>
      <c r="E306">
        <v>45978</v>
      </c>
      <c r="F306">
        <v>32449</v>
      </c>
      <c r="G306">
        <v>28066</v>
      </c>
      <c r="H306" t="s">
        <v>29</v>
      </c>
      <c r="I306" t="str" cm="1">
        <f t="array" ref="I306">_xlfn.IFS(G306=0,"Not Paid",G306=F306,"Fully Paid",G306&lt;F306,"Partially Paid")</f>
        <v>Partially Paid</v>
      </c>
      <c r="J306" t="str">
        <f t="shared" si="4"/>
        <v>NO</v>
      </c>
    </row>
    <row r="307" spans="1:10" x14ac:dyDescent="0.35">
      <c r="A307">
        <v>2306</v>
      </c>
      <c r="B307" t="s">
        <v>338</v>
      </c>
      <c r="C307" t="s">
        <v>13</v>
      </c>
      <c r="D307" t="s">
        <v>27</v>
      </c>
      <c r="E307">
        <v>45767</v>
      </c>
      <c r="F307">
        <v>44297</v>
      </c>
      <c r="G307">
        <v>32127</v>
      </c>
      <c r="H307" t="s">
        <v>11</v>
      </c>
      <c r="I307" t="str" cm="1">
        <f t="array" ref="I307">_xlfn.IFS(G307=0,"Not Paid",G307=F307,"Fully Paid",G307&lt;F307,"Partially Paid")</f>
        <v>Partially Paid</v>
      </c>
      <c r="J307" t="str">
        <f t="shared" si="4"/>
        <v>NO</v>
      </c>
    </row>
    <row r="308" spans="1:10" x14ac:dyDescent="0.35">
      <c r="A308">
        <v>2307</v>
      </c>
      <c r="B308" t="s">
        <v>339</v>
      </c>
      <c r="C308" t="s">
        <v>9</v>
      </c>
      <c r="D308" t="s">
        <v>27</v>
      </c>
      <c r="E308">
        <v>45993</v>
      </c>
      <c r="F308">
        <v>35717</v>
      </c>
      <c r="G308">
        <v>21193</v>
      </c>
      <c r="H308" t="s">
        <v>25</v>
      </c>
      <c r="I308" t="str" cm="1">
        <f t="array" ref="I308">_xlfn.IFS(G308=0,"Not Paid",G308=F308,"Fully Paid",G308&lt;F308,"Partially Paid")</f>
        <v>Partially Paid</v>
      </c>
      <c r="J308" t="str">
        <f t="shared" si="4"/>
        <v>NO</v>
      </c>
    </row>
    <row r="309" spans="1:10" x14ac:dyDescent="0.35">
      <c r="A309">
        <v>2308</v>
      </c>
      <c r="B309" t="s">
        <v>340</v>
      </c>
      <c r="C309" t="s">
        <v>13</v>
      </c>
      <c r="D309" t="s">
        <v>14</v>
      </c>
      <c r="E309">
        <v>45967</v>
      </c>
      <c r="F309">
        <v>59233</v>
      </c>
      <c r="G309">
        <v>56272</v>
      </c>
      <c r="H309" t="s">
        <v>29</v>
      </c>
      <c r="I309" t="str" cm="1">
        <f t="array" ref="I309">_xlfn.IFS(G309=0,"Not Paid",G309=F309,"Fully Paid",G309&lt;F309,"Partially Paid")</f>
        <v>Partially Paid</v>
      </c>
      <c r="J309" t="str">
        <f t="shared" si="4"/>
        <v>YES</v>
      </c>
    </row>
    <row r="310" spans="1:10" x14ac:dyDescent="0.35">
      <c r="A310">
        <v>2309</v>
      </c>
      <c r="B310" t="s">
        <v>341</v>
      </c>
      <c r="C310" t="s">
        <v>56</v>
      </c>
      <c r="D310" t="s">
        <v>21</v>
      </c>
      <c r="E310">
        <v>45895</v>
      </c>
      <c r="F310">
        <v>30350</v>
      </c>
      <c r="G310">
        <v>27124</v>
      </c>
      <c r="H310" t="s">
        <v>38</v>
      </c>
      <c r="I310" t="str" cm="1">
        <f t="array" ref="I310">_xlfn.IFS(G310=0,"Not Paid",G310=F310,"Fully Paid",G310&lt;F310,"Partially Paid")</f>
        <v>Partially Paid</v>
      </c>
      <c r="J310" t="str">
        <f t="shared" si="4"/>
        <v>NO</v>
      </c>
    </row>
    <row r="311" spans="1:10" x14ac:dyDescent="0.35">
      <c r="A311">
        <v>2310</v>
      </c>
      <c r="B311" t="s">
        <v>342</v>
      </c>
      <c r="C311" t="s">
        <v>56</v>
      </c>
      <c r="D311" t="s">
        <v>21</v>
      </c>
      <c r="E311">
        <v>45682</v>
      </c>
      <c r="F311">
        <v>50622</v>
      </c>
      <c r="G311">
        <v>36744</v>
      </c>
      <c r="H311" t="s">
        <v>15</v>
      </c>
      <c r="I311" t="str" cm="1">
        <f t="array" ref="I311">_xlfn.IFS(G311=0,"Not Paid",G311=F311,"Fully Paid",G311&lt;F311,"Partially Paid")</f>
        <v>Partially Paid</v>
      </c>
      <c r="J311" t="str">
        <f t="shared" si="4"/>
        <v>YES</v>
      </c>
    </row>
    <row r="312" spans="1:10" x14ac:dyDescent="0.35">
      <c r="A312">
        <v>2311</v>
      </c>
      <c r="B312" t="s">
        <v>343</v>
      </c>
      <c r="C312" t="s">
        <v>9</v>
      </c>
      <c r="D312" t="s">
        <v>18</v>
      </c>
      <c r="E312">
        <v>45798</v>
      </c>
      <c r="F312">
        <v>55323</v>
      </c>
      <c r="G312">
        <v>48486</v>
      </c>
      <c r="H312" t="s">
        <v>31</v>
      </c>
      <c r="I312" t="str" cm="1">
        <f t="array" ref="I312">_xlfn.IFS(G312=0,"Not Paid",G312=F312,"Fully Paid",G312&lt;F312,"Partially Paid")</f>
        <v>Partially Paid</v>
      </c>
      <c r="J312" t="str">
        <f t="shared" si="4"/>
        <v>YES</v>
      </c>
    </row>
    <row r="313" spans="1:10" x14ac:dyDescent="0.35">
      <c r="A313">
        <v>2312</v>
      </c>
      <c r="B313" t="s">
        <v>344</v>
      </c>
      <c r="C313" t="s">
        <v>33</v>
      </c>
      <c r="D313" t="s">
        <v>27</v>
      </c>
      <c r="E313">
        <v>45774</v>
      </c>
      <c r="F313">
        <v>22951</v>
      </c>
      <c r="G313">
        <v>8918</v>
      </c>
      <c r="H313" t="s">
        <v>11</v>
      </c>
      <c r="I313" t="str" cm="1">
        <f t="array" ref="I313">_xlfn.IFS(G313=0,"Not Paid",G313=F313,"Fully Paid",G313&lt;F313,"Partially Paid")</f>
        <v>Partially Paid</v>
      </c>
      <c r="J313" t="str">
        <f t="shared" si="4"/>
        <v>NO</v>
      </c>
    </row>
    <row r="314" spans="1:10" x14ac:dyDescent="0.35">
      <c r="A314">
        <v>2313</v>
      </c>
      <c r="B314" t="s">
        <v>345</v>
      </c>
      <c r="C314" t="s">
        <v>56</v>
      </c>
      <c r="D314" t="s">
        <v>18</v>
      </c>
      <c r="E314">
        <v>45682</v>
      </c>
      <c r="F314">
        <v>37622</v>
      </c>
      <c r="G314">
        <v>30591</v>
      </c>
      <c r="H314" t="s">
        <v>15</v>
      </c>
      <c r="I314" t="str" cm="1">
        <f t="array" ref="I314">_xlfn.IFS(G314=0,"Not Paid",G314=F314,"Fully Paid",G314&lt;F314,"Partially Paid")</f>
        <v>Partially Paid</v>
      </c>
      <c r="J314" t="str">
        <f t="shared" si="4"/>
        <v>NO</v>
      </c>
    </row>
    <row r="315" spans="1:10" x14ac:dyDescent="0.35">
      <c r="A315">
        <v>2314</v>
      </c>
      <c r="B315" t="s">
        <v>346</v>
      </c>
      <c r="C315" t="s">
        <v>24</v>
      </c>
      <c r="D315" t="s">
        <v>27</v>
      </c>
      <c r="E315">
        <v>45736</v>
      </c>
      <c r="F315">
        <v>24727</v>
      </c>
      <c r="G315">
        <v>9921</v>
      </c>
      <c r="H315" t="s">
        <v>19</v>
      </c>
      <c r="I315" t="str" cm="1">
        <f t="array" ref="I315">_xlfn.IFS(G315=0,"Not Paid",G315=F315,"Fully Paid",G315&lt;F315,"Partially Paid")</f>
        <v>Partially Paid</v>
      </c>
      <c r="J315" t="str">
        <f t="shared" si="4"/>
        <v>NO</v>
      </c>
    </row>
    <row r="316" spans="1:10" x14ac:dyDescent="0.35">
      <c r="A316">
        <v>2315</v>
      </c>
      <c r="B316" t="s">
        <v>347</v>
      </c>
      <c r="C316" t="s">
        <v>13</v>
      </c>
      <c r="D316" t="s">
        <v>10</v>
      </c>
      <c r="E316">
        <v>45725</v>
      </c>
      <c r="F316">
        <v>58454</v>
      </c>
      <c r="G316">
        <v>49164</v>
      </c>
      <c r="H316" t="s">
        <v>19</v>
      </c>
      <c r="I316" t="str" cm="1">
        <f t="array" ref="I316">_xlfn.IFS(G316=0,"Not Paid",G316=F316,"Fully Paid",G316&lt;F316,"Partially Paid")</f>
        <v>Partially Paid</v>
      </c>
      <c r="J316" t="str">
        <f t="shared" si="4"/>
        <v>YES</v>
      </c>
    </row>
    <row r="317" spans="1:10" x14ac:dyDescent="0.35">
      <c r="A317">
        <v>2316</v>
      </c>
      <c r="B317" t="s">
        <v>348</v>
      </c>
      <c r="C317" t="s">
        <v>56</v>
      </c>
      <c r="D317" t="s">
        <v>10</v>
      </c>
      <c r="E317">
        <v>45830</v>
      </c>
      <c r="F317">
        <v>56469</v>
      </c>
      <c r="G317">
        <v>45953</v>
      </c>
      <c r="H317" t="s">
        <v>67</v>
      </c>
      <c r="I317" t="str" cm="1">
        <f t="array" ref="I317">_xlfn.IFS(G317=0,"Not Paid",G317=F317,"Fully Paid",G317&lt;F317,"Partially Paid")</f>
        <v>Partially Paid</v>
      </c>
      <c r="J317" t="str">
        <f t="shared" si="4"/>
        <v>YES</v>
      </c>
    </row>
    <row r="318" spans="1:10" x14ac:dyDescent="0.35">
      <c r="A318">
        <v>2317</v>
      </c>
      <c r="B318" t="s">
        <v>349</v>
      </c>
      <c r="C318" t="s">
        <v>56</v>
      </c>
      <c r="D318" t="s">
        <v>37</v>
      </c>
      <c r="E318">
        <v>45669</v>
      </c>
      <c r="F318">
        <v>55548</v>
      </c>
      <c r="G318">
        <v>46417</v>
      </c>
      <c r="H318" t="s">
        <v>15</v>
      </c>
      <c r="I318" t="str" cm="1">
        <f t="array" ref="I318">_xlfn.IFS(G318=0,"Not Paid",G318=F318,"Fully Paid",G318&lt;F318,"Partially Paid")</f>
        <v>Partially Paid</v>
      </c>
      <c r="J318" t="str">
        <f t="shared" si="4"/>
        <v>YES</v>
      </c>
    </row>
    <row r="319" spans="1:10" x14ac:dyDescent="0.35">
      <c r="A319">
        <v>2318</v>
      </c>
      <c r="B319" t="s">
        <v>350</v>
      </c>
      <c r="C319" t="s">
        <v>33</v>
      </c>
      <c r="D319" t="s">
        <v>18</v>
      </c>
      <c r="E319">
        <v>45945</v>
      </c>
      <c r="F319">
        <v>43782</v>
      </c>
      <c r="G319">
        <v>40066</v>
      </c>
      <c r="H319" t="s">
        <v>22</v>
      </c>
      <c r="I319" t="str" cm="1">
        <f t="array" ref="I319">_xlfn.IFS(G319=0,"Not Paid",G319=F319,"Fully Paid",G319&lt;F319,"Partially Paid")</f>
        <v>Partially Paid</v>
      </c>
      <c r="J319" t="str">
        <f t="shared" si="4"/>
        <v>NO</v>
      </c>
    </row>
    <row r="320" spans="1:10" x14ac:dyDescent="0.35">
      <c r="A320">
        <v>2319</v>
      </c>
      <c r="B320" t="s">
        <v>351</v>
      </c>
      <c r="C320" t="s">
        <v>9</v>
      </c>
      <c r="D320" t="s">
        <v>14</v>
      </c>
      <c r="E320">
        <v>45785</v>
      </c>
      <c r="F320">
        <v>48454</v>
      </c>
      <c r="G320">
        <v>45040</v>
      </c>
      <c r="H320" t="s">
        <v>31</v>
      </c>
      <c r="I320" t="str" cm="1">
        <f t="array" ref="I320">_xlfn.IFS(G320=0,"Not Paid",G320=F320,"Fully Paid",G320&lt;F320,"Partially Paid")</f>
        <v>Partially Paid</v>
      </c>
      <c r="J320" t="str">
        <f t="shared" si="4"/>
        <v>NO</v>
      </c>
    </row>
    <row r="321" spans="1:10" x14ac:dyDescent="0.35">
      <c r="A321">
        <v>2320</v>
      </c>
      <c r="B321" t="s">
        <v>352</v>
      </c>
      <c r="C321" t="s">
        <v>9</v>
      </c>
      <c r="D321" t="s">
        <v>18</v>
      </c>
      <c r="E321">
        <v>45753</v>
      </c>
      <c r="F321">
        <v>22368</v>
      </c>
      <c r="G321">
        <v>20920</v>
      </c>
      <c r="H321" t="s">
        <v>11</v>
      </c>
      <c r="I321" t="str" cm="1">
        <f t="array" ref="I321">_xlfn.IFS(G321=0,"Not Paid",G321=F321,"Fully Paid",G321&lt;F321,"Partially Paid")</f>
        <v>Partially Paid</v>
      </c>
      <c r="J321" t="str">
        <f t="shared" si="4"/>
        <v>NO</v>
      </c>
    </row>
    <row r="322" spans="1:10" x14ac:dyDescent="0.35">
      <c r="A322">
        <v>2321</v>
      </c>
      <c r="B322" t="s">
        <v>353</v>
      </c>
      <c r="C322" t="s">
        <v>45</v>
      </c>
      <c r="D322" t="s">
        <v>14</v>
      </c>
      <c r="E322">
        <v>45749</v>
      </c>
      <c r="F322">
        <v>35592</v>
      </c>
      <c r="G322">
        <v>35022</v>
      </c>
      <c r="H322" t="s">
        <v>11</v>
      </c>
      <c r="I322" t="str" cm="1">
        <f t="array" ref="I322">_xlfn.IFS(G322=0,"Not Paid",G322=F322,"Fully Paid",G322&lt;F322,"Partially Paid")</f>
        <v>Partially Paid</v>
      </c>
      <c r="J322" t="str">
        <f t="shared" si="4"/>
        <v>NO</v>
      </c>
    </row>
    <row r="323" spans="1:10" x14ac:dyDescent="0.35">
      <c r="A323">
        <v>2322</v>
      </c>
      <c r="B323" t="s">
        <v>354</v>
      </c>
      <c r="C323" t="s">
        <v>33</v>
      </c>
      <c r="D323" t="s">
        <v>21</v>
      </c>
      <c r="E323">
        <v>45798</v>
      </c>
      <c r="F323">
        <v>42173</v>
      </c>
      <c r="G323">
        <v>39269</v>
      </c>
      <c r="H323" t="s">
        <v>31</v>
      </c>
      <c r="I323" t="str" cm="1">
        <f t="array" ref="I323">_xlfn.IFS(G323=0,"Not Paid",G323=F323,"Fully Paid",G323&lt;F323,"Partially Paid")</f>
        <v>Partially Paid</v>
      </c>
      <c r="J323" t="str">
        <f t="shared" ref="J323:J386" si="5">IF(F323&gt;50000,"YES","NO")</f>
        <v>NO</v>
      </c>
    </row>
    <row r="324" spans="1:10" x14ac:dyDescent="0.35">
      <c r="A324">
        <v>2323</v>
      </c>
      <c r="B324" t="s">
        <v>355</v>
      </c>
      <c r="C324" t="s">
        <v>24</v>
      </c>
      <c r="D324" t="s">
        <v>18</v>
      </c>
      <c r="E324">
        <v>45688</v>
      </c>
      <c r="F324">
        <v>53204</v>
      </c>
      <c r="G324">
        <v>39916</v>
      </c>
      <c r="H324" t="s">
        <v>15</v>
      </c>
      <c r="I324" t="str" cm="1">
        <f t="array" ref="I324">_xlfn.IFS(G324=0,"Not Paid",G324=F324,"Fully Paid",G324&lt;F324,"Partially Paid")</f>
        <v>Partially Paid</v>
      </c>
      <c r="J324" t="str">
        <f t="shared" si="5"/>
        <v>YES</v>
      </c>
    </row>
    <row r="325" spans="1:10" x14ac:dyDescent="0.35">
      <c r="A325">
        <v>2324</v>
      </c>
      <c r="B325" t="s">
        <v>356</v>
      </c>
      <c r="C325" t="s">
        <v>9</v>
      </c>
      <c r="D325" t="s">
        <v>21</v>
      </c>
      <c r="E325">
        <v>45991</v>
      </c>
      <c r="F325">
        <v>55596</v>
      </c>
      <c r="G325">
        <v>42103</v>
      </c>
      <c r="H325" t="s">
        <v>29</v>
      </c>
      <c r="I325" t="str" cm="1">
        <f t="array" ref="I325">_xlfn.IFS(G325=0,"Not Paid",G325=F325,"Fully Paid",G325&lt;F325,"Partially Paid")</f>
        <v>Partially Paid</v>
      </c>
      <c r="J325" t="str">
        <f t="shared" si="5"/>
        <v>YES</v>
      </c>
    </row>
    <row r="326" spans="1:10" x14ac:dyDescent="0.35">
      <c r="A326">
        <v>2325</v>
      </c>
      <c r="B326" t="s">
        <v>357</v>
      </c>
      <c r="C326" t="s">
        <v>13</v>
      </c>
      <c r="D326" t="s">
        <v>10</v>
      </c>
      <c r="E326">
        <v>45677</v>
      </c>
      <c r="F326">
        <v>54324</v>
      </c>
      <c r="G326">
        <v>51819</v>
      </c>
      <c r="H326" t="s">
        <v>15</v>
      </c>
      <c r="I326" t="str" cm="1">
        <f t="array" ref="I326">_xlfn.IFS(G326=0,"Not Paid",G326=F326,"Fully Paid",G326&lt;F326,"Partially Paid")</f>
        <v>Partially Paid</v>
      </c>
      <c r="J326" t="str">
        <f t="shared" si="5"/>
        <v>YES</v>
      </c>
    </row>
    <row r="327" spans="1:10" x14ac:dyDescent="0.35">
      <c r="A327">
        <v>2326</v>
      </c>
      <c r="B327" t="s">
        <v>358</v>
      </c>
      <c r="C327" t="s">
        <v>33</v>
      </c>
      <c r="D327" t="s">
        <v>10</v>
      </c>
      <c r="E327">
        <v>45803</v>
      </c>
      <c r="F327">
        <v>43864</v>
      </c>
      <c r="G327">
        <v>42947</v>
      </c>
      <c r="H327" t="s">
        <v>31</v>
      </c>
      <c r="I327" t="str" cm="1">
        <f t="array" ref="I327">_xlfn.IFS(G327=0,"Not Paid",G327=F327,"Fully Paid",G327&lt;F327,"Partially Paid")</f>
        <v>Partially Paid</v>
      </c>
      <c r="J327" t="str">
        <f t="shared" si="5"/>
        <v>NO</v>
      </c>
    </row>
    <row r="328" spans="1:10" x14ac:dyDescent="0.35">
      <c r="A328">
        <v>2327</v>
      </c>
      <c r="B328" t="s">
        <v>359</v>
      </c>
      <c r="C328" t="s">
        <v>56</v>
      </c>
      <c r="D328" t="s">
        <v>37</v>
      </c>
      <c r="E328">
        <v>45973</v>
      </c>
      <c r="F328">
        <v>50750</v>
      </c>
      <c r="G328">
        <v>40684</v>
      </c>
      <c r="H328" t="s">
        <v>29</v>
      </c>
      <c r="I328" t="str" cm="1">
        <f t="array" ref="I328">_xlfn.IFS(G328=0,"Not Paid",G328=F328,"Fully Paid",G328&lt;F328,"Partially Paid")</f>
        <v>Partially Paid</v>
      </c>
      <c r="J328" t="str">
        <f t="shared" si="5"/>
        <v>YES</v>
      </c>
    </row>
    <row r="329" spans="1:10" x14ac:dyDescent="0.35">
      <c r="A329">
        <v>2328</v>
      </c>
      <c r="B329" t="s">
        <v>360</v>
      </c>
      <c r="C329" t="s">
        <v>13</v>
      </c>
      <c r="D329" t="s">
        <v>18</v>
      </c>
      <c r="E329">
        <v>45817</v>
      </c>
      <c r="F329">
        <v>30576</v>
      </c>
      <c r="G329">
        <v>17456</v>
      </c>
      <c r="H329" t="s">
        <v>67</v>
      </c>
      <c r="I329" t="str" cm="1">
        <f t="array" ref="I329">_xlfn.IFS(G329=0,"Not Paid",G329=F329,"Fully Paid",G329&lt;F329,"Partially Paid")</f>
        <v>Partially Paid</v>
      </c>
      <c r="J329" t="str">
        <f t="shared" si="5"/>
        <v>NO</v>
      </c>
    </row>
    <row r="330" spans="1:10" x14ac:dyDescent="0.35">
      <c r="A330">
        <v>2329</v>
      </c>
      <c r="B330" t="s">
        <v>361</v>
      </c>
      <c r="C330" t="s">
        <v>13</v>
      </c>
      <c r="D330" t="s">
        <v>21</v>
      </c>
      <c r="E330">
        <v>46006</v>
      </c>
      <c r="F330">
        <v>36566</v>
      </c>
      <c r="G330">
        <v>29584</v>
      </c>
      <c r="H330" t="s">
        <v>25</v>
      </c>
      <c r="I330" t="str" cm="1">
        <f t="array" ref="I330">_xlfn.IFS(G330=0,"Not Paid",G330=F330,"Fully Paid",G330&lt;F330,"Partially Paid")</f>
        <v>Partially Paid</v>
      </c>
      <c r="J330" t="str">
        <f t="shared" si="5"/>
        <v>NO</v>
      </c>
    </row>
    <row r="331" spans="1:10" x14ac:dyDescent="0.35">
      <c r="A331">
        <v>2330</v>
      </c>
      <c r="B331" t="s">
        <v>362</v>
      </c>
      <c r="C331" t="s">
        <v>56</v>
      </c>
      <c r="D331" t="s">
        <v>14</v>
      </c>
      <c r="E331">
        <v>45700</v>
      </c>
      <c r="F331">
        <v>27190</v>
      </c>
      <c r="G331">
        <v>19763</v>
      </c>
      <c r="H331" t="s">
        <v>77</v>
      </c>
      <c r="I331" t="str" cm="1">
        <f t="array" ref="I331">_xlfn.IFS(G331=0,"Not Paid",G331=F331,"Fully Paid",G331&lt;F331,"Partially Paid")</f>
        <v>Partially Paid</v>
      </c>
      <c r="J331" t="str">
        <f t="shared" si="5"/>
        <v>NO</v>
      </c>
    </row>
    <row r="332" spans="1:10" x14ac:dyDescent="0.35">
      <c r="A332">
        <v>2331</v>
      </c>
      <c r="B332" t="s">
        <v>363</v>
      </c>
      <c r="C332" t="s">
        <v>33</v>
      </c>
      <c r="D332" t="s">
        <v>10</v>
      </c>
      <c r="E332">
        <v>45911</v>
      </c>
      <c r="F332">
        <v>43071</v>
      </c>
      <c r="G332">
        <v>36735</v>
      </c>
      <c r="H332" t="s">
        <v>53</v>
      </c>
      <c r="I332" t="str" cm="1">
        <f t="array" ref="I332">_xlfn.IFS(G332=0,"Not Paid",G332=F332,"Fully Paid",G332&lt;F332,"Partially Paid")</f>
        <v>Partially Paid</v>
      </c>
      <c r="J332" t="str">
        <f t="shared" si="5"/>
        <v>NO</v>
      </c>
    </row>
    <row r="333" spans="1:10" x14ac:dyDescent="0.35">
      <c r="A333">
        <v>2332</v>
      </c>
      <c r="B333" t="s">
        <v>364</v>
      </c>
      <c r="C333" t="s">
        <v>56</v>
      </c>
      <c r="D333" t="s">
        <v>10</v>
      </c>
      <c r="E333">
        <v>45787</v>
      </c>
      <c r="F333">
        <v>58333</v>
      </c>
      <c r="G333">
        <v>56655</v>
      </c>
      <c r="H333" t="s">
        <v>31</v>
      </c>
      <c r="I333" t="str" cm="1">
        <f t="array" ref="I333">_xlfn.IFS(G333=0,"Not Paid",G333=F333,"Fully Paid",G333&lt;F333,"Partially Paid")</f>
        <v>Partially Paid</v>
      </c>
      <c r="J333" t="str">
        <f t="shared" si="5"/>
        <v>YES</v>
      </c>
    </row>
    <row r="334" spans="1:10" x14ac:dyDescent="0.35">
      <c r="A334">
        <v>2333</v>
      </c>
      <c r="B334" t="s">
        <v>365</v>
      </c>
      <c r="C334" t="s">
        <v>45</v>
      </c>
      <c r="D334" t="s">
        <v>14</v>
      </c>
      <c r="E334">
        <v>45717</v>
      </c>
      <c r="F334">
        <v>35369</v>
      </c>
      <c r="G334">
        <v>34754</v>
      </c>
      <c r="H334" t="s">
        <v>19</v>
      </c>
      <c r="I334" t="str" cm="1">
        <f t="array" ref="I334">_xlfn.IFS(G334=0,"Not Paid",G334=F334,"Fully Paid",G334&lt;F334,"Partially Paid")</f>
        <v>Partially Paid</v>
      </c>
      <c r="J334" t="str">
        <f t="shared" si="5"/>
        <v>NO</v>
      </c>
    </row>
    <row r="335" spans="1:10" x14ac:dyDescent="0.35">
      <c r="A335">
        <v>2334</v>
      </c>
      <c r="B335" t="s">
        <v>366</v>
      </c>
      <c r="C335" t="s">
        <v>13</v>
      </c>
      <c r="D335" t="s">
        <v>21</v>
      </c>
      <c r="E335">
        <v>45808</v>
      </c>
      <c r="F335">
        <v>44035</v>
      </c>
      <c r="G335">
        <v>31342</v>
      </c>
      <c r="H335" t="s">
        <v>31</v>
      </c>
      <c r="I335" t="str" cm="1">
        <f t="array" ref="I335">_xlfn.IFS(G335=0,"Not Paid",G335=F335,"Fully Paid",G335&lt;F335,"Partially Paid")</f>
        <v>Partially Paid</v>
      </c>
      <c r="J335" t="str">
        <f t="shared" si="5"/>
        <v>NO</v>
      </c>
    </row>
    <row r="336" spans="1:10" x14ac:dyDescent="0.35">
      <c r="A336">
        <v>2335</v>
      </c>
      <c r="B336" t="s">
        <v>367</v>
      </c>
      <c r="C336" t="s">
        <v>17</v>
      </c>
      <c r="D336" t="s">
        <v>21</v>
      </c>
      <c r="E336">
        <v>45944</v>
      </c>
      <c r="F336">
        <v>21589</v>
      </c>
      <c r="G336">
        <v>11648</v>
      </c>
      <c r="H336" t="s">
        <v>22</v>
      </c>
      <c r="I336" t="str" cm="1">
        <f t="array" ref="I336">_xlfn.IFS(G336=0,"Not Paid",G336=F336,"Fully Paid",G336&lt;F336,"Partially Paid")</f>
        <v>Partially Paid</v>
      </c>
      <c r="J336" t="str">
        <f t="shared" si="5"/>
        <v>NO</v>
      </c>
    </row>
    <row r="337" spans="1:10" x14ac:dyDescent="0.35">
      <c r="A337">
        <v>2336</v>
      </c>
      <c r="B337" t="s">
        <v>368</v>
      </c>
      <c r="C337" t="s">
        <v>17</v>
      </c>
      <c r="D337" t="s">
        <v>18</v>
      </c>
      <c r="E337">
        <v>45662</v>
      </c>
      <c r="F337">
        <v>45235</v>
      </c>
      <c r="G337">
        <v>33218</v>
      </c>
      <c r="H337" t="s">
        <v>15</v>
      </c>
      <c r="I337" t="str" cm="1">
        <f t="array" ref="I337">_xlfn.IFS(G337=0,"Not Paid",G337=F337,"Fully Paid",G337&lt;F337,"Partially Paid")</f>
        <v>Partially Paid</v>
      </c>
      <c r="J337" t="str">
        <f t="shared" si="5"/>
        <v>NO</v>
      </c>
    </row>
    <row r="338" spans="1:10" x14ac:dyDescent="0.35">
      <c r="A338">
        <v>2337</v>
      </c>
      <c r="B338" t="s">
        <v>369</v>
      </c>
      <c r="C338" t="s">
        <v>24</v>
      </c>
      <c r="D338" t="s">
        <v>18</v>
      </c>
      <c r="E338">
        <v>45923</v>
      </c>
      <c r="F338">
        <v>20159</v>
      </c>
      <c r="G338">
        <v>13073</v>
      </c>
      <c r="H338" t="s">
        <v>53</v>
      </c>
      <c r="I338" t="str" cm="1">
        <f t="array" ref="I338">_xlfn.IFS(G338=0,"Not Paid",G338=F338,"Fully Paid",G338&lt;F338,"Partially Paid")</f>
        <v>Partially Paid</v>
      </c>
      <c r="J338" t="str">
        <f t="shared" si="5"/>
        <v>NO</v>
      </c>
    </row>
    <row r="339" spans="1:10" x14ac:dyDescent="0.35">
      <c r="A339">
        <v>2338</v>
      </c>
      <c r="B339" t="s">
        <v>370</v>
      </c>
      <c r="C339" t="s">
        <v>9</v>
      </c>
      <c r="D339" t="s">
        <v>27</v>
      </c>
      <c r="E339">
        <v>46002</v>
      </c>
      <c r="F339">
        <v>32145</v>
      </c>
      <c r="G339">
        <v>19765</v>
      </c>
      <c r="H339" t="s">
        <v>25</v>
      </c>
      <c r="I339" t="str" cm="1">
        <f t="array" ref="I339">_xlfn.IFS(G339=0,"Not Paid",G339=F339,"Fully Paid",G339&lt;F339,"Partially Paid")</f>
        <v>Partially Paid</v>
      </c>
      <c r="J339" t="str">
        <f t="shared" si="5"/>
        <v>NO</v>
      </c>
    </row>
    <row r="340" spans="1:10" x14ac:dyDescent="0.35">
      <c r="A340">
        <v>2339</v>
      </c>
      <c r="B340" t="s">
        <v>371</v>
      </c>
      <c r="C340" t="s">
        <v>56</v>
      </c>
      <c r="D340" t="s">
        <v>27</v>
      </c>
      <c r="E340">
        <v>45787</v>
      </c>
      <c r="F340">
        <v>35373</v>
      </c>
      <c r="G340">
        <v>24704</v>
      </c>
      <c r="H340" t="s">
        <v>31</v>
      </c>
      <c r="I340" t="str" cm="1">
        <f t="array" ref="I340">_xlfn.IFS(G340=0,"Not Paid",G340=F340,"Fully Paid",G340&lt;F340,"Partially Paid")</f>
        <v>Partially Paid</v>
      </c>
      <c r="J340" t="str">
        <f t="shared" si="5"/>
        <v>NO</v>
      </c>
    </row>
    <row r="341" spans="1:10" x14ac:dyDescent="0.35">
      <c r="A341">
        <v>2340</v>
      </c>
      <c r="B341" t="s">
        <v>372</v>
      </c>
      <c r="C341" t="s">
        <v>56</v>
      </c>
      <c r="D341" t="s">
        <v>37</v>
      </c>
      <c r="E341">
        <v>45924</v>
      </c>
      <c r="F341">
        <v>51921</v>
      </c>
      <c r="G341">
        <v>47172</v>
      </c>
      <c r="H341" t="s">
        <v>53</v>
      </c>
      <c r="I341" t="str" cm="1">
        <f t="array" ref="I341">_xlfn.IFS(G341=0,"Not Paid",G341=F341,"Fully Paid",G341&lt;F341,"Partially Paid")</f>
        <v>Partially Paid</v>
      </c>
      <c r="J341" t="str">
        <f t="shared" si="5"/>
        <v>YES</v>
      </c>
    </row>
    <row r="342" spans="1:10" x14ac:dyDescent="0.35">
      <c r="A342">
        <v>2341</v>
      </c>
      <c r="B342" t="s">
        <v>373</v>
      </c>
      <c r="C342" t="s">
        <v>24</v>
      </c>
      <c r="D342" t="s">
        <v>10</v>
      </c>
      <c r="E342">
        <v>45835</v>
      </c>
      <c r="F342">
        <v>59323</v>
      </c>
      <c r="G342">
        <v>55818</v>
      </c>
      <c r="H342" t="s">
        <v>67</v>
      </c>
      <c r="I342" t="str" cm="1">
        <f t="array" ref="I342">_xlfn.IFS(G342=0,"Not Paid",G342=F342,"Fully Paid",G342&lt;F342,"Partially Paid")</f>
        <v>Partially Paid</v>
      </c>
      <c r="J342" t="str">
        <f t="shared" si="5"/>
        <v>YES</v>
      </c>
    </row>
    <row r="343" spans="1:10" x14ac:dyDescent="0.35">
      <c r="A343">
        <v>2342</v>
      </c>
      <c r="B343" t="s">
        <v>374</v>
      </c>
      <c r="C343" t="s">
        <v>24</v>
      </c>
      <c r="D343" t="s">
        <v>18</v>
      </c>
      <c r="E343">
        <v>45910</v>
      </c>
      <c r="F343">
        <v>36237</v>
      </c>
      <c r="G343">
        <v>24570</v>
      </c>
      <c r="H343" t="s">
        <v>53</v>
      </c>
      <c r="I343" t="str" cm="1">
        <f t="array" ref="I343">_xlfn.IFS(G343=0,"Not Paid",G343=F343,"Fully Paid",G343&lt;F343,"Partially Paid")</f>
        <v>Partially Paid</v>
      </c>
      <c r="J343" t="str">
        <f t="shared" si="5"/>
        <v>NO</v>
      </c>
    </row>
    <row r="344" spans="1:10" x14ac:dyDescent="0.35">
      <c r="A344">
        <v>2343</v>
      </c>
      <c r="B344" t="s">
        <v>375</v>
      </c>
      <c r="C344" t="s">
        <v>24</v>
      </c>
      <c r="D344" t="s">
        <v>21</v>
      </c>
      <c r="E344">
        <v>45713</v>
      </c>
      <c r="F344">
        <v>28244</v>
      </c>
      <c r="G344">
        <v>23715</v>
      </c>
      <c r="H344" t="s">
        <v>77</v>
      </c>
      <c r="I344" t="str" cm="1">
        <f t="array" ref="I344">_xlfn.IFS(G344=0,"Not Paid",G344=F344,"Fully Paid",G344&lt;F344,"Partially Paid")</f>
        <v>Partially Paid</v>
      </c>
      <c r="J344" t="str">
        <f t="shared" si="5"/>
        <v>NO</v>
      </c>
    </row>
    <row r="345" spans="1:10" x14ac:dyDescent="0.35">
      <c r="A345">
        <v>2344</v>
      </c>
      <c r="B345" t="s">
        <v>376</v>
      </c>
      <c r="C345" t="s">
        <v>13</v>
      </c>
      <c r="D345" t="s">
        <v>14</v>
      </c>
      <c r="E345">
        <v>45740</v>
      </c>
      <c r="F345">
        <v>34743</v>
      </c>
      <c r="G345">
        <v>33608</v>
      </c>
      <c r="H345" t="s">
        <v>19</v>
      </c>
      <c r="I345" t="str" cm="1">
        <f t="array" ref="I345">_xlfn.IFS(G345=0,"Not Paid",G345=F345,"Fully Paid",G345&lt;F345,"Partially Paid")</f>
        <v>Partially Paid</v>
      </c>
      <c r="J345" t="str">
        <f t="shared" si="5"/>
        <v>NO</v>
      </c>
    </row>
    <row r="346" spans="1:10" x14ac:dyDescent="0.35">
      <c r="A346">
        <v>2345</v>
      </c>
      <c r="B346" t="s">
        <v>377</v>
      </c>
      <c r="C346" t="s">
        <v>45</v>
      </c>
      <c r="D346" t="s">
        <v>21</v>
      </c>
      <c r="E346">
        <v>45756</v>
      </c>
      <c r="F346">
        <v>51566</v>
      </c>
      <c r="G346">
        <v>39374</v>
      </c>
      <c r="H346" t="s">
        <v>11</v>
      </c>
      <c r="I346" t="str" cm="1">
        <f t="array" ref="I346">_xlfn.IFS(G346=0,"Not Paid",G346=F346,"Fully Paid",G346&lt;F346,"Partially Paid")</f>
        <v>Partially Paid</v>
      </c>
      <c r="J346" t="str">
        <f t="shared" si="5"/>
        <v>YES</v>
      </c>
    </row>
    <row r="347" spans="1:10" x14ac:dyDescent="0.35">
      <c r="A347">
        <v>2346</v>
      </c>
      <c r="B347" t="s">
        <v>378</v>
      </c>
      <c r="C347" t="s">
        <v>56</v>
      </c>
      <c r="D347" t="s">
        <v>10</v>
      </c>
      <c r="E347">
        <v>45806</v>
      </c>
      <c r="F347">
        <v>38691</v>
      </c>
      <c r="G347">
        <v>30125</v>
      </c>
      <c r="H347" t="s">
        <v>31</v>
      </c>
      <c r="I347" t="str" cm="1">
        <f t="array" ref="I347">_xlfn.IFS(G347=0,"Not Paid",G347=F347,"Fully Paid",G347&lt;F347,"Partially Paid")</f>
        <v>Partially Paid</v>
      </c>
      <c r="J347" t="str">
        <f t="shared" si="5"/>
        <v>NO</v>
      </c>
    </row>
    <row r="348" spans="1:10" x14ac:dyDescent="0.35">
      <c r="A348">
        <v>2347</v>
      </c>
      <c r="B348" t="s">
        <v>379</v>
      </c>
      <c r="C348" t="s">
        <v>13</v>
      </c>
      <c r="D348" t="s">
        <v>27</v>
      </c>
      <c r="E348">
        <v>45986</v>
      </c>
      <c r="F348">
        <v>53996</v>
      </c>
      <c r="G348">
        <v>46770</v>
      </c>
      <c r="H348" t="s">
        <v>29</v>
      </c>
      <c r="I348" t="str" cm="1">
        <f t="array" ref="I348">_xlfn.IFS(G348=0,"Not Paid",G348=F348,"Fully Paid",G348&lt;F348,"Partially Paid")</f>
        <v>Partially Paid</v>
      </c>
      <c r="J348" t="str">
        <f t="shared" si="5"/>
        <v>YES</v>
      </c>
    </row>
    <row r="349" spans="1:10" x14ac:dyDescent="0.35">
      <c r="A349">
        <v>2348</v>
      </c>
      <c r="B349" t="s">
        <v>380</v>
      </c>
      <c r="C349" t="s">
        <v>24</v>
      </c>
      <c r="D349" t="s">
        <v>21</v>
      </c>
      <c r="E349">
        <v>45813</v>
      </c>
      <c r="F349">
        <v>25590</v>
      </c>
      <c r="G349">
        <v>20428</v>
      </c>
      <c r="H349" t="s">
        <v>67</v>
      </c>
      <c r="I349" t="str" cm="1">
        <f t="array" ref="I349">_xlfn.IFS(G349=0,"Not Paid",G349=F349,"Fully Paid",G349&lt;F349,"Partially Paid")</f>
        <v>Partially Paid</v>
      </c>
      <c r="J349" t="str">
        <f t="shared" si="5"/>
        <v>NO</v>
      </c>
    </row>
    <row r="350" spans="1:10" x14ac:dyDescent="0.35">
      <c r="A350">
        <v>2349</v>
      </c>
      <c r="B350" t="s">
        <v>381</v>
      </c>
      <c r="C350" t="s">
        <v>56</v>
      </c>
      <c r="D350" t="s">
        <v>37</v>
      </c>
      <c r="E350">
        <v>45847</v>
      </c>
      <c r="F350">
        <v>25585</v>
      </c>
      <c r="G350">
        <v>25379</v>
      </c>
      <c r="H350" t="s">
        <v>43</v>
      </c>
      <c r="I350" t="str" cm="1">
        <f t="array" ref="I350">_xlfn.IFS(G350=0,"Not Paid",G350=F350,"Fully Paid",G350&lt;F350,"Partially Paid")</f>
        <v>Partially Paid</v>
      </c>
      <c r="J350" t="str">
        <f t="shared" si="5"/>
        <v>NO</v>
      </c>
    </row>
    <row r="351" spans="1:10" x14ac:dyDescent="0.35">
      <c r="A351">
        <v>2350</v>
      </c>
      <c r="B351" t="s">
        <v>382</v>
      </c>
      <c r="C351" t="s">
        <v>13</v>
      </c>
      <c r="D351" t="s">
        <v>10</v>
      </c>
      <c r="E351">
        <v>45920</v>
      </c>
      <c r="F351">
        <v>29227</v>
      </c>
      <c r="G351">
        <v>24352</v>
      </c>
      <c r="H351" t="s">
        <v>53</v>
      </c>
      <c r="I351" t="str" cm="1">
        <f t="array" ref="I351">_xlfn.IFS(G351=0,"Not Paid",G351=F351,"Fully Paid",G351&lt;F351,"Partially Paid")</f>
        <v>Partially Paid</v>
      </c>
      <c r="J351" t="str">
        <f t="shared" si="5"/>
        <v>NO</v>
      </c>
    </row>
    <row r="352" spans="1:10" x14ac:dyDescent="0.35">
      <c r="A352">
        <v>2351</v>
      </c>
      <c r="B352" t="s">
        <v>383</v>
      </c>
      <c r="C352" t="s">
        <v>45</v>
      </c>
      <c r="D352" t="s">
        <v>27</v>
      </c>
      <c r="E352">
        <v>45737</v>
      </c>
      <c r="F352">
        <v>48278</v>
      </c>
      <c r="G352">
        <v>46959</v>
      </c>
      <c r="H352" t="s">
        <v>19</v>
      </c>
      <c r="I352" t="str" cm="1">
        <f t="array" ref="I352">_xlfn.IFS(G352=0,"Not Paid",G352=F352,"Fully Paid",G352&lt;F352,"Partially Paid")</f>
        <v>Partially Paid</v>
      </c>
      <c r="J352" t="str">
        <f t="shared" si="5"/>
        <v>NO</v>
      </c>
    </row>
    <row r="353" spans="1:10" x14ac:dyDescent="0.35">
      <c r="A353">
        <v>2352</v>
      </c>
      <c r="B353" t="s">
        <v>384</v>
      </c>
      <c r="C353" t="s">
        <v>13</v>
      </c>
      <c r="D353" t="s">
        <v>14</v>
      </c>
      <c r="E353">
        <v>45909</v>
      </c>
      <c r="F353">
        <v>58814</v>
      </c>
      <c r="G353">
        <v>57673</v>
      </c>
      <c r="H353" t="s">
        <v>53</v>
      </c>
      <c r="I353" t="str" cm="1">
        <f t="array" ref="I353">_xlfn.IFS(G353=0,"Not Paid",G353=F353,"Fully Paid",G353&lt;F353,"Partially Paid")</f>
        <v>Partially Paid</v>
      </c>
      <c r="J353" t="str">
        <f t="shared" si="5"/>
        <v>YES</v>
      </c>
    </row>
    <row r="354" spans="1:10" x14ac:dyDescent="0.35">
      <c r="A354">
        <v>2353</v>
      </c>
      <c r="B354" t="s">
        <v>385</v>
      </c>
      <c r="C354" t="s">
        <v>45</v>
      </c>
      <c r="D354" t="s">
        <v>27</v>
      </c>
      <c r="E354">
        <v>45754</v>
      </c>
      <c r="F354">
        <v>32237</v>
      </c>
      <c r="G354">
        <v>27610</v>
      </c>
      <c r="H354" t="s">
        <v>11</v>
      </c>
      <c r="I354" t="str" cm="1">
        <f t="array" ref="I354">_xlfn.IFS(G354=0,"Not Paid",G354=F354,"Fully Paid",G354&lt;F354,"Partially Paid")</f>
        <v>Partially Paid</v>
      </c>
      <c r="J354" t="str">
        <f t="shared" si="5"/>
        <v>NO</v>
      </c>
    </row>
    <row r="355" spans="1:10" x14ac:dyDescent="0.35">
      <c r="A355">
        <v>2354</v>
      </c>
      <c r="B355" t="s">
        <v>386</v>
      </c>
      <c r="C355" t="s">
        <v>24</v>
      </c>
      <c r="D355" t="s">
        <v>37</v>
      </c>
      <c r="E355">
        <v>45917</v>
      </c>
      <c r="F355">
        <v>35649</v>
      </c>
      <c r="G355">
        <v>28260</v>
      </c>
      <c r="H355" t="s">
        <v>53</v>
      </c>
      <c r="I355" t="str" cm="1">
        <f t="array" ref="I355">_xlfn.IFS(G355=0,"Not Paid",G355=F355,"Fully Paid",G355&lt;F355,"Partially Paid")</f>
        <v>Partially Paid</v>
      </c>
      <c r="J355" t="str">
        <f t="shared" si="5"/>
        <v>NO</v>
      </c>
    </row>
    <row r="356" spans="1:10" x14ac:dyDescent="0.35">
      <c r="A356">
        <v>2355</v>
      </c>
      <c r="B356" t="s">
        <v>387</v>
      </c>
      <c r="C356" t="s">
        <v>45</v>
      </c>
      <c r="D356" t="s">
        <v>10</v>
      </c>
      <c r="E356">
        <v>45917</v>
      </c>
      <c r="F356">
        <v>57713</v>
      </c>
      <c r="G356">
        <v>43212</v>
      </c>
      <c r="H356" t="s">
        <v>53</v>
      </c>
      <c r="I356" t="str" cm="1">
        <f t="array" ref="I356">_xlfn.IFS(G356=0,"Not Paid",G356=F356,"Fully Paid",G356&lt;F356,"Partially Paid")</f>
        <v>Partially Paid</v>
      </c>
      <c r="J356" t="str">
        <f t="shared" si="5"/>
        <v>YES</v>
      </c>
    </row>
    <row r="357" spans="1:10" x14ac:dyDescent="0.35">
      <c r="A357">
        <v>2356</v>
      </c>
      <c r="B357" t="s">
        <v>388</v>
      </c>
      <c r="C357" t="s">
        <v>56</v>
      </c>
      <c r="D357" t="s">
        <v>14</v>
      </c>
      <c r="E357">
        <v>45760</v>
      </c>
      <c r="F357">
        <v>27927</v>
      </c>
      <c r="G357">
        <v>25237</v>
      </c>
      <c r="H357" t="s">
        <v>11</v>
      </c>
      <c r="I357" t="str" cm="1">
        <f t="array" ref="I357">_xlfn.IFS(G357=0,"Not Paid",G357=F357,"Fully Paid",G357&lt;F357,"Partially Paid")</f>
        <v>Partially Paid</v>
      </c>
      <c r="J357" t="str">
        <f t="shared" si="5"/>
        <v>NO</v>
      </c>
    </row>
    <row r="358" spans="1:10" x14ac:dyDescent="0.35">
      <c r="A358">
        <v>2357</v>
      </c>
      <c r="B358" t="s">
        <v>389</v>
      </c>
      <c r="C358" t="s">
        <v>24</v>
      </c>
      <c r="D358" t="s">
        <v>37</v>
      </c>
      <c r="E358">
        <v>45697</v>
      </c>
      <c r="F358">
        <v>27016</v>
      </c>
      <c r="G358">
        <v>19693</v>
      </c>
      <c r="H358" t="s">
        <v>77</v>
      </c>
      <c r="I358" t="str" cm="1">
        <f t="array" ref="I358">_xlfn.IFS(G358=0,"Not Paid",G358=F358,"Fully Paid",G358&lt;F358,"Partially Paid")</f>
        <v>Partially Paid</v>
      </c>
      <c r="J358" t="str">
        <f t="shared" si="5"/>
        <v>NO</v>
      </c>
    </row>
    <row r="359" spans="1:10" x14ac:dyDescent="0.35">
      <c r="A359">
        <v>2358</v>
      </c>
      <c r="B359" t="s">
        <v>390</v>
      </c>
      <c r="C359" t="s">
        <v>56</v>
      </c>
      <c r="D359" t="s">
        <v>27</v>
      </c>
      <c r="E359">
        <v>45930</v>
      </c>
      <c r="F359">
        <v>34027</v>
      </c>
      <c r="G359">
        <v>30772</v>
      </c>
      <c r="H359" t="s">
        <v>53</v>
      </c>
      <c r="I359" t="str" cm="1">
        <f t="array" ref="I359">_xlfn.IFS(G359=0,"Not Paid",G359=F359,"Fully Paid",G359&lt;F359,"Partially Paid")</f>
        <v>Partially Paid</v>
      </c>
      <c r="J359" t="str">
        <f t="shared" si="5"/>
        <v>NO</v>
      </c>
    </row>
    <row r="360" spans="1:10" x14ac:dyDescent="0.35">
      <c r="A360">
        <v>2359</v>
      </c>
      <c r="B360" t="s">
        <v>391</v>
      </c>
      <c r="C360" t="s">
        <v>17</v>
      </c>
      <c r="D360" t="s">
        <v>37</v>
      </c>
      <c r="E360">
        <v>45758</v>
      </c>
      <c r="F360">
        <v>44142</v>
      </c>
      <c r="G360">
        <v>35861</v>
      </c>
      <c r="H360" t="s">
        <v>11</v>
      </c>
      <c r="I360" t="str" cm="1">
        <f t="array" ref="I360">_xlfn.IFS(G360=0,"Not Paid",G360=F360,"Fully Paid",G360&lt;F360,"Partially Paid")</f>
        <v>Partially Paid</v>
      </c>
      <c r="J360" t="str">
        <f t="shared" si="5"/>
        <v>NO</v>
      </c>
    </row>
    <row r="361" spans="1:10" x14ac:dyDescent="0.35">
      <c r="A361">
        <v>2360</v>
      </c>
      <c r="B361" t="s">
        <v>392</v>
      </c>
      <c r="C361" t="s">
        <v>33</v>
      </c>
      <c r="D361" t="s">
        <v>10</v>
      </c>
      <c r="E361">
        <v>46016</v>
      </c>
      <c r="F361">
        <v>43545</v>
      </c>
      <c r="G361">
        <v>38332</v>
      </c>
      <c r="H361" t="s">
        <v>25</v>
      </c>
      <c r="I361" t="str" cm="1">
        <f t="array" ref="I361">_xlfn.IFS(G361=0,"Not Paid",G361=F361,"Fully Paid",G361&lt;F361,"Partially Paid")</f>
        <v>Partially Paid</v>
      </c>
      <c r="J361" t="str">
        <f t="shared" si="5"/>
        <v>NO</v>
      </c>
    </row>
    <row r="362" spans="1:10" x14ac:dyDescent="0.35">
      <c r="A362">
        <v>2361</v>
      </c>
      <c r="B362" t="s">
        <v>393</v>
      </c>
      <c r="C362" t="s">
        <v>45</v>
      </c>
      <c r="D362" t="s">
        <v>18</v>
      </c>
      <c r="E362">
        <v>45965</v>
      </c>
      <c r="F362">
        <v>51897</v>
      </c>
      <c r="G362">
        <v>47789</v>
      </c>
      <c r="H362" t="s">
        <v>29</v>
      </c>
      <c r="I362" t="str" cm="1">
        <f t="array" ref="I362">_xlfn.IFS(G362=0,"Not Paid",G362=F362,"Fully Paid",G362&lt;F362,"Partially Paid")</f>
        <v>Partially Paid</v>
      </c>
      <c r="J362" t="str">
        <f t="shared" si="5"/>
        <v>YES</v>
      </c>
    </row>
    <row r="363" spans="1:10" x14ac:dyDescent="0.35">
      <c r="A363">
        <v>2362</v>
      </c>
      <c r="B363" t="s">
        <v>394</v>
      </c>
      <c r="C363" t="s">
        <v>33</v>
      </c>
      <c r="D363" t="s">
        <v>37</v>
      </c>
      <c r="E363">
        <v>45878</v>
      </c>
      <c r="F363">
        <v>23167</v>
      </c>
      <c r="G363">
        <v>20147</v>
      </c>
      <c r="H363" t="s">
        <v>38</v>
      </c>
      <c r="I363" t="str" cm="1">
        <f t="array" ref="I363">_xlfn.IFS(G363=0,"Not Paid",G363=F363,"Fully Paid",G363&lt;F363,"Partially Paid")</f>
        <v>Partially Paid</v>
      </c>
      <c r="J363" t="str">
        <f t="shared" si="5"/>
        <v>NO</v>
      </c>
    </row>
    <row r="364" spans="1:10" x14ac:dyDescent="0.35">
      <c r="A364">
        <v>2363</v>
      </c>
      <c r="B364" t="s">
        <v>395</v>
      </c>
      <c r="C364" t="s">
        <v>33</v>
      </c>
      <c r="D364" t="s">
        <v>37</v>
      </c>
      <c r="E364">
        <v>45965</v>
      </c>
      <c r="F364">
        <v>46917</v>
      </c>
      <c r="G364">
        <v>45060</v>
      </c>
      <c r="H364" t="s">
        <v>29</v>
      </c>
      <c r="I364" t="str" cm="1">
        <f t="array" ref="I364">_xlfn.IFS(G364=0,"Not Paid",G364=F364,"Fully Paid",G364&lt;F364,"Partially Paid")</f>
        <v>Partially Paid</v>
      </c>
      <c r="J364" t="str">
        <f t="shared" si="5"/>
        <v>NO</v>
      </c>
    </row>
    <row r="365" spans="1:10" x14ac:dyDescent="0.35">
      <c r="A365">
        <v>2364</v>
      </c>
      <c r="B365" t="s">
        <v>396</v>
      </c>
      <c r="C365" t="s">
        <v>45</v>
      </c>
      <c r="D365" t="s">
        <v>27</v>
      </c>
      <c r="E365">
        <v>45781</v>
      </c>
      <c r="F365">
        <v>42736</v>
      </c>
      <c r="G365">
        <v>33740</v>
      </c>
      <c r="H365" t="s">
        <v>31</v>
      </c>
      <c r="I365" t="str" cm="1">
        <f t="array" ref="I365">_xlfn.IFS(G365=0,"Not Paid",G365=F365,"Fully Paid",G365&lt;F365,"Partially Paid")</f>
        <v>Partially Paid</v>
      </c>
      <c r="J365" t="str">
        <f t="shared" si="5"/>
        <v>NO</v>
      </c>
    </row>
    <row r="366" spans="1:10" x14ac:dyDescent="0.35">
      <c r="A366">
        <v>2365</v>
      </c>
      <c r="B366" t="s">
        <v>397</v>
      </c>
      <c r="C366" t="s">
        <v>24</v>
      </c>
      <c r="D366" t="s">
        <v>27</v>
      </c>
      <c r="E366">
        <v>45888</v>
      </c>
      <c r="F366">
        <v>47990</v>
      </c>
      <c r="G366">
        <v>38854</v>
      </c>
      <c r="H366" t="s">
        <v>38</v>
      </c>
      <c r="I366" t="str" cm="1">
        <f t="array" ref="I366">_xlfn.IFS(G366=0,"Not Paid",G366=F366,"Fully Paid",G366&lt;F366,"Partially Paid")</f>
        <v>Partially Paid</v>
      </c>
      <c r="J366" t="str">
        <f t="shared" si="5"/>
        <v>NO</v>
      </c>
    </row>
    <row r="367" spans="1:10" x14ac:dyDescent="0.35">
      <c r="A367">
        <v>2366</v>
      </c>
      <c r="B367" t="s">
        <v>398</v>
      </c>
      <c r="C367" t="s">
        <v>17</v>
      </c>
      <c r="D367" t="s">
        <v>14</v>
      </c>
      <c r="E367">
        <v>45835</v>
      </c>
      <c r="F367">
        <v>34087</v>
      </c>
      <c r="G367">
        <v>31298</v>
      </c>
      <c r="H367" t="s">
        <v>67</v>
      </c>
      <c r="I367" t="str" cm="1">
        <f t="array" ref="I367">_xlfn.IFS(G367=0,"Not Paid",G367=F367,"Fully Paid",G367&lt;F367,"Partially Paid")</f>
        <v>Partially Paid</v>
      </c>
      <c r="J367" t="str">
        <f t="shared" si="5"/>
        <v>NO</v>
      </c>
    </row>
    <row r="368" spans="1:10" x14ac:dyDescent="0.35">
      <c r="A368">
        <v>2367</v>
      </c>
      <c r="B368" t="s">
        <v>399</v>
      </c>
      <c r="C368" t="s">
        <v>56</v>
      </c>
      <c r="D368" t="s">
        <v>27</v>
      </c>
      <c r="E368">
        <v>45720</v>
      </c>
      <c r="F368">
        <v>42440</v>
      </c>
      <c r="G368">
        <v>28295</v>
      </c>
      <c r="H368" t="s">
        <v>19</v>
      </c>
      <c r="I368" t="str" cm="1">
        <f t="array" ref="I368">_xlfn.IFS(G368=0,"Not Paid",G368=F368,"Fully Paid",G368&lt;F368,"Partially Paid")</f>
        <v>Partially Paid</v>
      </c>
      <c r="J368" t="str">
        <f t="shared" si="5"/>
        <v>NO</v>
      </c>
    </row>
    <row r="369" spans="1:10" x14ac:dyDescent="0.35">
      <c r="A369">
        <v>2368</v>
      </c>
      <c r="B369" t="s">
        <v>400</v>
      </c>
      <c r="C369" t="s">
        <v>13</v>
      </c>
      <c r="D369" t="s">
        <v>21</v>
      </c>
      <c r="E369">
        <v>45773</v>
      </c>
      <c r="F369">
        <v>55205</v>
      </c>
      <c r="G369">
        <v>51330</v>
      </c>
      <c r="H369" t="s">
        <v>11</v>
      </c>
      <c r="I369" t="str" cm="1">
        <f t="array" ref="I369">_xlfn.IFS(G369=0,"Not Paid",G369=F369,"Fully Paid",G369&lt;F369,"Partially Paid")</f>
        <v>Partially Paid</v>
      </c>
      <c r="J369" t="str">
        <f t="shared" si="5"/>
        <v>YES</v>
      </c>
    </row>
    <row r="370" spans="1:10" x14ac:dyDescent="0.35">
      <c r="A370">
        <v>2369</v>
      </c>
      <c r="B370" t="s">
        <v>401</v>
      </c>
      <c r="C370" t="s">
        <v>56</v>
      </c>
      <c r="D370" t="s">
        <v>10</v>
      </c>
      <c r="E370">
        <v>45848</v>
      </c>
      <c r="F370">
        <v>35275</v>
      </c>
      <c r="G370">
        <v>27670</v>
      </c>
      <c r="H370" t="s">
        <v>43</v>
      </c>
      <c r="I370" t="str" cm="1">
        <f t="array" ref="I370">_xlfn.IFS(G370=0,"Not Paid",G370=F370,"Fully Paid",G370&lt;F370,"Partially Paid")</f>
        <v>Partially Paid</v>
      </c>
      <c r="J370" t="str">
        <f t="shared" si="5"/>
        <v>NO</v>
      </c>
    </row>
    <row r="371" spans="1:10" x14ac:dyDescent="0.35">
      <c r="A371">
        <v>2370</v>
      </c>
      <c r="B371" t="s">
        <v>402</v>
      </c>
      <c r="C371" t="s">
        <v>13</v>
      </c>
      <c r="D371" t="s">
        <v>10</v>
      </c>
      <c r="E371">
        <v>45719</v>
      </c>
      <c r="F371">
        <v>25276</v>
      </c>
      <c r="G371">
        <v>15474</v>
      </c>
      <c r="H371" t="s">
        <v>19</v>
      </c>
      <c r="I371" t="str" cm="1">
        <f t="array" ref="I371">_xlfn.IFS(G371=0,"Not Paid",G371=F371,"Fully Paid",G371&lt;F371,"Partially Paid")</f>
        <v>Partially Paid</v>
      </c>
      <c r="J371" t="str">
        <f t="shared" si="5"/>
        <v>NO</v>
      </c>
    </row>
    <row r="372" spans="1:10" x14ac:dyDescent="0.35">
      <c r="A372">
        <v>2371</v>
      </c>
      <c r="B372" t="s">
        <v>403</v>
      </c>
      <c r="C372" t="s">
        <v>56</v>
      </c>
      <c r="D372" t="s">
        <v>18</v>
      </c>
      <c r="E372">
        <v>45913</v>
      </c>
      <c r="F372">
        <v>57496</v>
      </c>
      <c r="G372">
        <v>49361</v>
      </c>
      <c r="H372" t="s">
        <v>53</v>
      </c>
      <c r="I372" t="str" cm="1">
        <f t="array" ref="I372">_xlfn.IFS(G372=0,"Not Paid",G372=F372,"Fully Paid",G372&lt;F372,"Partially Paid")</f>
        <v>Partially Paid</v>
      </c>
      <c r="J372" t="str">
        <f t="shared" si="5"/>
        <v>YES</v>
      </c>
    </row>
    <row r="373" spans="1:10" x14ac:dyDescent="0.35">
      <c r="A373">
        <v>2372</v>
      </c>
      <c r="B373" t="s">
        <v>404</v>
      </c>
      <c r="C373" t="s">
        <v>45</v>
      </c>
      <c r="D373" t="s">
        <v>18</v>
      </c>
      <c r="E373">
        <v>45664</v>
      </c>
      <c r="F373">
        <v>39008</v>
      </c>
      <c r="G373">
        <v>27893</v>
      </c>
      <c r="H373" t="s">
        <v>15</v>
      </c>
      <c r="I373" t="str" cm="1">
        <f t="array" ref="I373">_xlfn.IFS(G373=0,"Not Paid",G373=F373,"Fully Paid",G373&lt;F373,"Partially Paid")</f>
        <v>Partially Paid</v>
      </c>
      <c r="J373" t="str">
        <f t="shared" si="5"/>
        <v>NO</v>
      </c>
    </row>
    <row r="374" spans="1:10" x14ac:dyDescent="0.35">
      <c r="A374">
        <v>2373</v>
      </c>
      <c r="B374" t="s">
        <v>405</v>
      </c>
      <c r="C374" t="s">
        <v>17</v>
      </c>
      <c r="D374" t="s">
        <v>10</v>
      </c>
      <c r="E374">
        <v>45812</v>
      </c>
      <c r="F374">
        <v>25738</v>
      </c>
      <c r="G374">
        <v>19683</v>
      </c>
      <c r="H374" t="s">
        <v>67</v>
      </c>
      <c r="I374" t="str" cm="1">
        <f t="array" ref="I374">_xlfn.IFS(G374=0,"Not Paid",G374=F374,"Fully Paid",G374&lt;F374,"Partially Paid")</f>
        <v>Partially Paid</v>
      </c>
      <c r="J374" t="str">
        <f t="shared" si="5"/>
        <v>NO</v>
      </c>
    </row>
    <row r="375" spans="1:10" x14ac:dyDescent="0.35">
      <c r="A375">
        <v>2374</v>
      </c>
      <c r="B375" t="s">
        <v>406</v>
      </c>
      <c r="C375" t="s">
        <v>13</v>
      </c>
      <c r="D375" t="s">
        <v>18</v>
      </c>
      <c r="E375">
        <v>45749</v>
      </c>
      <c r="F375">
        <v>52402</v>
      </c>
      <c r="G375">
        <v>48520</v>
      </c>
      <c r="H375" t="s">
        <v>11</v>
      </c>
      <c r="I375" t="str" cm="1">
        <f t="array" ref="I375">_xlfn.IFS(G375=0,"Not Paid",G375=F375,"Fully Paid",G375&lt;F375,"Partially Paid")</f>
        <v>Partially Paid</v>
      </c>
      <c r="J375" t="str">
        <f t="shared" si="5"/>
        <v>YES</v>
      </c>
    </row>
    <row r="376" spans="1:10" x14ac:dyDescent="0.35">
      <c r="A376">
        <v>2375</v>
      </c>
      <c r="B376" t="s">
        <v>407</v>
      </c>
      <c r="C376" t="s">
        <v>9</v>
      </c>
      <c r="D376" t="s">
        <v>14</v>
      </c>
      <c r="E376">
        <v>45671</v>
      </c>
      <c r="F376">
        <v>25793</v>
      </c>
      <c r="G376">
        <v>14380</v>
      </c>
      <c r="H376" t="s">
        <v>15</v>
      </c>
      <c r="I376" t="str" cm="1">
        <f t="array" ref="I376">_xlfn.IFS(G376=0,"Not Paid",G376=F376,"Fully Paid",G376&lt;F376,"Partially Paid")</f>
        <v>Partially Paid</v>
      </c>
      <c r="J376" t="str">
        <f t="shared" si="5"/>
        <v>NO</v>
      </c>
    </row>
    <row r="377" spans="1:10" x14ac:dyDescent="0.35">
      <c r="A377">
        <v>2376</v>
      </c>
      <c r="B377" t="s">
        <v>408</v>
      </c>
      <c r="C377" t="s">
        <v>24</v>
      </c>
      <c r="D377" t="s">
        <v>27</v>
      </c>
      <c r="E377">
        <v>45886</v>
      </c>
      <c r="F377">
        <v>57291</v>
      </c>
      <c r="G377">
        <v>42296</v>
      </c>
      <c r="H377" t="s">
        <v>38</v>
      </c>
      <c r="I377" t="str" cm="1">
        <f t="array" ref="I377">_xlfn.IFS(G377=0,"Not Paid",G377=F377,"Fully Paid",G377&lt;F377,"Partially Paid")</f>
        <v>Partially Paid</v>
      </c>
      <c r="J377" t="str">
        <f t="shared" si="5"/>
        <v>YES</v>
      </c>
    </row>
    <row r="378" spans="1:10" x14ac:dyDescent="0.35">
      <c r="A378">
        <v>2377</v>
      </c>
      <c r="B378" t="s">
        <v>409</v>
      </c>
      <c r="C378" t="s">
        <v>56</v>
      </c>
      <c r="D378" t="s">
        <v>10</v>
      </c>
      <c r="E378">
        <v>45743</v>
      </c>
      <c r="F378">
        <v>25571</v>
      </c>
      <c r="G378">
        <v>18396</v>
      </c>
      <c r="H378" t="s">
        <v>19</v>
      </c>
      <c r="I378" t="str" cm="1">
        <f t="array" ref="I378">_xlfn.IFS(G378=0,"Not Paid",G378=F378,"Fully Paid",G378&lt;F378,"Partially Paid")</f>
        <v>Partially Paid</v>
      </c>
      <c r="J378" t="str">
        <f t="shared" si="5"/>
        <v>NO</v>
      </c>
    </row>
    <row r="379" spans="1:10" x14ac:dyDescent="0.35">
      <c r="A379">
        <v>2378</v>
      </c>
      <c r="B379" t="s">
        <v>410</v>
      </c>
      <c r="C379" t="s">
        <v>56</v>
      </c>
      <c r="D379" t="s">
        <v>18</v>
      </c>
      <c r="E379">
        <v>45790</v>
      </c>
      <c r="F379">
        <v>51331</v>
      </c>
      <c r="G379">
        <v>37991</v>
      </c>
      <c r="H379" t="s">
        <v>31</v>
      </c>
      <c r="I379" t="str" cm="1">
        <f t="array" ref="I379">_xlfn.IFS(G379=0,"Not Paid",G379=F379,"Fully Paid",G379&lt;F379,"Partially Paid")</f>
        <v>Partially Paid</v>
      </c>
      <c r="J379" t="str">
        <f t="shared" si="5"/>
        <v>YES</v>
      </c>
    </row>
    <row r="380" spans="1:10" x14ac:dyDescent="0.35">
      <c r="A380">
        <v>2379</v>
      </c>
      <c r="B380" t="s">
        <v>411</v>
      </c>
      <c r="C380" t="s">
        <v>13</v>
      </c>
      <c r="D380" t="s">
        <v>10</v>
      </c>
      <c r="E380">
        <v>45840</v>
      </c>
      <c r="F380">
        <v>36209</v>
      </c>
      <c r="G380">
        <v>23626</v>
      </c>
      <c r="H380" t="s">
        <v>43</v>
      </c>
      <c r="I380" t="str" cm="1">
        <f t="array" ref="I380">_xlfn.IFS(G380=0,"Not Paid",G380=F380,"Fully Paid",G380&lt;F380,"Partially Paid")</f>
        <v>Partially Paid</v>
      </c>
      <c r="J380" t="str">
        <f t="shared" si="5"/>
        <v>NO</v>
      </c>
    </row>
    <row r="381" spans="1:10" x14ac:dyDescent="0.35">
      <c r="A381">
        <v>2380</v>
      </c>
      <c r="B381" t="s">
        <v>412</v>
      </c>
      <c r="C381" t="s">
        <v>24</v>
      </c>
      <c r="D381" t="s">
        <v>21</v>
      </c>
      <c r="E381">
        <v>45719</v>
      </c>
      <c r="F381">
        <v>45394</v>
      </c>
      <c r="G381">
        <v>38265</v>
      </c>
      <c r="H381" t="s">
        <v>19</v>
      </c>
      <c r="I381" t="str" cm="1">
        <f t="array" ref="I381">_xlfn.IFS(G381=0,"Not Paid",G381=F381,"Fully Paid",G381&lt;F381,"Partially Paid")</f>
        <v>Partially Paid</v>
      </c>
      <c r="J381" t="str">
        <f t="shared" si="5"/>
        <v>NO</v>
      </c>
    </row>
    <row r="382" spans="1:10" x14ac:dyDescent="0.35">
      <c r="A382">
        <v>2381</v>
      </c>
      <c r="B382" t="s">
        <v>413</v>
      </c>
      <c r="C382" t="s">
        <v>24</v>
      </c>
      <c r="D382" t="s">
        <v>37</v>
      </c>
      <c r="E382">
        <v>45876</v>
      </c>
      <c r="F382">
        <v>45682</v>
      </c>
      <c r="G382">
        <v>40661</v>
      </c>
      <c r="H382" t="s">
        <v>38</v>
      </c>
      <c r="I382" t="str" cm="1">
        <f t="array" ref="I382">_xlfn.IFS(G382=0,"Not Paid",G382=F382,"Fully Paid",G382&lt;F382,"Partially Paid")</f>
        <v>Partially Paid</v>
      </c>
      <c r="J382" t="str">
        <f t="shared" si="5"/>
        <v>NO</v>
      </c>
    </row>
    <row r="383" spans="1:10" x14ac:dyDescent="0.35">
      <c r="A383">
        <v>2382</v>
      </c>
      <c r="B383" t="s">
        <v>414</v>
      </c>
      <c r="C383" t="s">
        <v>45</v>
      </c>
      <c r="D383" t="s">
        <v>27</v>
      </c>
      <c r="E383">
        <v>45903</v>
      </c>
      <c r="F383">
        <v>22224</v>
      </c>
      <c r="G383">
        <v>17489</v>
      </c>
      <c r="H383" t="s">
        <v>53</v>
      </c>
      <c r="I383" t="str" cm="1">
        <f t="array" ref="I383">_xlfn.IFS(G383=0,"Not Paid",G383=F383,"Fully Paid",G383&lt;F383,"Partially Paid")</f>
        <v>Partially Paid</v>
      </c>
      <c r="J383" t="str">
        <f t="shared" si="5"/>
        <v>NO</v>
      </c>
    </row>
    <row r="384" spans="1:10" x14ac:dyDescent="0.35">
      <c r="A384">
        <v>2383</v>
      </c>
      <c r="B384" t="s">
        <v>415</v>
      </c>
      <c r="C384" t="s">
        <v>9</v>
      </c>
      <c r="D384" t="s">
        <v>10</v>
      </c>
      <c r="E384">
        <v>45887</v>
      </c>
      <c r="F384">
        <v>52441</v>
      </c>
      <c r="G384">
        <v>50054</v>
      </c>
      <c r="H384" t="s">
        <v>38</v>
      </c>
      <c r="I384" t="str" cm="1">
        <f t="array" ref="I384">_xlfn.IFS(G384=0,"Not Paid",G384=F384,"Fully Paid",G384&lt;F384,"Partially Paid")</f>
        <v>Partially Paid</v>
      </c>
      <c r="J384" t="str">
        <f t="shared" si="5"/>
        <v>YES</v>
      </c>
    </row>
    <row r="385" spans="1:10" x14ac:dyDescent="0.35">
      <c r="A385">
        <v>2384</v>
      </c>
      <c r="B385" t="s">
        <v>416</v>
      </c>
      <c r="C385" t="s">
        <v>45</v>
      </c>
      <c r="D385" t="s">
        <v>37</v>
      </c>
      <c r="E385">
        <v>45736</v>
      </c>
      <c r="F385">
        <v>59129</v>
      </c>
      <c r="G385">
        <v>46214</v>
      </c>
      <c r="H385" t="s">
        <v>19</v>
      </c>
      <c r="I385" t="str" cm="1">
        <f t="array" ref="I385">_xlfn.IFS(G385=0,"Not Paid",G385=F385,"Fully Paid",G385&lt;F385,"Partially Paid")</f>
        <v>Partially Paid</v>
      </c>
      <c r="J385" t="str">
        <f t="shared" si="5"/>
        <v>YES</v>
      </c>
    </row>
    <row r="386" spans="1:10" x14ac:dyDescent="0.35">
      <c r="A386">
        <v>2385</v>
      </c>
      <c r="B386" t="s">
        <v>417</v>
      </c>
      <c r="C386" t="s">
        <v>45</v>
      </c>
      <c r="D386" t="s">
        <v>18</v>
      </c>
      <c r="E386">
        <v>45806</v>
      </c>
      <c r="F386">
        <v>54716</v>
      </c>
      <c r="G386">
        <v>48134</v>
      </c>
      <c r="H386" t="s">
        <v>31</v>
      </c>
      <c r="I386" t="str" cm="1">
        <f t="array" ref="I386">_xlfn.IFS(G386=0,"Not Paid",G386=F386,"Fully Paid",G386&lt;F386,"Partially Paid")</f>
        <v>Partially Paid</v>
      </c>
      <c r="J386" t="str">
        <f t="shared" si="5"/>
        <v>YES</v>
      </c>
    </row>
    <row r="387" spans="1:10" x14ac:dyDescent="0.35">
      <c r="A387">
        <v>2386</v>
      </c>
      <c r="B387" t="s">
        <v>418</v>
      </c>
      <c r="C387" t="s">
        <v>45</v>
      </c>
      <c r="D387" t="s">
        <v>37</v>
      </c>
      <c r="E387">
        <v>45795</v>
      </c>
      <c r="F387">
        <v>46586</v>
      </c>
      <c r="G387">
        <v>33131</v>
      </c>
      <c r="H387" t="s">
        <v>31</v>
      </c>
      <c r="I387" t="str" cm="1">
        <f t="array" ref="I387">_xlfn.IFS(G387=0,"Not Paid",G387=F387,"Fully Paid",G387&lt;F387,"Partially Paid")</f>
        <v>Partially Paid</v>
      </c>
      <c r="J387" t="str">
        <f t="shared" ref="J387:J450" si="6">IF(F387&gt;50000,"YES","NO")</f>
        <v>NO</v>
      </c>
    </row>
    <row r="388" spans="1:10" x14ac:dyDescent="0.35">
      <c r="A388">
        <v>2387</v>
      </c>
      <c r="B388" t="s">
        <v>419</v>
      </c>
      <c r="C388" t="s">
        <v>45</v>
      </c>
      <c r="D388" t="s">
        <v>27</v>
      </c>
      <c r="E388">
        <v>45971</v>
      </c>
      <c r="F388">
        <v>43478</v>
      </c>
      <c r="G388">
        <v>34345</v>
      </c>
      <c r="H388" t="s">
        <v>29</v>
      </c>
      <c r="I388" t="str" cm="1">
        <f t="array" ref="I388">_xlfn.IFS(G388=0,"Not Paid",G388=F388,"Fully Paid",G388&lt;F388,"Partially Paid")</f>
        <v>Partially Paid</v>
      </c>
      <c r="J388" t="str">
        <f t="shared" si="6"/>
        <v>NO</v>
      </c>
    </row>
    <row r="389" spans="1:10" x14ac:dyDescent="0.35">
      <c r="A389">
        <v>2388</v>
      </c>
      <c r="B389" t="s">
        <v>420</v>
      </c>
      <c r="C389" t="s">
        <v>45</v>
      </c>
      <c r="D389" t="s">
        <v>10</v>
      </c>
      <c r="E389">
        <v>45722</v>
      </c>
      <c r="F389">
        <v>26318</v>
      </c>
      <c r="G389">
        <v>13201</v>
      </c>
      <c r="H389" t="s">
        <v>19</v>
      </c>
      <c r="I389" t="str" cm="1">
        <f t="array" ref="I389">_xlfn.IFS(G389=0,"Not Paid",G389=F389,"Fully Paid",G389&lt;F389,"Partially Paid")</f>
        <v>Partially Paid</v>
      </c>
      <c r="J389" t="str">
        <f t="shared" si="6"/>
        <v>NO</v>
      </c>
    </row>
    <row r="390" spans="1:10" x14ac:dyDescent="0.35">
      <c r="A390">
        <v>2389</v>
      </c>
      <c r="B390" t="s">
        <v>421</v>
      </c>
      <c r="C390" t="s">
        <v>17</v>
      </c>
      <c r="D390" t="s">
        <v>21</v>
      </c>
      <c r="E390">
        <v>45670</v>
      </c>
      <c r="F390">
        <v>48694</v>
      </c>
      <c r="G390">
        <v>42828</v>
      </c>
      <c r="H390" t="s">
        <v>15</v>
      </c>
      <c r="I390" t="str" cm="1">
        <f t="array" ref="I390">_xlfn.IFS(G390=0,"Not Paid",G390=F390,"Fully Paid",G390&lt;F390,"Partially Paid")</f>
        <v>Partially Paid</v>
      </c>
      <c r="J390" t="str">
        <f t="shared" si="6"/>
        <v>NO</v>
      </c>
    </row>
    <row r="391" spans="1:10" x14ac:dyDescent="0.35">
      <c r="A391">
        <v>2390</v>
      </c>
      <c r="B391" t="s">
        <v>422</v>
      </c>
      <c r="C391" t="s">
        <v>24</v>
      </c>
      <c r="D391" t="s">
        <v>18</v>
      </c>
      <c r="E391">
        <v>45870</v>
      </c>
      <c r="F391">
        <v>40180</v>
      </c>
      <c r="G391">
        <v>37614</v>
      </c>
      <c r="H391" t="s">
        <v>38</v>
      </c>
      <c r="I391" t="str" cm="1">
        <f t="array" ref="I391">_xlfn.IFS(G391=0,"Not Paid",G391=F391,"Fully Paid",G391&lt;F391,"Partially Paid")</f>
        <v>Partially Paid</v>
      </c>
      <c r="J391" t="str">
        <f t="shared" si="6"/>
        <v>NO</v>
      </c>
    </row>
    <row r="392" spans="1:10" x14ac:dyDescent="0.35">
      <c r="A392">
        <v>2391</v>
      </c>
      <c r="B392" t="s">
        <v>423</v>
      </c>
      <c r="C392" t="s">
        <v>45</v>
      </c>
      <c r="D392" t="s">
        <v>10</v>
      </c>
      <c r="E392">
        <v>45899</v>
      </c>
      <c r="F392">
        <v>32180</v>
      </c>
      <c r="G392">
        <v>31205</v>
      </c>
      <c r="H392" t="s">
        <v>38</v>
      </c>
      <c r="I392" t="str" cm="1">
        <f t="array" ref="I392">_xlfn.IFS(G392=0,"Not Paid",G392=F392,"Fully Paid",G392&lt;F392,"Partially Paid")</f>
        <v>Partially Paid</v>
      </c>
      <c r="J392" t="str">
        <f t="shared" si="6"/>
        <v>NO</v>
      </c>
    </row>
    <row r="393" spans="1:10" x14ac:dyDescent="0.35">
      <c r="A393">
        <v>2392</v>
      </c>
      <c r="B393" t="s">
        <v>424</v>
      </c>
      <c r="C393" t="s">
        <v>24</v>
      </c>
      <c r="D393" t="s">
        <v>27</v>
      </c>
      <c r="E393">
        <v>45870</v>
      </c>
      <c r="F393">
        <v>53002</v>
      </c>
      <c r="G393">
        <v>45790</v>
      </c>
      <c r="H393" t="s">
        <v>38</v>
      </c>
      <c r="I393" t="str" cm="1">
        <f t="array" ref="I393">_xlfn.IFS(G393=0,"Not Paid",G393=F393,"Fully Paid",G393&lt;F393,"Partially Paid")</f>
        <v>Partially Paid</v>
      </c>
      <c r="J393" t="str">
        <f t="shared" si="6"/>
        <v>YES</v>
      </c>
    </row>
    <row r="394" spans="1:10" x14ac:dyDescent="0.35">
      <c r="A394">
        <v>2393</v>
      </c>
      <c r="B394" t="s">
        <v>425</v>
      </c>
      <c r="C394" t="s">
        <v>24</v>
      </c>
      <c r="D394" t="s">
        <v>18</v>
      </c>
      <c r="E394">
        <v>45838</v>
      </c>
      <c r="F394">
        <v>35372</v>
      </c>
      <c r="G394">
        <v>26226</v>
      </c>
      <c r="H394" t="s">
        <v>67</v>
      </c>
      <c r="I394" t="str" cm="1">
        <f t="array" ref="I394">_xlfn.IFS(G394=0,"Not Paid",G394=F394,"Fully Paid",G394&lt;F394,"Partially Paid")</f>
        <v>Partially Paid</v>
      </c>
      <c r="J394" t="str">
        <f t="shared" si="6"/>
        <v>NO</v>
      </c>
    </row>
    <row r="395" spans="1:10" x14ac:dyDescent="0.35">
      <c r="A395">
        <v>2394</v>
      </c>
      <c r="B395" t="s">
        <v>426</v>
      </c>
      <c r="C395" t="s">
        <v>33</v>
      </c>
      <c r="D395" t="s">
        <v>14</v>
      </c>
      <c r="E395">
        <v>45995</v>
      </c>
      <c r="F395">
        <v>49796</v>
      </c>
      <c r="G395">
        <v>48534</v>
      </c>
      <c r="H395" t="s">
        <v>25</v>
      </c>
      <c r="I395" t="str" cm="1">
        <f t="array" ref="I395">_xlfn.IFS(G395=0,"Not Paid",G395=F395,"Fully Paid",G395&lt;F395,"Partially Paid")</f>
        <v>Partially Paid</v>
      </c>
      <c r="J395" t="str">
        <f t="shared" si="6"/>
        <v>NO</v>
      </c>
    </row>
    <row r="396" spans="1:10" x14ac:dyDescent="0.35">
      <c r="A396">
        <v>2395</v>
      </c>
      <c r="B396" t="s">
        <v>427</v>
      </c>
      <c r="C396" t="s">
        <v>17</v>
      </c>
      <c r="D396" t="s">
        <v>37</v>
      </c>
      <c r="E396">
        <v>45830</v>
      </c>
      <c r="F396">
        <v>44427</v>
      </c>
      <c r="G396">
        <v>39380</v>
      </c>
      <c r="H396" t="s">
        <v>67</v>
      </c>
      <c r="I396" t="str" cm="1">
        <f t="array" ref="I396">_xlfn.IFS(G396=0,"Not Paid",G396=F396,"Fully Paid",G396&lt;F396,"Partially Paid")</f>
        <v>Partially Paid</v>
      </c>
      <c r="J396" t="str">
        <f t="shared" si="6"/>
        <v>NO</v>
      </c>
    </row>
    <row r="397" spans="1:10" x14ac:dyDescent="0.35">
      <c r="A397">
        <v>2396</v>
      </c>
      <c r="B397" t="s">
        <v>428</v>
      </c>
      <c r="C397" t="s">
        <v>45</v>
      </c>
      <c r="D397" t="s">
        <v>27</v>
      </c>
      <c r="E397">
        <v>45817</v>
      </c>
      <c r="F397">
        <v>53290</v>
      </c>
      <c r="G397">
        <v>44155</v>
      </c>
      <c r="H397" t="s">
        <v>67</v>
      </c>
      <c r="I397" t="str" cm="1">
        <f t="array" ref="I397">_xlfn.IFS(G397=0,"Not Paid",G397=F397,"Fully Paid",G397&lt;F397,"Partially Paid")</f>
        <v>Partially Paid</v>
      </c>
      <c r="J397" t="str">
        <f t="shared" si="6"/>
        <v>YES</v>
      </c>
    </row>
    <row r="398" spans="1:10" x14ac:dyDescent="0.35">
      <c r="A398">
        <v>2397</v>
      </c>
      <c r="B398" t="s">
        <v>429</v>
      </c>
      <c r="C398" t="s">
        <v>56</v>
      </c>
      <c r="D398" t="s">
        <v>14</v>
      </c>
      <c r="E398">
        <v>45821</v>
      </c>
      <c r="F398">
        <v>48099</v>
      </c>
      <c r="G398">
        <v>37705</v>
      </c>
      <c r="H398" t="s">
        <v>67</v>
      </c>
      <c r="I398" t="str" cm="1">
        <f t="array" ref="I398">_xlfn.IFS(G398=0,"Not Paid",G398=F398,"Fully Paid",G398&lt;F398,"Partially Paid")</f>
        <v>Partially Paid</v>
      </c>
      <c r="J398" t="str">
        <f t="shared" si="6"/>
        <v>NO</v>
      </c>
    </row>
    <row r="399" spans="1:10" x14ac:dyDescent="0.35">
      <c r="A399">
        <v>2398</v>
      </c>
      <c r="B399" t="s">
        <v>430</v>
      </c>
      <c r="C399" t="s">
        <v>13</v>
      </c>
      <c r="D399" t="s">
        <v>10</v>
      </c>
      <c r="E399">
        <v>45845</v>
      </c>
      <c r="F399">
        <v>29821</v>
      </c>
      <c r="G399">
        <v>16329</v>
      </c>
      <c r="H399" t="s">
        <v>43</v>
      </c>
      <c r="I399" t="str" cm="1">
        <f t="array" ref="I399">_xlfn.IFS(G399=0,"Not Paid",G399=F399,"Fully Paid",G399&lt;F399,"Partially Paid")</f>
        <v>Partially Paid</v>
      </c>
      <c r="J399" t="str">
        <f t="shared" si="6"/>
        <v>NO</v>
      </c>
    </row>
    <row r="400" spans="1:10" x14ac:dyDescent="0.35">
      <c r="A400">
        <v>2399</v>
      </c>
      <c r="B400" t="s">
        <v>431</v>
      </c>
      <c r="C400" t="s">
        <v>9</v>
      </c>
      <c r="D400" t="s">
        <v>21</v>
      </c>
      <c r="E400">
        <v>45848</v>
      </c>
      <c r="F400">
        <v>25832</v>
      </c>
      <c r="G400">
        <v>18450</v>
      </c>
      <c r="H400" t="s">
        <v>43</v>
      </c>
      <c r="I400" t="str" cm="1">
        <f t="array" ref="I400">_xlfn.IFS(G400=0,"Not Paid",G400=F400,"Fully Paid",G400&lt;F400,"Partially Paid")</f>
        <v>Partially Paid</v>
      </c>
      <c r="J400" t="str">
        <f t="shared" si="6"/>
        <v>NO</v>
      </c>
    </row>
    <row r="401" spans="1:10" x14ac:dyDescent="0.35">
      <c r="A401">
        <v>2400</v>
      </c>
      <c r="B401" t="s">
        <v>432</v>
      </c>
      <c r="C401" t="s">
        <v>56</v>
      </c>
      <c r="D401" t="s">
        <v>18</v>
      </c>
      <c r="E401">
        <v>45965</v>
      </c>
      <c r="F401">
        <v>32820</v>
      </c>
      <c r="G401">
        <v>26589</v>
      </c>
      <c r="H401" t="s">
        <v>29</v>
      </c>
      <c r="I401" t="str" cm="1">
        <f t="array" ref="I401">_xlfn.IFS(G401=0,"Not Paid",G401=F401,"Fully Paid",G401&lt;F401,"Partially Paid")</f>
        <v>Partially Paid</v>
      </c>
      <c r="J401" t="str">
        <f t="shared" si="6"/>
        <v>NO</v>
      </c>
    </row>
    <row r="402" spans="1:10" x14ac:dyDescent="0.35">
      <c r="A402">
        <v>2401</v>
      </c>
      <c r="B402" t="s">
        <v>433</v>
      </c>
      <c r="C402" t="s">
        <v>17</v>
      </c>
      <c r="D402" t="s">
        <v>37</v>
      </c>
      <c r="E402">
        <v>45913</v>
      </c>
      <c r="F402">
        <v>36211</v>
      </c>
      <c r="G402">
        <v>32884</v>
      </c>
      <c r="H402" t="s">
        <v>53</v>
      </c>
      <c r="I402" t="str" cm="1">
        <f t="array" ref="I402">_xlfn.IFS(G402=0,"Not Paid",G402=F402,"Fully Paid",G402&lt;F402,"Partially Paid")</f>
        <v>Partially Paid</v>
      </c>
      <c r="J402" t="str">
        <f t="shared" si="6"/>
        <v>NO</v>
      </c>
    </row>
    <row r="403" spans="1:10" x14ac:dyDescent="0.35">
      <c r="A403">
        <v>2402</v>
      </c>
      <c r="B403" t="s">
        <v>434</v>
      </c>
      <c r="C403" t="s">
        <v>13</v>
      </c>
      <c r="D403" t="s">
        <v>18</v>
      </c>
      <c r="E403">
        <v>45840</v>
      </c>
      <c r="F403">
        <v>59890</v>
      </c>
      <c r="G403">
        <v>54260</v>
      </c>
      <c r="H403" t="s">
        <v>43</v>
      </c>
      <c r="I403" t="str" cm="1">
        <f t="array" ref="I403">_xlfn.IFS(G403=0,"Not Paid",G403=F403,"Fully Paid",G403&lt;F403,"Partially Paid")</f>
        <v>Partially Paid</v>
      </c>
      <c r="J403" t="str">
        <f t="shared" si="6"/>
        <v>YES</v>
      </c>
    </row>
    <row r="404" spans="1:10" x14ac:dyDescent="0.35">
      <c r="A404">
        <v>2403</v>
      </c>
      <c r="B404" t="s">
        <v>435</v>
      </c>
      <c r="C404" t="s">
        <v>17</v>
      </c>
      <c r="D404" t="s">
        <v>10</v>
      </c>
      <c r="E404">
        <v>45774</v>
      </c>
      <c r="F404">
        <v>25842</v>
      </c>
      <c r="G404">
        <v>12458</v>
      </c>
      <c r="H404" t="s">
        <v>11</v>
      </c>
      <c r="I404" t="str" cm="1">
        <f t="array" ref="I404">_xlfn.IFS(G404=0,"Not Paid",G404=F404,"Fully Paid",G404&lt;F404,"Partially Paid")</f>
        <v>Partially Paid</v>
      </c>
      <c r="J404" t="str">
        <f t="shared" si="6"/>
        <v>NO</v>
      </c>
    </row>
    <row r="405" spans="1:10" x14ac:dyDescent="0.35">
      <c r="A405">
        <v>2404</v>
      </c>
      <c r="B405" t="s">
        <v>436</v>
      </c>
      <c r="C405" t="s">
        <v>24</v>
      </c>
      <c r="D405" t="s">
        <v>18</v>
      </c>
      <c r="E405">
        <v>45939</v>
      </c>
      <c r="F405">
        <v>21316</v>
      </c>
      <c r="G405">
        <v>8850</v>
      </c>
      <c r="H405" t="s">
        <v>22</v>
      </c>
      <c r="I405" t="str" cm="1">
        <f t="array" ref="I405">_xlfn.IFS(G405=0,"Not Paid",G405=F405,"Fully Paid",G405&lt;F405,"Partially Paid")</f>
        <v>Partially Paid</v>
      </c>
      <c r="J405" t="str">
        <f t="shared" si="6"/>
        <v>NO</v>
      </c>
    </row>
    <row r="406" spans="1:10" x14ac:dyDescent="0.35">
      <c r="A406">
        <v>2405</v>
      </c>
      <c r="B406" t="s">
        <v>437</v>
      </c>
      <c r="C406" t="s">
        <v>13</v>
      </c>
      <c r="D406" t="s">
        <v>37</v>
      </c>
      <c r="E406">
        <v>45853</v>
      </c>
      <c r="F406">
        <v>37508</v>
      </c>
      <c r="G406">
        <v>35249</v>
      </c>
      <c r="H406" t="s">
        <v>43</v>
      </c>
      <c r="I406" t="str" cm="1">
        <f t="array" ref="I406">_xlfn.IFS(G406=0,"Not Paid",G406=F406,"Fully Paid",G406&lt;F406,"Partially Paid")</f>
        <v>Partially Paid</v>
      </c>
      <c r="J406" t="str">
        <f t="shared" si="6"/>
        <v>NO</v>
      </c>
    </row>
    <row r="407" spans="1:10" x14ac:dyDescent="0.35">
      <c r="A407">
        <v>2406</v>
      </c>
      <c r="B407" t="s">
        <v>438</v>
      </c>
      <c r="C407" t="s">
        <v>24</v>
      </c>
      <c r="D407" t="s">
        <v>10</v>
      </c>
      <c r="E407">
        <v>45691</v>
      </c>
      <c r="F407">
        <v>42005</v>
      </c>
      <c r="G407">
        <v>31985</v>
      </c>
      <c r="H407" t="s">
        <v>77</v>
      </c>
      <c r="I407" t="str" cm="1">
        <f t="array" ref="I407">_xlfn.IFS(G407=0,"Not Paid",G407=F407,"Fully Paid",G407&lt;F407,"Partially Paid")</f>
        <v>Partially Paid</v>
      </c>
      <c r="J407" t="str">
        <f t="shared" si="6"/>
        <v>NO</v>
      </c>
    </row>
    <row r="408" spans="1:10" x14ac:dyDescent="0.35">
      <c r="A408">
        <v>2407</v>
      </c>
      <c r="B408" t="s">
        <v>439</v>
      </c>
      <c r="C408" t="s">
        <v>56</v>
      </c>
      <c r="D408" t="s">
        <v>18</v>
      </c>
      <c r="E408">
        <v>45709</v>
      </c>
      <c r="F408">
        <v>35206</v>
      </c>
      <c r="G408">
        <v>33949</v>
      </c>
      <c r="H408" t="s">
        <v>77</v>
      </c>
      <c r="I408" t="str" cm="1">
        <f t="array" ref="I408">_xlfn.IFS(G408=0,"Not Paid",G408=F408,"Fully Paid",G408&lt;F408,"Partially Paid")</f>
        <v>Partially Paid</v>
      </c>
      <c r="J408" t="str">
        <f t="shared" si="6"/>
        <v>NO</v>
      </c>
    </row>
    <row r="409" spans="1:10" x14ac:dyDescent="0.35">
      <c r="A409">
        <v>2408</v>
      </c>
      <c r="B409" t="s">
        <v>440</v>
      </c>
      <c r="C409" t="s">
        <v>56</v>
      </c>
      <c r="D409" t="s">
        <v>21</v>
      </c>
      <c r="E409">
        <v>45769</v>
      </c>
      <c r="F409">
        <v>38971</v>
      </c>
      <c r="G409">
        <v>38507</v>
      </c>
      <c r="H409" t="s">
        <v>11</v>
      </c>
      <c r="I409" t="str" cm="1">
        <f t="array" ref="I409">_xlfn.IFS(G409=0,"Not Paid",G409=F409,"Fully Paid",G409&lt;F409,"Partially Paid")</f>
        <v>Partially Paid</v>
      </c>
      <c r="J409" t="str">
        <f t="shared" si="6"/>
        <v>NO</v>
      </c>
    </row>
    <row r="410" spans="1:10" x14ac:dyDescent="0.35">
      <c r="A410">
        <v>2409</v>
      </c>
      <c r="B410" t="s">
        <v>441</v>
      </c>
      <c r="C410" t="s">
        <v>13</v>
      </c>
      <c r="D410" t="s">
        <v>27</v>
      </c>
      <c r="E410">
        <v>45909</v>
      </c>
      <c r="F410">
        <v>45599</v>
      </c>
      <c r="G410">
        <v>31537</v>
      </c>
      <c r="H410" t="s">
        <v>53</v>
      </c>
      <c r="I410" t="str" cm="1">
        <f t="array" ref="I410">_xlfn.IFS(G410=0,"Not Paid",G410=F410,"Fully Paid",G410&lt;F410,"Partially Paid")</f>
        <v>Partially Paid</v>
      </c>
      <c r="J410" t="str">
        <f t="shared" si="6"/>
        <v>NO</v>
      </c>
    </row>
    <row r="411" spans="1:10" x14ac:dyDescent="0.35">
      <c r="A411">
        <v>2410</v>
      </c>
      <c r="B411" t="s">
        <v>442</v>
      </c>
      <c r="C411" t="s">
        <v>13</v>
      </c>
      <c r="D411" t="s">
        <v>10</v>
      </c>
      <c r="E411">
        <v>45739</v>
      </c>
      <c r="F411">
        <v>42056</v>
      </c>
      <c r="G411">
        <v>38762</v>
      </c>
      <c r="H411" t="s">
        <v>19</v>
      </c>
      <c r="I411" t="str" cm="1">
        <f t="array" ref="I411">_xlfn.IFS(G411=0,"Not Paid",G411=F411,"Fully Paid",G411&lt;F411,"Partially Paid")</f>
        <v>Partially Paid</v>
      </c>
      <c r="J411" t="str">
        <f t="shared" si="6"/>
        <v>NO</v>
      </c>
    </row>
    <row r="412" spans="1:10" x14ac:dyDescent="0.35">
      <c r="A412">
        <v>2411</v>
      </c>
      <c r="B412" t="s">
        <v>443</v>
      </c>
      <c r="C412" t="s">
        <v>45</v>
      </c>
      <c r="D412" t="s">
        <v>27</v>
      </c>
      <c r="E412">
        <v>45889</v>
      </c>
      <c r="F412">
        <v>21378</v>
      </c>
      <c r="G412">
        <v>14604</v>
      </c>
      <c r="H412" t="s">
        <v>38</v>
      </c>
      <c r="I412" t="str" cm="1">
        <f t="array" ref="I412">_xlfn.IFS(G412=0,"Not Paid",G412=F412,"Fully Paid",G412&lt;F412,"Partially Paid")</f>
        <v>Partially Paid</v>
      </c>
      <c r="J412" t="str">
        <f t="shared" si="6"/>
        <v>NO</v>
      </c>
    </row>
    <row r="413" spans="1:10" x14ac:dyDescent="0.35">
      <c r="A413">
        <v>2412</v>
      </c>
      <c r="B413" t="s">
        <v>444</v>
      </c>
      <c r="C413" t="s">
        <v>17</v>
      </c>
      <c r="D413" t="s">
        <v>10</v>
      </c>
      <c r="E413">
        <v>45884</v>
      </c>
      <c r="F413">
        <v>21519</v>
      </c>
      <c r="G413">
        <v>14088</v>
      </c>
      <c r="H413" t="s">
        <v>38</v>
      </c>
      <c r="I413" t="str" cm="1">
        <f t="array" ref="I413">_xlfn.IFS(G413=0,"Not Paid",G413=F413,"Fully Paid",G413&lt;F413,"Partially Paid")</f>
        <v>Partially Paid</v>
      </c>
      <c r="J413" t="str">
        <f t="shared" si="6"/>
        <v>NO</v>
      </c>
    </row>
    <row r="414" spans="1:10" x14ac:dyDescent="0.35">
      <c r="A414">
        <v>2413</v>
      </c>
      <c r="B414" t="s">
        <v>445</v>
      </c>
      <c r="C414" t="s">
        <v>45</v>
      </c>
      <c r="D414" t="s">
        <v>21</v>
      </c>
      <c r="E414">
        <v>45890</v>
      </c>
      <c r="F414">
        <v>42161</v>
      </c>
      <c r="G414">
        <v>40931</v>
      </c>
      <c r="H414" t="s">
        <v>38</v>
      </c>
      <c r="I414" t="str" cm="1">
        <f t="array" ref="I414">_xlfn.IFS(G414=0,"Not Paid",G414=F414,"Fully Paid",G414&lt;F414,"Partially Paid")</f>
        <v>Partially Paid</v>
      </c>
      <c r="J414" t="str">
        <f t="shared" si="6"/>
        <v>NO</v>
      </c>
    </row>
    <row r="415" spans="1:10" x14ac:dyDescent="0.35">
      <c r="A415">
        <v>2414</v>
      </c>
      <c r="B415" t="s">
        <v>446</v>
      </c>
      <c r="C415" t="s">
        <v>17</v>
      </c>
      <c r="D415" t="s">
        <v>27</v>
      </c>
      <c r="E415">
        <v>45878</v>
      </c>
      <c r="F415">
        <v>58861</v>
      </c>
      <c r="G415">
        <v>48015</v>
      </c>
      <c r="H415" t="s">
        <v>38</v>
      </c>
      <c r="I415" t="str" cm="1">
        <f t="array" ref="I415">_xlfn.IFS(G415=0,"Not Paid",G415=F415,"Fully Paid",G415&lt;F415,"Partially Paid")</f>
        <v>Partially Paid</v>
      </c>
      <c r="J415" t="str">
        <f t="shared" si="6"/>
        <v>YES</v>
      </c>
    </row>
    <row r="416" spans="1:10" x14ac:dyDescent="0.35">
      <c r="A416">
        <v>2415</v>
      </c>
      <c r="B416" t="s">
        <v>447</v>
      </c>
      <c r="C416" t="s">
        <v>45</v>
      </c>
      <c r="D416" t="s">
        <v>14</v>
      </c>
      <c r="E416">
        <v>45699</v>
      </c>
      <c r="F416">
        <v>25355</v>
      </c>
      <c r="G416">
        <v>16279</v>
      </c>
      <c r="H416" t="s">
        <v>77</v>
      </c>
      <c r="I416" t="str" cm="1">
        <f t="array" ref="I416">_xlfn.IFS(G416=0,"Not Paid",G416=F416,"Fully Paid",G416&lt;F416,"Partially Paid")</f>
        <v>Partially Paid</v>
      </c>
      <c r="J416" t="str">
        <f t="shared" si="6"/>
        <v>NO</v>
      </c>
    </row>
    <row r="417" spans="1:10" x14ac:dyDescent="0.35">
      <c r="A417">
        <v>2416</v>
      </c>
      <c r="B417" t="s">
        <v>448</v>
      </c>
      <c r="C417" t="s">
        <v>24</v>
      </c>
      <c r="D417" t="s">
        <v>37</v>
      </c>
      <c r="E417">
        <v>45678</v>
      </c>
      <c r="F417">
        <v>29083</v>
      </c>
      <c r="G417">
        <v>25278</v>
      </c>
      <c r="H417" t="s">
        <v>15</v>
      </c>
      <c r="I417" t="str" cm="1">
        <f t="array" ref="I417">_xlfn.IFS(G417=0,"Not Paid",G417=F417,"Fully Paid",G417&lt;F417,"Partially Paid")</f>
        <v>Partially Paid</v>
      </c>
      <c r="J417" t="str">
        <f t="shared" si="6"/>
        <v>NO</v>
      </c>
    </row>
    <row r="418" spans="1:10" x14ac:dyDescent="0.35">
      <c r="A418">
        <v>2417</v>
      </c>
      <c r="B418" t="s">
        <v>449</v>
      </c>
      <c r="C418" t="s">
        <v>13</v>
      </c>
      <c r="D418" t="s">
        <v>14</v>
      </c>
      <c r="E418">
        <v>45699</v>
      </c>
      <c r="F418">
        <v>58342</v>
      </c>
      <c r="G418">
        <v>43641</v>
      </c>
      <c r="H418" t="s">
        <v>77</v>
      </c>
      <c r="I418" t="str" cm="1">
        <f t="array" ref="I418">_xlfn.IFS(G418=0,"Not Paid",G418=F418,"Fully Paid",G418&lt;F418,"Partially Paid")</f>
        <v>Partially Paid</v>
      </c>
      <c r="J418" t="str">
        <f t="shared" si="6"/>
        <v>YES</v>
      </c>
    </row>
    <row r="419" spans="1:10" x14ac:dyDescent="0.35">
      <c r="A419">
        <v>2418</v>
      </c>
      <c r="B419" t="s">
        <v>450</v>
      </c>
      <c r="C419" t="s">
        <v>56</v>
      </c>
      <c r="D419" t="s">
        <v>18</v>
      </c>
      <c r="E419">
        <v>45770</v>
      </c>
      <c r="F419">
        <v>40456</v>
      </c>
      <c r="G419">
        <v>34037</v>
      </c>
      <c r="H419" t="s">
        <v>11</v>
      </c>
      <c r="I419" t="str" cm="1">
        <f t="array" ref="I419">_xlfn.IFS(G419=0,"Not Paid",G419=F419,"Fully Paid",G419&lt;F419,"Partially Paid")</f>
        <v>Partially Paid</v>
      </c>
      <c r="J419" t="str">
        <f t="shared" si="6"/>
        <v>NO</v>
      </c>
    </row>
    <row r="420" spans="1:10" x14ac:dyDescent="0.35">
      <c r="A420">
        <v>2419</v>
      </c>
      <c r="B420" t="s">
        <v>451</v>
      </c>
      <c r="C420" t="s">
        <v>17</v>
      </c>
      <c r="D420" t="s">
        <v>21</v>
      </c>
      <c r="E420">
        <v>45762</v>
      </c>
      <c r="F420">
        <v>33324</v>
      </c>
      <c r="G420">
        <v>18609</v>
      </c>
      <c r="H420" t="s">
        <v>11</v>
      </c>
      <c r="I420" t="str" cm="1">
        <f t="array" ref="I420">_xlfn.IFS(G420=0,"Not Paid",G420=F420,"Fully Paid",G420&lt;F420,"Partially Paid")</f>
        <v>Partially Paid</v>
      </c>
      <c r="J420" t="str">
        <f t="shared" si="6"/>
        <v>NO</v>
      </c>
    </row>
    <row r="421" spans="1:10" x14ac:dyDescent="0.35">
      <c r="A421">
        <v>2420</v>
      </c>
      <c r="B421" t="s">
        <v>452</v>
      </c>
      <c r="C421" t="s">
        <v>17</v>
      </c>
      <c r="D421" t="s">
        <v>14</v>
      </c>
      <c r="E421">
        <v>45849</v>
      </c>
      <c r="F421">
        <v>22257</v>
      </c>
      <c r="G421">
        <v>8637</v>
      </c>
      <c r="H421" t="s">
        <v>43</v>
      </c>
      <c r="I421" t="str" cm="1">
        <f t="array" ref="I421">_xlfn.IFS(G421=0,"Not Paid",G421=F421,"Fully Paid",G421&lt;F421,"Partially Paid")</f>
        <v>Partially Paid</v>
      </c>
      <c r="J421" t="str">
        <f t="shared" si="6"/>
        <v>NO</v>
      </c>
    </row>
    <row r="422" spans="1:10" x14ac:dyDescent="0.35">
      <c r="A422">
        <v>2421</v>
      </c>
      <c r="B422" t="s">
        <v>453</v>
      </c>
      <c r="C422" t="s">
        <v>56</v>
      </c>
      <c r="D422" t="s">
        <v>10</v>
      </c>
      <c r="E422">
        <v>45674</v>
      </c>
      <c r="F422">
        <v>47364</v>
      </c>
      <c r="G422">
        <v>41614</v>
      </c>
      <c r="H422" t="s">
        <v>15</v>
      </c>
      <c r="I422" t="str" cm="1">
        <f t="array" ref="I422">_xlfn.IFS(G422=0,"Not Paid",G422=F422,"Fully Paid",G422&lt;F422,"Partially Paid")</f>
        <v>Partially Paid</v>
      </c>
      <c r="J422" t="str">
        <f t="shared" si="6"/>
        <v>NO</v>
      </c>
    </row>
    <row r="423" spans="1:10" x14ac:dyDescent="0.35">
      <c r="A423">
        <v>2422</v>
      </c>
      <c r="B423" t="s">
        <v>454</v>
      </c>
      <c r="C423" t="s">
        <v>45</v>
      </c>
      <c r="D423" t="s">
        <v>18</v>
      </c>
      <c r="E423">
        <v>45777</v>
      </c>
      <c r="F423">
        <v>44972</v>
      </c>
      <c r="G423">
        <v>31740</v>
      </c>
      <c r="H423" t="s">
        <v>11</v>
      </c>
      <c r="I423" t="str" cm="1">
        <f t="array" ref="I423">_xlfn.IFS(G423=0,"Not Paid",G423=F423,"Fully Paid",G423&lt;F423,"Partially Paid")</f>
        <v>Partially Paid</v>
      </c>
      <c r="J423" t="str">
        <f t="shared" si="6"/>
        <v>NO</v>
      </c>
    </row>
    <row r="424" spans="1:10" x14ac:dyDescent="0.35">
      <c r="A424">
        <v>2423</v>
      </c>
      <c r="B424" t="s">
        <v>455</v>
      </c>
      <c r="C424" t="s">
        <v>17</v>
      </c>
      <c r="D424" t="s">
        <v>18</v>
      </c>
      <c r="E424">
        <v>45786</v>
      </c>
      <c r="F424">
        <v>46654</v>
      </c>
      <c r="G424">
        <v>42798</v>
      </c>
      <c r="H424" t="s">
        <v>31</v>
      </c>
      <c r="I424" t="str" cm="1">
        <f t="array" ref="I424">_xlfn.IFS(G424=0,"Not Paid",G424=F424,"Fully Paid",G424&lt;F424,"Partially Paid")</f>
        <v>Partially Paid</v>
      </c>
      <c r="J424" t="str">
        <f t="shared" si="6"/>
        <v>NO</v>
      </c>
    </row>
    <row r="425" spans="1:10" x14ac:dyDescent="0.35">
      <c r="A425">
        <v>2424</v>
      </c>
      <c r="B425" t="s">
        <v>456</v>
      </c>
      <c r="C425" t="s">
        <v>9</v>
      </c>
      <c r="D425" t="s">
        <v>14</v>
      </c>
      <c r="E425">
        <v>45787</v>
      </c>
      <c r="F425">
        <v>35233</v>
      </c>
      <c r="G425">
        <v>32098</v>
      </c>
      <c r="H425" t="s">
        <v>31</v>
      </c>
      <c r="I425" t="str" cm="1">
        <f t="array" ref="I425">_xlfn.IFS(G425=0,"Not Paid",G425=F425,"Fully Paid",G425&lt;F425,"Partially Paid")</f>
        <v>Partially Paid</v>
      </c>
      <c r="J425" t="str">
        <f t="shared" si="6"/>
        <v>NO</v>
      </c>
    </row>
    <row r="426" spans="1:10" x14ac:dyDescent="0.35">
      <c r="A426">
        <v>2425</v>
      </c>
      <c r="B426" t="s">
        <v>457</v>
      </c>
      <c r="C426" t="s">
        <v>24</v>
      </c>
      <c r="D426" t="s">
        <v>14</v>
      </c>
      <c r="E426">
        <v>45717</v>
      </c>
      <c r="F426">
        <v>35887</v>
      </c>
      <c r="G426">
        <v>28934</v>
      </c>
      <c r="H426" t="s">
        <v>19</v>
      </c>
      <c r="I426" t="str" cm="1">
        <f t="array" ref="I426">_xlfn.IFS(G426=0,"Not Paid",G426=F426,"Fully Paid",G426&lt;F426,"Partially Paid")</f>
        <v>Partially Paid</v>
      </c>
      <c r="J426" t="str">
        <f t="shared" si="6"/>
        <v>NO</v>
      </c>
    </row>
    <row r="427" spans="1:10" x14ac:dyDescent="0.35">
      <c r="A427">
        <v>2426</v>
      </c>
      <c r="B427" t="s">
        <v>458</v>
      </c>
      <c r="C427" t="s">
        <v>13</v>
      </c>
      <c r="D427" t="s">
        <v>21</v>
      </c>
      <c r="E427">
        <v>45705</v>
      </c>
      <c r="F427">
        <v>49320</v>
      </c>
      <c r="G427">
        <v>40204</v>
      </c>
      <c r="H427" t="s">
        <v>77</v>
      </c>
      <c r="I427" t="str" cm="1">
        <f t="array" ref="I427">_xlfn.IFS(G427=0,"Not Paid",G427=F427,"Fully Paid",G427&lt;F427,"Partially Paid")</f>
        <v>Partially Paid</v>
      </c>
      <c r="J427" t="str">
        <f t="shared" si="6"/>
        <v>NO</v>
      </c>
    </row>
    <row r="428" spans="1:10" x14ac:dyDescent="0.35">
      <c r="A428">
        <v>2427</v>
      </c>
      <c r="B428" t="s">
        <v>459</v>
      </c>
      <c r="C428" t="s">
        <v>56</v>
      </c>
      <c r="D428" t="s">
        <v>37</v>
      </c>
      <c r="E428">
        <v>45686</v>
      </c>
      <c r="F428">
        <v>40808</v>
      </c>
      <c r="G428">
        <v>34774</v>
      </c>
      <c r="H428" t="s">
        <v>15</v>
      </c>
      <c r="I428" t="str" cm="1">
        <f t="array" ref="I428">_xlfn.IFS(G428=0,"Not Paid",G428=F428,"Fully Paid",G428&lt;F428,"Partially Paid")</f>
        <v>Partially Paid</v>
      </c>
      <c r="J428" t="str">
        <f t="shared" si="6"/>
        <v>NO</v>
      </c>
    </row>
    <row r="429" spans="1:10" x14ac:dyDescent="0.35">
      <c r="A429">
        <v>2428</v>
      </c>
      <c r="B429" t="s">
        <v>460</v>
      </c>
      <c r="C429" t="s">
        <v>13</v>
      </c>
      <c r="D429" t="s">
        <v>14</v>
      </c>
      <c r="E429">
        <v>45754</v>
      </c>
      <c r="F429">
        <v>50154</v>
      </c>
      <c r="G429">
        <v>45565</v>
      </c>
      <c r="H429" t="s">
        <v>11</v>
      </c>
      <c r="I429" t="str" cm="1">
        <f t="array" ref="I429">_xlfn.IFS(G429=0,"Not Paid",G429=F429,"Fully Paid",G429&lt;F429,"Partially Paid")</f>
        <v>Partially Paid</v>
      </c>
      <c r="J429" t="str">
        <f t="shared" si="6"/>
        <v>YES</v>
      </c>
    </row>
    <row r="430" spans="1:10" x14ac:dyDescent="0.35">
      <c r="A430">
        <v>2429</v>
      </c>
      <c r="B430" t="s">
        <v>461</v>
      </c>
      <c r="C430" t="s">
        <v>9</v>
      </c>
      <c r="D430" t="s">
        <v>14</v>
      </c>
      <c r="E430">
        <v>45667</v>
      </c>
      <c r="F430">
        <v>54773</v>
      </c>
      <c r="G430">
        <v>53227</v>
      </c>
      <c r="H430" t="s">
        <v>15</v>
      </c>
      <c r="I430" t="str" cm="1">
        <f t="array" ref="I430">_xlfn.IFS(G430=0,"Not Paid",G430=F430,"Fully Paid",G430&lt;F430,"Partially Paid")</f>
        <v>Partially Paid</v>
      </c>
      <c r="J430" t="str">
        <f t="shared" si="6"/>
        <v>YES</v>
      </c>
    </row>
    <row r="431" spans="1:10" x14ac:dyDescent="0.35">
      <c r="A431">
        <v>2430</v>
      </c>
      <c r="B431" t="s">
        <v>462</v>
      </c>
      <c r="C431" t="s">
        <v>17</v>
      </c>
      <c r="D431" t="s">
        <v>27</v>
      </c>
      <c r="E431">
        <v>45899</v>
      </c>
      <c r="F431">
        <v>47747</v>
      </c>
      <c r="G431">
        <v>41682</v>
      </c>
      <c r="H431" t="s">
        <v>38</v>
      </c>
      <c r="I431" t="str" cm="1">
        <f t="array" ref="I431">_xlfn.IFS(G431=0,"Not Paid",G431=F431,"Fully Paid",G431&lt;F431,"Partially Paid")</f>
        <v>Partially Paid</v>
      </c>
      <c r="J431" t="str">
        <f t="shared" si="6"/>
        <v>NO</v>
      </c>
    </row>
    <row r="432" spans="1:10" x14ac:dyDescent="0.35">
      <c r="A432">
        <v>2431</v>
      </c>
      <c r="B432" t="s">
        <v>463</v>
      </c>
      <c r="C432" t="s">
        <v>17</v>
      </c>
      <c r="D432" t="s">
        <v>10</v>
      </c>
      <c r="E432">
        <v>45971</v>
      </c>
      <c r="F432">
        <v>30860</v>
      </c>
      <c r="G432">
        <v>29766</v>
      </c>
      <c r="H432" t="s">
        <v>29</v>
      </c>
      <c r="I432" t="str" cm="1">
        <f t="array" ref="I432">_xlfn.IFS(G432=0,"Not Paid",G432=F432,"Fully Paid",G432&lt;F432,"Partially Paid")</f>
        <v>Partially Paid</v>
      </c>
      <c r="J432" t="str">
        <f t="shared" si="6"/>
        <v>NO</v>
      </c>
    </row>
    <row r="433" spans="1:10" x14ac:dyDescent="0.35">
      <c r="A433">
        <v>2432</v>
      </c>
      <c r="B433" t="s">
        <v>464</v>
      </c>
      <c r="C433" t="s">
        <v>9</v>
      </c>
      <c r="D433" t="s">
        <v>27</v>
      </c>
      <c r="E433">
        <v>45889</v>
      </c>
      <c r="F433">
        <v>38156</v>
      </c>
      <c r="G433">
        <v>35745</v>
      </c>
      <c r="H433" t="s">
        <v>38</v>
      </c>
      <c r="I433" t="str" cm="1">
        <f t="array" ref="I433">_xlfn.IFS(G433=0,"Not Paid",G433=F433,"Fully Paid",G433&lt;F433,"Partially Paid")</f>
        <v>Partially Paid</v>
      </c>
      <c r="J433" t="str">
        <f t="shared" si="6"/>
        <v>NO</v>
      </c>
    </row>
    <row r="434" spans="1:10" x14ac:dyDescent="0.35">
      <c r="A434">
        <v>2433</v>
      </c>
      <c r="B434" t="s">
        <v>465</v>
      </c>
      <c r="C434" t="s">
        <v>56</v>
      </c>
      <c r="D434" t="s">
        <v>27</v>
      </c>
      <c r="E434">
        <v>45934</v>
      </c>
      <c r="F434">
        <v>40360</v>
      </c>
      <c r="G434">
        <v>37743</v>
      </c>
      <c r="H434" t="s">
        <v>22</v>
      </c>
      <c r="I434" t="str" cm="1">
        <f t="array" ref="I434">_xlfn.IFS(G434=0,"Not Paid",G434=F434,"Fully Paid",G434&lt;F434,"Partially Paid")</f>
        <v>Partially Paid</v>
      </c>
      <c r="J434" t="str">
        <f t="shared" si="6"/>
        <v>NO</v>
      </c>
    </row>
    <row r="435" spans="1:10" x14ac:dyDescent="0.35">
      <c r="A435">
        <v>2434</v>
      </c>
      <c r="B435" t="s">
        <v>466</v>
      </c>
      <c r="C435" t="s">
        <v>24</v>
      </c>
      <c r="D435" t="s">
        <v>18</v>
      </c>
      <c r="E435">
        <v>45941</v>
      </c>
      <c r="F435">
        <v>38135</v>
      </c>
      <c r="G435">
        <v>24022</v>
      </c>
      <c r="H435" t="s">
        <v>22</v>
      </c>
      <c r="I435" t="str" cm="1">
        <f t="array" ref="I435">_xlfn.IFS(G435=0,"Not Paid",G435=F435,"Fully Paid",G435&lt;F435,"Partially Paid")</f>
        <v>Partially Paid</v>
      </c>
      <c r="J435" t="str">
        <f t="shared" si="6"/>
        <v>NO</v>
      </c>
    </row>
    <row r="436" spans="1:10" x14ac:dyDescent="0.35">
      <c r="A436">
        <v>2435</v>
      </c>
      <c r="B436" t="s">
        <v>467</v>
      </c>
      <c r="C436" t="s">
        <v>33</v>
      </c>
      <c r="D436" t="s">
        <v>37</v>
      </c>
      <c r="E436">
        <v>45860</v>
      </c>
      <c r="F436">
        <v>45351</v>
      </c>
      <c r="G436">
        <v>36397</v>
      </c>
      <c r="H436" t="s">
        <v>43</v>
      </c>
      <c r="I436" t="str" cm="1">
        <f t="array" ref="I436">_xlfn.IFS(G436=0,"Not Paid",G436=F436,"Fully Paid",G436&lt;F436,"Partially Paid")</f>
        <v>Partially Paid</v>
      </c>
      <c r="J436" t="str">
        <f t="shared" si="6"/>
        <v>NO</v>
      </c>
    </row>
    <row r="437" spans="1:10" x14ac:dyDescent="0.35">
      <c r="A437">
        <v>2436</v>
      </c>
      <c r="B437" t="s">
        <v>468</v>
      </c>
      <c r="C437" t="s">
        <v>56</v>
      </c>
      <c r="D437" t="s">
        <v>10</v>
      </c>
      <c r="E437">
        <v>45904</v>
      </c>
      <c r="F437">
        <v>50499</v>
      </c>
      <c r="G437">
        <v>39984</v>
      </c>
      <c r="H437" t="s">
        <v>53</v>
      </c>
      <c r="I437" t="str" cm="1">
        <f t="array" ref="I437">_xlfn.IFS(G437=0,"Not Paid",G437=F437,"Fully Paid",G437&lt;F437,"Partially Paid")</f>
        <v>Partially Paid</v>
      </c>
      <c r="J437" t="str">
        <f t="shared" si="6"/>
        <v>YES</v>
      </c>
    </row>
    <row r="438" spans="1:10" x14ac:dyDescent="0.35">
      <c r="A438">
        <v>2437</v>
      </c>
      <c r="B438" t="s">
        <v>469</v>
      </c>
      <c r="C438" t="s">
        <v>33</v>
      </c>
      <c r="D438" t="s">
        <v>21</v>
      </c>
      <c r="E438">
        <v>45947</v>
      </c>
      <c r="F438">
        <v>43554</v>
      </c>
      <c r="G438">
        <v>39409</v>
      </c>
      <c r="H438" t="s">
        <v>22</v>
      </c>
      <c r="I438" t="str" cm="1">
        <f t="array" ref="I438">_xlfn.IFS(G438=0,"Not Paid",G438=F438,"Fully Paid",G438&lt;F438,"Partially Paid")</f>
        <v>Partially Paid</v>
      </c>
      <c r="J438" t="str">
        <f t="shared" si="6"/>
        <v>NO</v>
      </c>
    </row>
    <row r="439" spans="1:10" x14ac:dyDescent="0.35">
      <c r="A439">
        <v>2438</v>
      </c>
      <c r="B439" t="s">
        <v>470</v>
      </c>
      <c r="C439" t="s">
        <v>9</v>
      </c>
      <c r="D439" t="s">
        <v>21</v>
      </c>
      <c r="E439">
        <v>45921</v>
      </c>
      <c r="F439">
        <v>39604</v>
      </c>
      <c r="G439">
        <v>36829</v>
      </c>
      <c r="H439" t="s">
        <v>53</v>
      </c>
      <c r="I439" t="str" cm="1">
        <f t="array" ref="I439">_xlfn.IFS(G439=0,"Not Paid",G439=F439,"Fully Paid",G439&lt;F439,"Partially Paid")</f>
        <v>Partially Paid</v>
      </c>
      <c r="J439" t="str">
        <f t="shared" si="6"/>
        <v>NO</v>
      </c>
    </row>
    <row r="440" spans="1:10" x14ac:dyDescent="0.35">
      <c r="A440">
        <v>2439</v>
      </c>
      <c r="B440" t="s">
        <v>471</v>
      </c>
      <c r="C440" t="s">
        <v>45</v>
      </c>
      <c r="D440" t="s">
        <v>14</v>
      </c>
      <c r="E440">
        <v>45871</v>
      </c>
      <c r="F440">
        <v>36923</v>
      </c>
      <c r="G440">
        <v>23730</v>
      </c>
      <c r="H440" t="s">
        <v>38</v>
      </c>
      <c r="I440" t="str" cm="1">
        <f t="array" ref="I440">_xlfn.IFS(G440=0,"Not Paid",G440=F440,"Fully Paid",G440&lt;F440,"Partially Paid")</f>
        <v>Partially Paid</v>
      </c>
      <c r="J440" t="str">
        <f t="shared" si="6"/>
        <v>NO</v>
      </c>
    </row>
    <row r="441" spans="1:10" x14ac:dyDescent="0.35">
      <c r="A441">
        <v>2440</v>
      </c>
      <c r="B441" t="s">
        <v>472</v>
      </c>
      <c r="C441" t="s">
        <v>33</v>
      </c>
      <c r="D441" t="s">
        <v>14</v>
      </c>
      <c r="E441">
        <v>45857</v>
      </c>
      <c r="F441">
        <v>28547</v>
      </c>
      <c r="G441">
        <v>15696</v>
      </c>
      <c r="H441" t="s">
        <v>43</v>
      </c>
      <c r="I441" t="str" cm="1">
        <f t="array" ref="I441">_xlfn.IFS(G441=0,"Not Paid",G441=F441,"Fully Paid",G441&lt;F441,"Partially Paid")</f>
        <v>Partially Paid</v>
      </c>
      <c r="J441" t="str">
        <f t="shared" si="6"/>
        <v>NO</v>
      </c>
    </row>
    <row r="442" spans="1:10" x14ac:dyDescent="0.35">
      <c r="A442">
        <v>2441</v>
      </c>
      <c r="B442" t="s">
        <v>473</v>
      </c>
      <c r="C442" t="s">
        <v>24</v>
      </c>
      <c r="D442" t="s">
        <v>21</v>
      </c>
      <c r="E442">
        <v>45736</v>
      </c>
      <c r="F442">
        <v>53002</v>
      </c>
      <c r="G442">
        <v>39932</v>
      </c>
      <c r="H442" t="s">
        <v>19</v>
      </c>
      <c r="I442" t="str" cm="1">
        <f t="array" ref="I442">_xlfn.IFS(G442=0,"Not Paid",G442=F442,"Fully Paid",G442&lt;F442,"Partially Paid")</f>
        <v>Partially Paid</v>
      </c>
      <c r="J442" t="str">
        <f t="shared" si="6"/>
        <v>YES</v>
      </c>
    </row>
    <row r="443" spans="1:10" x14ac:dyDescent="0.35">
      <c r="A443">
        <v>2442</v>
      </c>
      <c r="B443" t="s">
        <v>474</v>
      </c>
      <c r="C443" t="s">
        <v>45</v>
      </c>
      <c r="D443" t="s">
        <v>14</v>
      </c>
      <c r="E443">
        <v>46000</v>
      </c>
      <c r="F443">
        <v>34562</v>
      </c>
      <c r="G443">
        <v>27934</v>
      </c>
      <c r="H443" t="s">
        <v>25</v>
      </c>
      <c r="I443" t="str" cm="1">
        <f t="array" ref="I443">_xlfn.IFS(G443=0,"Not Paid",G443=F443,"Fully Paid",G443&lt;F443,"Partially Paid")</f>
        <v>Partially Paid</v>
      </c>
      <c r="J443" t="str">
        <f t="shared" si="6"/>
        <v>NO</v>
      </c>
    </row>
    <row r="444" spans="1:10" x14ac:dyDescent="0.35">
      <c r="A444">
        <v>2443</v>
      </c>
      <c r="B444" t="s">
        <v>475</v>
      </c>
      <c r="C444" t="s">
        <v>33</v>
      </c>
      <c r="D444" t="s">
        <v>37</v>
      </c>
      <c r="E444">
        <v>46001</v>
      </c>
      <c r="F444">
        <v>27480</v>
      </c>
      <c r="G444">
        <v>24325</v>
      </c>
      <c r="H444" t="s">
        <v>25</v>
      </c>
      <c r="I444" t="str" cm="1">
        <f t="array" ref="I444">_xlfn.IFS(G444=0,"Not Paid",G444=F444,"Fully Paid",G444&lt;F444,"Partially Paid")</f>
        <v>Partially Paid</v>
      </c>
      <c r="J444" t="str">
        <f t="shared" si="6"/>
        <v>NO</v>
      </c>
    </row>
    <row r="445" spans="1:10" x14ac:dyDescent="0.35">
      <c r="A445">
        <v>2444</v>
      </c>
      <c r="B445" t="s">
        <v>476</v>
      </c>
      <c r="C445" t="s">
        <v>9</v>
      </c>
      <c r="D445" t="s">
        <v>27</v>
      </c>
      <c r="E445">
        <v>45830</v>
      </c>
      <c r="F445">
        <v>46672</v>
      </c>
      <c r="G445">
        <v>42702</v>
      </c>
      <c r="H445" t="s">
        <v>67</v>
      </c>
      <c r="I445" t="str" cm="1">
        <f t="array" ref="I445">_xlfn.IFS(G445=0,"Not Paid",G445=F445,"Fully Paid",G445&lt;F445,"Partially Paid")</f>
        <v>Partially Paid</v>
      </c>
      <c r="J445" t="str">
        <f t="shared" si="6"/>
        <v>NO</v>
      </c>
    </row>
    <row r="446" spans="1:10" x14ac:dyDescent="0.35">
      <c r="A446">
        <v>2445</v>
      </c>
      <c r="B446" t="s">
        <v>477</v>
      </c>
      <c r="C446" t="s">
        <v>45</v>
      </c>
      <c r="D446" t="s">
        <v>14</v>
      </c>
      <c r="E446">
        <v>45726</v>
      </c>
      <c r="F446">
        <v>24213</v>
      </c>
      <c r="G446">
        <v>16241</v>
      </c>
      <c r="H446" t="s">
        <v>19</v>
      </c>
      <c r="I446" t="str" cm="1">
        <f t="array" ref="I446">_xlfn.IFS(G446=0,"Not Paid",G446=F446,"Fully Paid",G446&lt;F446,"Partially Paid")</f>
        <v>Partially Paid</v>
      </c>
      <c r="J446" t="str">
        <f t="shared" si="6"/>
        <v>NO</v>
      </c>
    </row>
    <row r="447" spans="1:10" x14ac:dyDescent="0.35">
      <c r="A447">
        <v>2446</v>
      </c>
      <c r="B447" t="s">
        <v>478</v>
      </c>
      <c r="C447" t="s">
        <v>9</v>
      </c>
      <c r="D447" t="s">
        <v>18</v>
      </c>
      <c r="E447">
        <v>45744</v>
      </c>
      <c r="F447">
        <v>30293</v>
      </c>
      <c r="G447">
        <v>20061</v>
      </c>
      <c r="H447" t="s">
        <v>19</v>
      </c>
      <c r="I447" t="str" cm="1">
        <f t="array" ref="I447">_xlfn.IFS(G447=0,"Not Paid",G447=F447,"Fully Paid",G447&lt;F447,"Partially Paid")</f>
        <v>Partially Paid</v>
      </c>
      <c r="J447" t="str">
        <f t="shared" si="6"/>
        <v>NO</v>
      </c>
    </row>
    <row r="448" spans="1:10" x14ac:dyDescent="0.35">
      <c r="A448">
        <v>2447</v>
      </c>
      <c r="B448" t="s">
        <v>479</v>
      </c>
      <c r="C448" t="s">
        <v>33</v>
      </c>
      <c r="D448" t="s">
        <v>14</v>
      </c>
      <c r="E448">
        <v>45758</v>
      </c>
      <c r="F448">
        <v>54441</v>
      </c>
      <c r="G448">
        <v>40322</v>
      </c>
      <c r="H448" t="s">
        <v>11</v>
      </c>
      <c r="I448" t="str" cm="1">
        <f t="array" ref="I448">_xlfn.IFS(G448=0,"Not Paid",G448=F448,"Fully Paid",G448&lt;F448,"Partially Paid")</f>
        <v>Partially Paid</v>
      </c>
      <c r="J448" t="str">
        <f t="shared" si="6"/>
        <v>YES</v>
      </c>
    </row>
    <row r="449" spans="1:10" x14ac:dyDescent="0.35">
      <c r="A449">
        <v>2448</v>
      </c>
      <c r="B449" t="s">
        <v>480</v>
      </c>
      <c r="C449" t="s">
        <v>9</v>
      </c>
      <c r="D449" t="s">
        <v>10</v>
      </c>
      <c r="E449">
        <v>45665</v>
      </c>
      <c r="F449">
        <v>22100</v>
      </c>
      <c r="G449">
        <v>13325</v>
      </c>
      <c r="H449" t="s">
        <v>15</v>
      </c>
      <c r="I449" t="str" cm="1">
        <f t="array" ref="I449">_xlfn.IFS(G449=0,"Not Paid",G449=F449,"Fully Paid",G449&lt;F449,"Partially Paid")</f>
        <v>Partially Paid</v>
      </c>
      <c r="J449" t="str">
        <f t="shared" si="6"/>
        <v>NO</v>
      </c>
    </row>
    <row r="450" spans="1:10" x14ac:dyDescent="0.35">
      <c r="A450">
        <v>2449</v>
      </c>
      <c r="B450" t="s">
        <v>481</v>
      </c>
      <c r="C450" t="s">
        <v>24</v>
      </c>
      <c r="D450" t="s">
        <v>37</v>
      </c>
      <c r="E450">
        <v>45990</v>
      </c>
      <c r="F450">
        <v>48172</v>
      </c>
      <c r="G450">
        <v>42757</v>
      </c>
      <c r="H450" t="s">
        <v>29</v>
      </c>
      <c r="I450" t="str" cm="1">
        <f t="array" ref="I450">_xlfn.IFS(G450=0,"Not Paid",G450=F450,"Fully Paid",G450&lt;F450,"Partially Paid")</f>
        <v>Partially Paid</v>
      </c>
      <c r="J450" t="str">
        <f t="shared" si="6"/>
        <v>NO</v>
      </c>
    </row>
    <row r="451" spans="1:10" x14ac:dyDescent="0.35">
      <c r="A451">
        <v>2450</v>
      </c>
      <c r="B451" t="s">
        <v>482</v>
      </c>
      <c r="C451" t="s">
        <v>33</v>
      </c>
      <c r="D451" t="s">
        <v>10</v>
      </c>
      <c r="E451">
        <v>45857</v>
      </c>
      <c r="F451">
        <v>40132</v>
      </c>
      <c r="G451">
        <v>35801</v>
      </c>
      <c r="H451" t="s">
        <v>43</v>
      </c>
      <c r="I451" t="str" cm="1">
        <f t="array" ref="I451">_xlfn.IFS(G451=0,"Not Paid",G451=F451,"Fully Paid",G451&lt;F451,"Partially Paid")</f>
        <v>Partially Paid</v>
      </c>
      <c r="J451" t="str">
        <f t="shared" ref="J451:J514" si="7">IF(F451&gt;50000,"YES","NO")</f>
        <v>NO</v>
      </c>
    </row>
    <row r="452" spans="1:10" x14ac:dyDescent="0.35">
      <c r="A452">
        <v>2451</v>
      </c>
      <c r="B452" t="s">
        <v>483</v>
      </c>
      <c r="C452" t="s">
        <v>33</v>
      </c>
      <c r="D452" t="s">
        <v>10</v>
      </c>
      <c r="E452">
        <v>45744</v>
      </c>
      <c r="F452">
        <v>38199</v>
      </c>
      <c r="G452">
        <v>27904</v>
      </c>
      <c r="H452" t="s">
        <v>19</v>
      </c>
      <c r="I452" t="str" cm="1">
        <f t="array" ref="I452">_xlfn.IFS(G452=0,"Not Paid",G452=F452,"Fully Paid",G452&lt;F452,"Partially Paid")</f>
        <v>Partially Paid</v>
      </c>
      <c r="J452" t="str">
        <f t="shared" si="7"/>
        <v>NO</v>
      </c>
    </row>
    <row r="453" spans="1:10" x14ac:dyDescent="0.35">
      <c r="A453">
        <v>2452</v>
      </c>
      <c r="B453" t="s">
        <v>484</v>
      </c>
      <c r="C453" t="s">
        <v>33</v>
      </c>
      <c r="D453" t="s">
        <v>18</v>
      </c>
      <c r="E453">
        <v>45700</v>
      </c>
      <c r="F453">
        <v>56609</v>
      </c>
      <c r="G453">
        <v>54667</v>
      </c>
      <c r="H453" t="s">
        <v>77</v>
      </c>
      <c r="I453" t="str" cm="1">
        <f t="array" ref="I453">_xlfn.IFS(G453=0,"Not Paid",G453=F453,"Fully Paid",G453&lt;F453,"Partially Paid")</f>
        <v>Partially Paid</v>
      </c>
      <c r="J453" t="str">
        <f t="shared" si="7"/>
        <v>YES</v>
      </c>
    </row>
    <row r="454" spans="1:10" x14ac:dyDescent="0.35">
      <c r="A454">
        <v>2453</v>
      </c>
      <c r="B454" t="s">
        <v>485</v>
      </c>
      <c r="C454" t="s">
        <v>56</v>
      </c>
      <c r="D454" t="s">
        <v>37</v>
      </c>
      <c r="E454">
        <v>45766</v>
      </c>
      <c r="F454">
        <v>28016</v>
      </c>
      <c r="G454">
        <v>15369</v>
      </c>
      <c r="H454" t="s">
        <v>11</v>
      </c>
      <c r="I454" t="str" cm="1">
        <f t="array" ref="I454">_xlfn.IFS(G454=0,"Not Paid",G454=F454,"Fully Paid",G454&lt;F454,"Partially Paid")</f>
        <v>Partially Paid</v>
      </c>
      <c r="J454" t="str">
        <f t="shared" si="7"/>
        <v>NO</v>
      </c>
    </row>
    <row r="455" spans="1:10" x14ac:dyDescent="0.35">
      <c r="A455">
        <v>2454</v>
      </c>
      <c r="B455" t="s">
        <v>486</v>
      </c>
      <c r="C455" t="s">
        <v>56</v>
      </c>
      <c r="D455" t="s">
        <v>37</v>
      </c>
      <c r="E455">
        <v>45809</v>
      </c>
      <c r="F455">
        <v>59779</v>
      </c>
      <c r="G455">
        <v>53753</v>
      </c>
      <c r="H455" t="s">
        <v>67</v>
      </c>
      <c r="I455" t="str" cm="1">
        <f t="array" ref="I455">_xlfn.IFS(G455=0,"Not Paid",G455=F455,"Fully Paid",G455&lt;F455,"Partially Paid")</f>
        <v>Partially Paid</v>
      </c>
      <c r="J455" t="str">
        <f t="shared" si="7"/>
        <v>YES</v>
      </c>
    </row>
    <row r="456" spans="1:10" x14ac:dyDescent="0.35">
      <c r="A456">
        <v>2455</v>
      </c>
      <c r="B456" t="s">
        <v>487</v>
      </c>
      <c r="C456" t="s">
        <v>56</v>
      </c>
      <c r="D456" t="s">
        <v>37</v>
      </c>
      <c r="E456">
        <v>45674</v>
      </c>
      <c r="F456">
        <v>57261</v>
      </c>
      <c r="G456">
        <v>48960</v>
      </c>
      <c r="H456" t="s">
        <v>15</v>
      </c>
      <c r="I456" t="str" cm="1">
        <f t="array" ref="I456">_xlfn.IFS(G456=0,"Not Paid",G456=F456,"Fully Paid",G456&lt;F456,"Partially Paid")</f>
        <v>Partially Paid</v>
      </c>
      <c r="J456" t="str">
        <f t="shared" si="7"/>
        <v>YES</v>
      </c>
    </row>
    <row r="457" spans="1:10" x14ac:dyDescent="0.35">
      <c r="A457">
        <v>2456</v>
      </c>
      <c r="B457" t="s">
        <v>488</v>
      </c>
      <c r="C457" t="s">
        <v>24</v>
      </c>
      <c r="D457" t="s">
        <v>37</v>
      </c>
      <c r="E457">
        <v>45790</v>
      </c>
      <c r="F457">
        <v>51881</v>
      </c>
      <c r="G457">
        <v>51690</v>
      </c>
      <c r="H457" t="s">
        <v>31</v>
      </c>
      <c r="I457" t="str" cm="1">
        <f t="array" ref="I457">_xlfn.IFS(G457=0,"Not Paid",G457=F457,"Fully Paid",G457&lt;F457,"Partially Paid")</f>
        <v>Partially Paid</v>
      </c>
      <c r="J457" t="str">
        <f t="shared" si="7"/>
        <v>YES</v>
      </c>
    </row>
    <row r="458" spans="1:10" x14ac:dyDescent="0.35">
      <c r="A458">
        <v>2457</v>
      </c>
      <c r="B458" t="s">
        <v>489</v>
      </c>
      <c r="C458" t="s">
        <v>45</v>
      </c>
      <c r="D458" t="s">
        <v>37</v>
      </c>
      <c r="E458">
        <v>45805</v>
      </c>
      <c r="F458">
        <v>37058</v>
      </c>
      <c r="G458">
        <v>27963</v>
      </c>
      <c r="H458" t="s">
        <v>31</v>
      </c>
      <c r="I458" t="str" cm="1">
        <f t="array" ref="I458">_xlfn.IFS(G458=0,"Not Paid",G458=F458,"Fully Paid",G458&lt;F458,"Partially Paid")</f>
        <v>Partially Paid</v>
      </c>
      <c r="J458" t="str">
        <f t="shared" si="7"/>
        <v>NO</v>
      </c>
    </row>
    <row r="459" spans="1:10" x14ac:dyDescent="0.35">
      <c r="A459">
        <v>2458</v>
      </c>
      <c r="B459" t="s">
        <v>490</v>
      </c>
      <c r="C459" t="s">
        <v>9</v>
      </c>
      <c r="D459" t="s">
        <v>18</v>
      </c>
      <c r="E459">
        <v>45934</v>
      </c>
      <c r="F459">
        <v>44472</v>
      </c>
      <c r="G459">
        <v>31068</v>
      </c>
      <c r="H459" t="s">
        <v>22</v>
      </c>
      <c r="I459" t="str" cm="1">
        <f t="array" ref="I459">_xlfn.IFS(G459=0,"Not Paid",G459=F459,"Fully Paid",G459&lt;F459,"Partially Paid")</f>
        <v>Partially Paid</v>
      </c>
      <c r="J459" t="str">
        <f t="shared" si="7"/>
        <v>NO</v>
      </c>
    </row>
    <row r="460" spans="1:10" x14ac:dyDescent="0.35">
      <c r="A460">
        <v>2459</v>
      </c>
      <c r="B460" t="s">
        <v>491</v>
      </c>
      <c r="C460" t="s">
        <v>17</v>
      </c>
      <c r="D460" t="s">
        <v>14</v>
      </c>
      <c r="E460">
        <v>45889</v>
      </c>
      <c r="F460">
        <v>54926</v>
      </c>
      <c r="G460">
        <v>54065</v>
      </c>
      <c r="H460" t="s">
        <v>38</v>
      </c>
      <c r="I460" t="str" cm="1">
        <f t="array" ref="I460">_xlfn.IFS(G460=0,"Not Paid",G460=F460,"Fully Paid",G460&lt;F460,"Partially Paid")</f>
        <v>Partially Paid</v>
      </c>
      <c r="J460" t="str">
        <f t="shared" si="7"/>
        <v>YES</v>
      </c>
    </row>
    <row r="461" spans="1:10" x14ac:dyDescent="0.35">
      <c r="A461">
        <v>2460</v>
      </c>
      <c r="B461" t="s">
        <v>492</v>
      </c>
      <c r="C461" t="s">
        <v>33</v>
      </c>
      <c r="D461" t="s">
        <v>10</v>
      </c>
      <c r="E461">
        <v>45971</v>
      </c>
      <c r="F461">
        <v>54832</v>
      </c>
      <c r="G461">
        <v>48121</v>
      </c>
      <c r="H461" t="s">
        <v>29</v>
      </c>
      <c r="I461" t="str" cm="1">
        <f t="array" ref="I461">_xlfn.IFS(G461=0,"Not Paid",G461=F461,"Fully Paid",G461&lt;F461,"Partially Paid")</f>
        <v>Partially Paid</v>
      </c>
      <c r="J461" t="str">
        <f t="shared" si="7"/>
        <v>YES</v>
      </c>
    </row>
    <row r="462" spans="1:10" x14ac:dyDescent="0.35">
      <c r="A462">
        <v>2461</v>
      </c>
      <c r="B462" t="s">
        <v>493</v>
      </c>
      <c r="C462" t="s">
        <v>9</v>
      </c>
      <c r="D462" t="s">
        <v>37</v>
      </c>
      <c r="E462">
        <v>45885</v>
      </c>
      <c r="F462">
        <v>56021</v>
      </c>
      <c r="G462">
        <v>46746</v>
      </c>
      <c r="H462" t="s">
        <v>38</v>
      </c>
      <c r="I462" t="str" cm="1">
        <f t="array" ref="I462">_xlfn.IFS(G462=0,"Not Paid",G462=F462,"Fully Paid",G462&lt;F462,"Partially Paid")</f>
        <v>Partially Paid</v>
      </c>
      <c r="J462" t="str">
        <f t="shared" si="7"/>
        <v>YES</v>
      </c>
    </row>
    <row r="463" spans="1:10" x14ac:dyDescent="0.35">
      <c r="A463">
        <v>2462</v>
      </c>
      <c r="B463" t="s">
        <v>494</v>
      </c>
      <c r="C463" t="s">
        <v>33</v>
      </c>
      <c r="D463" t="s">
        <v>14</v>
      </c>
      <c r="E463">
        <v>45796</v>
      </c>
      <c r="F463">
        <v>44087</v>
      </c>
      <c r="G463">
        <v>43438</v>
      </c>
      <c r="H463" t="s">
        <v>31</v>
      </c>
      <c r="I463" t="str" cm="1">
        <f t="array" ref="I463">_xlfn.IFS(G463=0,"Not Paid",G463=F463,"Fully Paid",G463&lt;F463,"Partially Paid")</f>
        <v>Partially Paid</v>
      </c>
      <c r="J463" t="str">
        <f t="shared" si="7"/>
        <v>NO</v>
      </c>
    </row>
    <row r="464" spans="1:10" x14ac:dyDescent="0.35">
      <c r="A464">
        <v>2463</v>
      </c>
      <c r="B464" t="s">
        <v>495</v>
      </c>
      <c r="C464" t="s">
        <v>24</v>
      </c>
      <c r="D464" t="s">
        <v>14</v>
      </c>
      <c r="E464">
        <v>45868</v>
      </c>
      <c r="F464">
        <v>32828</v>
      </c>
      <c r="G464">
        <v>28694</v>
      </c>
      <c r="H464" t="s">
        <v>43</v>
      </c>
      <c r="I464" t="str" cm="1">
        <f t="array" ref="I464">_xlfn.IFS(G464=0,"Not Paid",G464=F464,"Fully Paid",G464&lt;F464,"Partially Paid")</f>
        <v>Partially Paid</v>
      </c>
      <c r="J464" t="str">
        <f t="shared" si="7"/>
        <v>NO</v>
      </c>
    </row>
    <row r="465" spans="1:10" x14ac:dyDescent="0.35">
      <c r="A465">
        <v>2464</v>
      </c>
      <c r="B465" t="s">
        <v>496</v>
      </c>
      <c r="C465" t="s">
        <v>33</v>
      </c>
      <c r="D465" t="s">
        <v>10</v>
      </c>
      <c r="E465">
        <v>45685</v>
      </c>
      <c r="F465">
        <v>51128</v>
      </c>
      <c r="G465">
        <v>39325</v>
      </c>
      <c r="H465" t="s">
        <v>15</v>
      </c>
      <c r="I465" t="str" cm="1">
        <f t="array" ref="I465">_xlfn.IFS(G465=0,"Not Paid",G465=F465,"Fully Paid",G465&lt;F465,"Partially Paid")</f>
        <v>Partially Paid</v>
      </c>
      <c r="J465" t="str">
        <f t="shared" si="7"/>
        <v>YES</v>
      </c>
    </row>
    <row r="466" spans="1:10" x14ac:dyDescent="0.35">
      <c r="A466">
        <v>2465</v>
      </c>
      <c r="B466" t="s">
        <v>497</v>
      </c>
      <c r="C466" t="s">
        <v>56</v>
      </c>
      <c r="D466" t="s">
        <v>18</v>
      </c>
      <c r="E466">
        <v>45708</v>
      </c>
      <c r="F466">
        <v>21401</v>
      </c>
      <c r="G466">
        <v>13814</v>
      </c>
      <c r="H466" t="s">
        <v>77</v>
      </c>
      <c r="I466" t="str" cm="1">
        <f t="array" ref="I466">_xlfn.IFS(G466=0,"Not Paid",G466=F466,"Fully Paid",G466&lt;F466,"Partially Paid")</f>
        <v>Partially Paid</v>
      </c>
      <c r="J466" t="str">
        <f t="shared" si="7"/>
        <v>NO</v>
      </c>
    </row>
    <row r="467" spans="1:10" x14ac:dyDescent="0.35">
      <c r="A467">
        <v>2466</v>
      </c>
      <c r="B467" t="s">
        <v>498</v>
      </c>
      <c r="C467" t="s">
        <v>17</v>
      </c>
      <c r="D467" t="s">
        <v>21</v>
      </c>
      <c r="E467">
        <v>45918</v>
      </c>
      <c r="F467">
        <v>39643</v>
      </c>
      <c r="G467">
        <v>30815</v>
      </c>
      <c r="H467" t="s">
        <v>53</v>
      </c>
      <c r="I467" t="str" cm="1">
        <f t="array" ref="I467">_xlfn.IFS(G467=0,"Not Paid",G467=F467,"Fully Paid",G467&lt;F467,"Partially Paid")</f>
        <v>Partially Paid</v>
      </c>
      <c r="J467" t="str">
        <f t="shared" si="7"/>
        <v>NO</v>
      </c>
    </row>
    <row r="468" spans="1:10" x14ac:dyDescent="0.35">
      <c r="A468">
        <v>2467</v>
      </c>
      <c r="B468" t="s">
        <v>499</v>
      </c>
      <c r="C468" t="s">
        <v>13</v>
      </c>
      <c r="D468" t="s">
        <v>21</v>
      </c>
      <c r="E468">
        <v>45918</v>
      </c>
      <c r="F468">
        <v>35193</v>
      </c>
      <c r="G468">
        <v>34157</v>
      </c>
      <c r="H468" t="s">
        <v>53</v>
      </c>
      <c r="I468" t="str" cm="1">
        <f t="array" ref="I468">_xlfn.IFS(G468=0,"Not Paid",G468=F468,"Fully Paid",G468&lt;F468,"Partially Paid")</f>
        <v>Partially Paid</v>
      </c>
      <c r="J468" t="str">
        <f t="shared" si="7"/>
        <v>NO</v>
      </c>
    </row>
    <row r="469" spans="1:10" x14ac:dyDescent="0.35">
      <c r="A469">
        <v>2468</v>
      </c>
      <c r="B469" t="s">
        <v>500</v>
      </c>
      <c r="C469" t="s">
        <v>33</v>
      </c>
      <c r="D469" t="s">
        <v>14</v>
      </c>
      <c r="E469">
        <v>46007</v>
      </c>
      <c r="F469">
        <v>46853</v>
      </c>
      <c r="G469">
        <v>42722</v>
      </c>
      <c r="H469" t="s">
        <v>25</v>
      </c>
      <c r="I469" t="str" cm="1">
        <f t="array" ref="I469">_xlfn.IFS(G469=0,"Not Paid",G469=F469,"Fully Paid",G469&lt;F469,"Partially Paid")</f>
        <v>Partially Paid</v>
      </c>
      <c r="J469" t="str">
        <f t="shared" si="7"/>
        <v>NO</v>
      </c>
    </row>
    <row r="470" spans="1:10" x14ac:dyDescent="0.35">
      <c r="A470">
        <v>2469</v>
      </c>
      <c r="B470" t="s">
        <v>501</v>
      </c>
      <c r="C470" t="s">
        <v>9</v>
      </c>
      <c r="D470" t="s">
        <v>27</v>
      </c>
      <c r="E470">
        <v>46009</v>
      </c>
      <c r="F470">
        <v>40307</v>
      </c>
      <c r="G470">
        <v>38159</v>
      </c>
      <c r="H470" t="s">
        <v>25</v>
      </c>
      <c r="I470" t="str" cm="1">
        <f t="array" ref="I470">_xlfn.IFS(G470=0,"Not Paid",G470=F470,"Fully Paid",G470&lt;F470,"Partially Paid")</f>
        <v>Partially Paid</v>
      </c>
      <c r="J470" t="str">
        <f t="shared" si="7"/>
        <v>NO</v>
      </c>
    </row>
    <row r="471" spans="1:10" x14ac:dyDescent="0.35">
      <c r="A471">
        <v>2470</v>
      </c>
      <c r="B471" t="s">
        <v>502</v>
      </c>
      <c r="C471" t="s">
        <v>56</v>
      </c>
      <c r="D471" t="s">
        <v>27</v>
      </c>
      <c r="E471">
        <v>45665</v>
      </c>
      <c r="F471">
        <v>56982</v>
      </c>
      <c r="G471">
        <v>44925</v>
      </c>
      <c r="H471" t="s">
        <v>15</v>
      </c>
      <c r="I471" t="str" cm="1">
        <f t="array" ref="I471">_xlfn.IFS(G471=0,"Not Paid",G471=F471,"Fully Paid",G471&lt;F471,"Partially Paid")</f>
        <v>Partially Paid</v>
      </c>
      <c r="J471" t="str">
        <f t="shared" si="7"/>
        <v>YES</v>
      </c>
    </row>
    <row r="472" spans="1:10" x14ac:dyDescent="0.35">
      <c r="A472">
        <v>2471</v>
      </c>
      <c r="B472" t="s">
        <v>503</v>
      </c>
      <c r="C472" t="s">
        <v>13</v>
      </c>
      <c r="D472" t="s">
        <v>10</v>
      </c>
      <c r="E472">
        <v>45977</v>
      </c>
      <c r="F472">
        <v>39611</v>
      </c>
      <c r="G472">
        <v>28262</v>
      </c>
      <c r="H472" t="s">
        <v>29</v>
      </c>
      <c r="I472" t="str" cm="1">
        <f t="array" ref="I472">_xlfn.IFS(G472=0,"Not Paid",G472=F472,"Fully Paid",G472&lt;F472,"Partially Paid")</f>
        <v>Partially Paid</v>
      </c>
      <c r="J472" t="str">
        <f t="shared" si="7"/>
        <v>NO</v>
      </c>
    </row>
    <row r="473" spans="1:10" x14ac:dyDescent="0.35">
      <c r="A473">
        <v>2472</v>
      </c>
      <c r="B473" t="s">
        <v>504</v>
      </c>
      <c r="C473" t="s">
        <v>17</v>
      </c>
      <c r="D473" t="s">
        <v>21</v>
      </c>
      <c r="E473">
        <v>45795</v>
      </c>
      <c r="F473">
        <v>31950</v>
      </c>
      <c r="G473">
        <v>20171</v>
      </c>
      <c r="H473" t="s">
        <v>31</v>
      </c>
      <c r="I473" t="str" cm="1">
        <f t="array" ref="I473">_xlfn.IFS(G473=0,"Not Paid",G473=F473,"Fully Paid",G473&lt;F473,"Partially Paid")</f>
        <v>Partially Paid</v>
      </c>
      <c r="J473" t="str">
        <f t="shared" si="7"/>
        <v>NO</v>
      </c>
    </row>
    <row r="474" spans="1:10" x14ac:dyDescent="0.35">
      <c r="A474">
        <v>2473</v>
      </c>
      <c r="B474" t="s">
        <v>505</v>
      </c>
      <c r="C474" t="s">
        <v>13</v>
      </c>
      <c r="D474" t="s">
        <v>14</v>
      </c>
      <c r="E474">
        <v>45695</v>
      </c>
      <c r="F474">
        <v>30704</v>
      </c>
      <c r="G474">
        <v>19218</v>
      </c>
      <c r="H474" t="s">
        <v>77</v>
      </c>
      <c r="I474" t="str" cm="1">
        <f t="array" ref="I474">_xlfn.IFS(G474=0,"Not Paid",G474=F474,"Fully Paid",G474&lt;F474,"Partially Paid")</f>
        <v>Partially Paid</v>
      </c>
      <c r="J474" t="str">
        <f t="shared" si="7"/>
        <v>NO</v>
      </c>
    </row>
    <row r="475" spans="1:10" x14ac:dyDescent="0.35">
      <c r="A475">
        <v>2474</v>
      </c>
      <c r="B475" t="s">
        <v>506</v>
      </c>
      <c r="C475" t="s">
        <v>56</v>
      </c>
      <c r="D475" t="s">
        <v>18</v>
      </c>
      <c r="E475">
        <v>45768</v>
      </c>
      <c r="F475">
        <v>31867</v>
      </c>
      <c r="G475">
        <v>26410</v>
      </c>
      <c r="H475" t="s">
        <v>11</v>
      </c>
      <c r="I475" t="str" cm="1">
        <f t="array" ref="I475">_xlfn.IFS(G475=0,"Not Paid",G475=F475,"Fully Paid",G475&lt;F475,"Partially Paid")</f>
        <v>Partially Paid</v>
      </c>
      <c r="J475" t="str">
        <f t="shared" si="7"/>
        <v>NO</v>
      </c>
    </row>
    <row r="476" spans="1:10" x14ac:dyDescent="0.35">
      <c r="A476">
        <v>2475</v>
      </c>
      <c r="B476" t="s">
        <v>507</v>
      </c>
      <c r="C476" t="s">
        <v>45</v>
      </c>
      <c r="D476" t="s">
        <v>21</v>
      </c>
      <c r="E476">
        <v>45877</v>
      </c>
      <c r="F476">
        <v>22745</v>
      </c>
      <c r="G476">
        <v>16666</v>
      </c>
      <c r="H476" t="s">
        <v>38</v>
      </c>
      <c r="I476" t="str" cm="1">
        <f t="array" ref="I476">_xlfn.IFS(G476=0,"Not Paid",G476=F476,"Fully Paid",G476&lt;F476,"Partially Paid")</f>
        <v>Partially Paid</v>
      </c>
      <c r="J476" t="str">
        <f t="shared" si="7"/>
        <v>NO</v>
      </c>
    </row>
    <row r="477" spans="1:10" x14ac:dyDescent="0.35">
      <c r="A477">
        <v>2476</v>
      </c>
      <c r="B477" t="s">
        <v>508</v>
      </c>
      <c r="C477" t="s">
        <v>45</v>
      </c>
      <c r="D477" t="s">
        <v>14</v>
      </c>
      <c r="E477">
        <v>45994</v>
      </c>
      <c r="F477">
        <v>23866</v>
      </c>
      <c r="G477">
        <v>11413</v>
      </c>
      <c r="H477" t="s">
        <v>25</v>
      </c>
      <c r="I477" t="str" cm="1">
        <f t="array" ref="I477">_xlfn.IFS(G477=0,"Not Paid",G477=F477,"Fully Paid",G477&lt;F477,"Partially Paid")</f>
        <v>Partially Paid</v>
      </c>
      <c r="J477" t="str">
        <f t="shared" si="7"/>
        <v>NO</v>
      </c>
    </row>
    <row r="478" spans="1:10" x14ac:dyDescent="0.35">
      <c r="A478">
        <v>2477</v>
      </c>
      <c r="B478" t="s">
        <v>509</v>
      </c>
      <c r="C478" t="s">
        <v>13</v>
      </c>
      <c r="D478" t="s">
        <v>14</v>
      </c>
      <c r="E478">
        <v>45880</v>
      </c>
      <c r="F478">
        <v>52245</v>
      </c>
      <c r="G478">
        <v>49815</v>
      </c>
      <c r="H478" t="s">
        <v>38</v>
      </c>
      <c r="I478" t="str" cm="1">
        <f t="array" ref="I478">_xlfn.IFS(G478=0,"Not Paid",G478=F478,"Fully Paid",G478&lt;F478,"Partially Paid")</f>
        <v>Partially Paid</v>
      </c>
      <c r="J478" t="str">
        <f t="shared" si="7"/>
        <v>YES</v>
      </c>
    </row>
    <row r="479" spans="1:10" x14ac:dyDescent="0.35">
      <c r="A479">
        <v>2478</v>
      </c>
      <c r="B479" t="s">
        <v>510</v>
      </c>
      <c r="C479" t="s">
        <v>24</v>
      </c>
      <c r="D479" t="s">
        <v>37</v>
      </c>
      <c r="E479">
        <v>45793</v>
      </c>
      <c r="F479">
        <v>25818</v>
      </c>
      <c r="G479">
        <v>23939</v>
      </c>
      <c r="H479" t="s">
        <v>31</v>
      </c>
      <c r="I479" t="str" cm="1">
        <f t="array" ref="I479">_xlfn.IFS(G479=0,"Not Paid",G479=F479,"Fully Paid",G479&lt;F479,"Partially Paid")</f>
        <v>Partially Paid</v>
      </c>
      <c r="J479" t="str">
        <f t="shared" si="7"/>
        <v>NO</v>
      </c>
    </row>
    <row r="480" spans="1:10" x14ac:dyDescent="0.35">
      <c r="A480">
        <v>2479</v>
      </c>
      <c r="B480" t="s">
        <v>511</v>
      </c>
      <c r="C480" t="s">
        <v>9</v>
      </c>
      <c r="D480" t="s">
        <v>18</v>
      </c>
      <c r="E480">
        <v>45913</v>
      </c>
      <c r="F480">
        <v>50116</v>
      </c>
      <c r="G480">
        <v>37958</v>
      </c>
      <c r="H480" t="s">
        <v>53</v>
      </c>
      <c r="I480" t="str" cm="1">
        <f t="array" ref="I480">_xlfn.IFS(G480=0,"Not Paid",G480=F480,"Fully Paid",G480&lt;F480,"Partially Paid")</f>
        <v>Partially Paid</v>
      </c>
      <c r="J480" t="str">
        <f t="shared" si="7"/>
        <v>YES</v>
      </c>
    </row>
    <row r="481" spans="1:10" x14ac:dyDescent="0.35">
      <c r="A481">
        <v>2480</v>
      </c>
      <c r="B481" t="s">
        <v>512</v>
      </c>
      <c r="C481" t="s">
        <v>9</v>
      </c>
      <c r="D481" t="s">
        <v>37</v>
      </c>
      <c r="E481">
        <v>46017</v>
      </c>
      <c r="F481">
        <v>35493</v>
      </c>
      <c r="G481">
        <v>23588</v>
      </c>
      <c r="H481" t="s">
        <v>25</v>
      </c>
      <c r="I481" t="str" cm="1">
        <f t="array" ref="I481">_xlfn.IFS(G481=0,"Not Paid",G481=F481,"Fully Paid",G481&lt;F481,"Partially Paid")</f>
        <v>Partially Paid</v>
      </c>
      <c r="J481" t="str">
        <f t="shared" si="7"/>
        <v>NO</v>
      </c>
    </row>
    <row r="482" spans="1:10" x14ac:dyDescent="0.35">
      <c r="A482">
        <v>2481</v>
      </c>
      <c r="B482" t="s">
        <v>513</v>
      </c>
      <c r="C482" t="s">
        <v>13</v>
      </c>
      <c r="D482" t="s">
        <v>10</v>
      </c>
      <c r="E482">
        <v>45986</v>
      </c>
      <c r="F482">
        <v>48038</v>
      </c>
      <c r="G482">
        <v>35720</v>
      </c>
      <c r="H482" t="s">
        <v>29</v>
      </c>
      <c r="I482" t="str" cm="1">
        <f t="array" ref="I482">_xlfn.IFS(G482=0,"Not Paid",G482=F482,"Fully Paid",G482&lt;F482,"Partially Paid")</f>
        <v>Partially Paid</v>
      </c>
      <c r="J482" t="str">
        <f t="shared" si="7"/>
        <v>NO</v>
      </c>
    </row>
    <row r="483" spans="1:10" x14ac:dyDescent="0.35">
      <c r="A483">
        <v>2482</v>
      </c>
      <c r="B483" t="s">
        <v>514</v>
      </c>
      <c r="C483" t="s">
        <v>33</v>
      </c>
      <c r="D483" t="s">
        <v>37</v>
      </c>
      <c r="E483">
        <v>45706</v>
      </c>
      <c r="F483">
        <v>40447</v>
      </c>
      <c r="G483">
        <v>32905</v>
      </c>
      <c r="H483" t="s">
        <v>77</v>
      </c>
      <c r="I483" t="str" cm="1">
        <f t="array" ref="I483">_xlfn.IFS(G483=0,"Not Paid",G483=F483,"Fully Paid",G483&lt;F483,"Partially Paid")</f>
        <v>Partially Paid</v>
      </c>
      <c r="J483" t="str">
        <f t="shared" si="7"/>
        <v>NO</v>
      </c>
    </row>
    <row r="484" spans="1:10" x14ac:dyDescent="0.35">
      <c r="A484">
        <v>2483</v>
      </c>
      <c r="B484" t="s">
        <v>515</v>
      </c>
      <c r="C484" t="s">
        <v>33</v>
      </c>
      <c r="D484" t="s">
        <v>37</v>
      </c>
      <c r="E484">
        <v>45949</v>
      </c>
      <c r="F484">
        <v>50431</v>
      </c>
      <c r="G484">
        <v>38133</v>
      </c>
      <c r="H484" t="s">
        <v>22</v>
      </c>
      <c r="I484" t="str" cm="1">
        <f t="array" ref="I484">_xlfn.IFS(G484=0,"Not Paid",G484=F484,"Fully Paid",G484&lt;F484,"Partially Paid")</f>
        <v>Partially Paid</v>
      </c>
      <c r="J484" t="str">
        <f t="shared" si="7"/>
        <v>YES</v>
      </c>
    </row>
    <row r="485" spans="1:10" x14ac:dyDescent="0.35">
      <c r="A485">
        <v>2484</v>
      </c>
      <c r="B485" t="s">
        <v>516</v>
      </c>
      <c r="C485" t="s">
        <v>9</v>
      </c>
      <c r="D485" t="s">
        <v>21</v>
      </c>
      <c r="E485">
        <v>45981</v>
      </c>
      <c r="F485">
        <v>37908</v>
      </c>
      <c r="G485">
        <v>35897</v>
      </c>
      <c r="H485" t="s">
        <v>29</v>
      </c>
      <c r="I485" t="str" cm="1">
        <f t="array" ref="I485">_xlfn.IFS(G485=0,"Not Paid",G485=F485,"Fully Paid",G485&lt;F485,"Partially Paid")</f>
        <v>Partially Paid</v>
      </c>
      <c r="J485" t="str">
        <f t="shared" si="7"/>
        <v>NO</v>
      </c>
    </row>
    <row r="486" spans="1:10" x14ac:dyDescent="0.35">
      <c r="A486">
        <v>2485</v>
      </c>
      <c r="B486" t="s">
        <v>517</v>
      </c>
      <c r="C486" t="s">
        <v>9</v>
      </c>
      <c r="D486" t="s">
        <v>27</v>
      </c>
      <c r="E486">
        <v>45735</v>
      </c>
      <c r="F486">
        <v>49336</v>
      </c>
      <c r="G486">
        <v>45963</v>
      </c>
      <c r="H486" t="s">
        <v>19</v>
      </c>
      <c r="I486" t="str" cm="1">
        <f t="array" ref="I486">_xlfn.IFS(G486=0,"Not Paid",G486=F486,"Fully Paid",G486&lt;F486,"Partially Paid")</f>
        <v>Partially Paid</v>
      </c>
      <c r="J486" t="str">
        <f t="shared" si="7"/>
        <v>NO</v>
      </c>
    </row>
    <row r="487" spans="1:10" x14ac:dyDescent="0.35">
      <c r="A487">
        <v>2486</v>
      </c>
      <c r="B487" t="s">
        <v>518</v>
      </c>
      <c r="C487" t="s">
        <v>45</v>
      </c>
      <c r="D487" t="s">
        <v>14</v>
      </c>
      <c r="E487">
        <v>45762</v>
      </c>
      <c r="F487">
        <v>24025</v>
      </c>
      <c r="G487">
        <v>13690</v>
      </c>
      <c r="H487" t="s">
        <v>11</v>
      </c>
      <c r="I487" t="str" cm="1">
        <f t="array" ref="I487">_xlfn.IFS(G487=0,"Not Paid",G487=F487,"Fully Paid",G487&lt;F487,"Partially Paid")</f>
        <v>Partially Paid</v>
      </c>
      <c r="J487" t="str">
        <f t="shared" si="7"/>
        <v>NO</v>
      </c>
    </row>
    <row r="488" spans="1:10" x14ac:dyDescent="0.35">
      <c r="A488">
        <v>2487</v>
      </c>
      <c r="B488" t="s">
        <v>519</v>
      </c>
      <c r="C488" t="s">
        <v>24</v>
      </c>
      <c r="D488" t="s">
        <v>18</v>
      </c>
      <c r="E488">
        <v>45826</v>
      </c>
      <c r="F488">
        <v>40093</v>
      </c>
      <c r="G488">
        <v>32736</v>
      </c>
      <c r="H488" t="s">
        <v>67</v>
      </c>
      <c r="I488" t="str" cm="1">
        <f t="array" ref="I488">_xlfn.IFS(G488=0,"Not Paid",G488=F488,"Fully Paid",G488&lt;F488,"Partially Paid")</f>
        <v>Partially Paid</v>
      </c>
      <c r="J488" t="str">
        <f t="shared" si="7"/>
        <v>NO</v>
      </c>
    </row>
    <row r="489" spans="1:10" x14ac:dyDescent="0.35">
      <c r="A489">
        <v>2488</v>
      </c>
      <c r="B489" t="s">
        <v>520</v>
      </c>
      <c r="C489" t="s">
        <v>56</v>
      </c>
      <c r="D489" t="s">
        <v>37</v>
      </c>
      <c r="E489">
        <v>45874</v>
      </c>
      <c r="F489">
        <v>26155</v>
      </c>
      <c r="G489">
        <v>15463</v>
      </c>
      <c r="H489" t="s">
        <v>38</v>
      </c>
      <c r="I489" t="str" cm="1">
        <f t="array" ref="I489">_xlfn.IFS(G489=0,"Not Paid",G489=F489,"Fully Paid",G489&lt;F489,"Partially Paid")</f>
        <v>Partially Paid</v>
      </c>
      <c r="J489" t="str">
        <f t="shared" si="7"/>
        <v>NO</v>
      </c>
    </row>
    <row r="490" spans="1:10" x14ac:dyDescent="0.35">
      <c r="A490">
        <v>2489</v>
      </c>
      <c r="B490" t="s">
        <v>521</v>
      </c>
      <c r="C490" t="s">
        <v>33</v>
      </c>
      <c r="D490" t="s">
        <v>18</v>
      </c>
      <c r="E490">
        <v>45776</v>
      </c>
      <c r="F490">
        <v>53487</v>
      </c>
      <c r="G490">
        <v>38960</v>
      </c>
      <c r="H490" t="s">
        <v>11</v>
      </c>
      <c r="I490" t="str" cm="1">
        <f t="array" ref="I490">_xlfn.IFS(G490=0,"Not Paid",G490=F490,"Fully Paid",G490&lt;F490,"Partially Paid")</f>
        <v>Partially Paid</v>
      </c>
      <c r="J490" t="str">
        <f t="shared" si="7"/>
        <v>YES</v>
      </c>
    </row>
    <row r="491" spans="1:10" x14ac:dyDescent="0.35">
      <c r="A491">
        <v>2490</v>
      </c>
      <c r="B491" t="s">
        <v>522</v>
      </c>
      <c r="C491" t="s">
        <v>9</v>
      </c>
      <c r="D491" t="s">
        <v>27</v>
      </c>
      <c r="E491">
        <v>45847</v>
      </c>
      <c r="F491">
        <v>40963</v>
      </c>
      <c r="G491">
        <v>28190</v>
      </c>
      <c r="H491" t="s">
        <v>43</v>
      </c>
      <c r="I491" t="str" cm="1">
        <f t="array" ref="I491">_xlfn.IFS(G491=0,"Not Paid",G491=F491,"Fully Paid",G491&lt;F491,"Partially Paid")</f>
        <v>Partially Paid</v>
      </c>
      <c r="J491" t="str">
        <f t="shared" si="7"/>
        <v>NO</v>
      </c>
    </row>
    <row r="492" spans="1:10" x14ac:dyDescent="0.35">
      <c r="A492">
        <v>2491</v>
      </c>
      <c r="B492" t="s">
        <v>523</v>
      </c>
      <c r="C492" t="s">
        <v>45</v>
      </c>
      <c r="D492" t="s">
        <v>27</v>
      </c>
      <c r="E492">
        <v>45912</v>
      </c>
      <c r="F492">
        <v>40936</v>
      </c>
      <c r="G492">
        <v>39647</v>
      </c>
      <c r="H492" t="s">
        <v>53</v>
      </c>
      <c r="I492" t="str" cm="1">
        <f t="array" ref="I492">_xlfn.IFS(G492=0,"Not Paid",G492=F492,"Fully Paid",G492&lt;F492,"Partially Paid")</f>
        <v>Partially Paid</v>
      </c>
      <c r="J492" t="str">
        <f t="shared" si="7"/>
        <v>NO</v>
      </c>
    </row>
    <row r="493" spans="1:10" x14ac:dyDescent="0.35">
      <c r="A493">
        <v>2492</v>
      </c>
      <c r="B493" t="s">
        <v>524</v>
      </c>
      <c r="C493" t="s">
        <v>17</v>
      </c>
      <c r="D493" t="s">
        <v>37</v>
      </c>
      <c r="E493">
        <v>45923</v>
      </c>
      <c r="F493">
        <v>24426</v>
      </c>
      <c r="G493">
        <v>22979</v>
      </c>
      <c r="H493" t="s">
        <v>53</v>
      </c>
      <c r="I493" t="str" cm="1">
        <f t="array" ref="I493">_xlfn.IFS(G493=0,"Not Paid",G493=F493,"Fully Paid",G493&lt;F493,"Partially Paid")</f>
        <v>Partially Paid</v>
      </c>
      <c r="J493" t="str">
        <f t="shared" si="7"/>
        <v>NO</v>
      </c>
    </row>
    <row r="494" spans="1:10" x14ac:dyDescent="0.35">
      <c r="A494">
        <v>2493</v>
      </c>
      <c r="B494" t="s">
        <v>525</v>
      </c>
      <c r="C494" t="s">
        <v>45</v>
      </c>
      <c r="D494" t="s">
        <v>10</v>
      </c>
      <c r="E494">
        <v>45806</v>
      </c>
      <c r="F494">
        <v>43303</v>
      </c>
      <c r="G494">
        <v>40104</v>
      </c>
      <c r="H494" t="s">
        <v>31</v>
      </c>
      <c r="I494" t="str" cm="1">
        <f t="array" ref="I494">_xlfn.IFS(G494=0,"Not Paid",G494=F494,"Fully Paid",G494&lt;F494,"Partially Paid")</f>
        <v>Partially Paid</v>
      </c>
      <c r="J494" t="str">
        <f t="shared" si="7"/>
        <v>NO</v>
      </c>
    </row>
    <row r="495" spans="1:10" x14ac:dyDescent="0.35">
      <c r="A495">
        <v>2494</v>
      </c>
      <c r="B495" t="s">
        <v>526</v>
      </c>
      <c r="C495" t="s">
        <v>33</v>
      </c>
      <c r="D495" t="s">
        <v>37</v>
      </c>
      <c r="E495">
        <v>45821</v>
      </c>
      <c r="F495">
        <v>47606</v>
      </c>
      <c r="G495">
        <v>41225</v>
      </c>
      <c r="H495" t="s">
        <v>67</v>
      </c>
      <c r="I495" t="str" cm="1">
        <f t="array" ref="I495">_xlfn.IFS(G495=0,"Not Paid",G495=F495,"Fully Paid",G495&lt;F495,"Partially Paid")</f>
        <v>Partially Paid</v>
      </c>
      <c r="J495" t="str">
        <f t="shared" si="7"/>
        <v>NO</v>
      </c>
    </row>
    <row r="496" spans="1:10" x14ac:dyDescent="0.35">
      <c r="A496">
        <v>2495</v>
      </c>
      <c r="B496" t="s">
        <v>527</v>
      </c>
      <c r="C496" t="s">
        <v>33</v>
      </c>
      <c r="D496" t="s">
        <v>21</v>
      </c>
      <c r="E496">
        <v>45797</v>
      </c>
      <c r="F496">
        <v>48151</v>
      </c>
      <c r="G496">
        <v>38016</v>
      </c>
      <c r="H496" t="s">
        <v>31</v>
      </c>
      <c r="I496" t="str" cm="1">
        <f t="array" ref="I496">_xlfn.IFS(G496=0,"Not Paid",G496=F496,"Fully Paid",G496&lt;F496,"Partially Paid")</f>
        <v>Partially Paid</v>
      </c>
      <c r="J496" t="str">
        <f t="shared" si="7"/>
        <v>NO</v>
      </c>
    </row>
    <row r="497" spans="1:10" x14ac:dyDescent="0.35">
      <c r="A497">
        <v>2496</v>
      </c>
      <c r="B497" t="s">
        <v>528</v>
      </c>
      <c r="C497" t="s">
        <v>45</v>
      </c>
      <c r="D497" t="s">
        <v>14</v>
      </c>
      <c r="E497">
        <v>46004</v>
      </c>
      <c r="F497">
        <v>33767</v>
      </c>
      <c r="G497">
        <v>26245</v>
      </c>
      <c r="H497" t="s">
        <v>25</v>
      </c>
      <c r="I497" t="str" cm="1">
        <f t="array" ref="I497">_xlfn.IFS(G497=0,"Not Paid",G497=F497,"Fully Paid",G497&lt;F497,"Partially Paid")</f>
        <v>Partially Paid</v>
      </c>
      <c r="J497" t="str">
        <f t="shared" si="7"/>
        <v>NO</v>
      </c>
    </row>
    <row r="498" spans="1:10" x14ac:dyDescent="0.35">
      <c r="A498">
        <v>2497</v>
      </c>
      <c r="B498" t="s">
        <v>529</v>
      </c>
      <c r="C498" t="s">
        <v>56</v>
      </c>
      <c r="D498" t="s">
        <v>10</v>
      </c>
      <c r="E498">
        <v>45915</v>
      </c>
      <c r="F498">
        <v>31308</v>
      </c>
      <c r="G498">
        <v>25249</v>
      </c>
      <c r="H498" t="s">
        <v>53</v>
      </c>
      <c r="I498" t="str" cm="1">
        <f t="array" ref="I498">_xlfn.IFS(G498=0,"Not Paid",G498=F498,"Fully Paid",G498&lt;F498,"Partially Paid")</f>
        <v>Partially Paid</v>
      </c>
      <c r="J498" t="str">
        <f t="shared" si="7"/>
        <v>NO</v>
      </c>
    </row>
    <row r="499" spans="1:10" x14ac:dyDescent="0.35">
      <c r="A499">
        <v>2498</v>
      </c>
      <c r="B499" t="s">
        <v>530</v>
      </c>
      <c r="C499" t="s">
        <v>13</v>
      </c>
      <c r="D499" t="s">
        <v>37</v>
      </c>
      <c r="E499">
        <v>45926</v>
      </c>
      <c r="F499">
        <v>44770</v>
      </c>
      <c r="G499">
        <v>41587</v>
      </c>
      <c r="H499" t="s">
        <v>53</v>
      </c>
      <c r="I499" t="str" cm="1">
        <f t="array" ref="I499">_xlfn.IFS(G499=0,"Not Paid",G499=F499,"Fully Paid",G499&lt;F499,"Partially Paid")</f>
        <v>Partially Paid</v>
      </c>
      <c r="J499" t="str">
        <f t="shared" si="7"/>
        <v>NO</v>
      </c>
    </row>
    <row r="500" spans="1:10" x14ac:dyDescent="0.35">
      <c r="A500">
        <v>2499</v>
      </c>
      <c r="B500" t="s">
        <v>531</v>
      </c>
      <c r="C500" t="s">
        <v>33</v>
      </c>
      <c r="D500" t="s">
        <v>18</v>
      </c>
      <c r="E500">
        <v>45838</v>
      </c>
      <c r="F500">
        <v>48572</v>
      </c>
      <c r="G500">
        <v>34433</v>
      </c>
      <c r="H500" t="s">
        <v>67</v>
      </c>
      <c r="I500" t="str" cm="1">
        <f t="array" ref="I500">_xlfn.IFS(G500=0,"Not Paid",G500=F500,"Fully Paid",G500&lt;F500,"Partially Paid")</f>
        <v>Partially Paid</v>
      </c>
      <c r="J500" t="str">
        <f t="shared" si="7"/>
        <v>NO</v>
      </c>
    </row>
    <row r="501" spans="1:10" x14ac:dyDescent="0.35">
      <c r="A501">
        <v>2500</v>
      </c>
      <c r="B501" t="s">
        <v>532</v>
      </c>
      <c r="C501" t="s">
        <v>45</v>
      </c>
      <c r="D501" t="s">
        <v>10</v>
      </c>
      <c r="E501">
        <v>45817</v>
      </c>
      <c r="F501">
        <v>22204</v>
      </c>
      <c r="G501">
        <v>8447</v>
      </c>
      <c r="H501" t="s">
        <v>67</v>
      </c>
      <c r="I501" t="str" cm="1">
        <f t="array" ref="I501">_xlfn.IFS(G501=0,"Not Paid",G501=F501,"Fully Paid",G501&lt;F501,"Partially Paid")</f>
        <v>Partially Paid</v>
      </c>
      <c r="J501" t="str">
        <f t="shared" si="7"/>
        <v>NO</v>
      </c>
    </row>
    <row r="502" spans="1:10" x14ac:dyDescent="0.35">
      <c r="A502">
        <v>2501</v>
      </c>
      <c r="B502" t="s">
        <v>533</v>
      </c>
      <c r="C502" t="s">
        <v>9</v>
      </c>
      <c r="D502" t="s">
        <v>10</v>
      </c>
      <c r="E502">
        <v>46008</v>
      </c>
      <c r="F502">
        <v>47233</v>
      </c>
      <c r="G502">
        <v>41771</v>
      </c>
      <c r="H502" t="s">
        <v>25</v>
      </c>
      <c r="I502" t="str" cm="1">
        <f t="array" ref="I502">_xlfn.IFS(G502=0,"Not Paid",G502=F502,"Fully Paid",G502&lt;F502,"Partially Paid")</f>
        <v>Partially Paid</v>
      </c>
      <c r="J502" t="str">
        <f t="shared" si="7"/>
        <v>NO</v>
      </c>
    </row>
    <row r="503" spans="1:10" x14ac:dyDescent="0.35">
      <c r="A503">
        <v>2502</v>
      </c>
      <c r="B503" t="s">
        <v>534</v>
      </c>
      <c r="C503" t="s">
        <v>45</v>
      </c>
      <c r="D503" t="s">
        <v>37</v>
      </c>
      <c r="E503">
        <v>45945</v>
      </c>
      <c r="F503">
        <v>41729</v>
      </c>
      <c r="G503">
        <v>38513</v>
      </c>
      <c r="H503" t="s">
        <v>22</v>
      </c>
      <c r="I503" t="str" cm="1">
        <f t="array" ref="I503">_xlfn.IFS(G503=0,"Not Paid",G503=F503,"Fully Paid",G503&lt;F503,"Partially Paid")</f>
        <v>Partially Paid</v>
      </c>
      <c r="J503" t="str">
        <f t="shared" si="7"/>
        <v>NO</v>
      </c>
    </row>
    <row r="504" spans="1:10" x14ac:dyDescent="0.35">
      <c r="A504">
        <v>2503</v>
      </c>
      <c r="B504" t="s">
        <v>535</v>
      </c>
      <c r="C504" t="s">
        <v>24</v>
      </c>
      <c r="D504" t="s">
        <v>10</v>
      </c>
      <c r="E504">
        <v>45945</v>
      </c>
      <c r="F504">
        <v>51131</v>
      </c>
      <c r="G504">
        <v>47995</v>
      </c>
      <c r="H504" t="s">
        <v>22</v>
      </c>
      <c r="I504" t="str" cm="1">
        <f t="array" ref="I504">_xlfn.IFS(G504=0,"Not Paid",G504=F504,"Fully Paid",G504&lt;F504,"Partially Paid")</f>
        <v>Partially Paid</v>
      </c>
      <c r="J504" t="str">
        <f t="shared" si="7"/>
        <v>YES</v>
      </c>
    </row>
    <row r="505" spans="1:10" x14ac:dyDescent="0.35">
      <c r="A505">
        <v>2504</v>
      </c>
      <c r="B505" t="s">
        <v>536</v>
      </c>
      <c r="C505" t="s">
        <v>13</v>
      </c>
      <c r="D505" t="s">
        <v>18</v>
      </c>
      <c r="E505">
        <v>45883</v>
      </c>
      <c r="F505">
        <v>53870</v>
      </c>
      <c r="G505">
        <v>50552</v>
      </c>
      <c r="H505" t="s">
        <v>38</v>
      </c>
      <c r="I505" t="str" cm="1">
        <f t="array" ref="I505">_xlfn.IFS(G505=0,"Not Paid",G505=F505,"Fully Paid",G505&lt;F505,"Partially Paid")</f>
        <v>Partially Paid</v>
      </c>
      <c r="J505" t="str">
        <f t="shared" si="7"/>
        <v>YES</v>
      </c>
    </row>
    <row r="506" spans="1:10" x14ac:dyDescent="0.35">
      <c r="A506">
        <v>2505</v>
      </c>
      <c r="B506" t="s">
        <v>537</v>
      </c>
      <c r="C506" t="s">
        <v>17</v>
      </c>
      <c r="D506" t="s">
        <v>27</v>
      </c>
      <c r="E506">
        <v>45668</v>
      </c>
      <c r="F506">
        <v>58011</v>
      </c>
      <c r="G506">
        <v>55229</v>
      </c>
      <c r="H506" t="s">
        <v>15</v>
      </c>
      <c r="I506" t="str" cm="1">
        <f t="array" ref="I506">_xlfn.IFS(G506=0,"Not Paid",G506=F506,"Fully Paid",G506&lt;F506,"Partially Paid")</f>
        <v>Partially Paid</v>
      </c>
      <c r="J506" t="str">
        <f t="shared" si="7"/>
        <v>YES</v>
      </c>
    </row>
    <row r="507" spans="1:10" x14ac:dyDescent="0.35">
      <c r="A507">
        <v>2506</v>
      </c>
      <c r="B507" t="s">
        <v>538</v>
      </c>
      <c r="C507" t="s">
        <v>56</v>
      </c>
      <c r="D507" t="s">
        <v>10</v>
      </c>
      <c r="E507">
        <v>45667</v>
      </c>
      <c r="F507">
        <v>59382</v>
      </c>
      <c r="G507">
        <v>50200</v>
      </c>
      <c r="H507" t="s">
        <v>15</v>
      </c>
      <c r="I507" t="str" cm="1">
        <f t="array" ref="I507">_xlfn.IFS(G507=0,"Not Paid",G507=F507,"Fully Paid",G507&lt;F507,"Partially Paid")</f>
        <v>Partially Paid</v>
      </c>
      <c r="J507" t="str">
        <f t="shared" si="7"/>
        <v>YES</v>
      </c>
    </row>
    <row r="508" spans="1:10" x14ac:dyDescent="0.35">
      <c r="A508">
        <v>2507</v>
      </c>
      <c r="B508" t="s">
        <v>539</v>
      </c>
      <c r="C508" t="s">
        <v>17</v>
      </c>
      <c r="D508" t="s">
        <v>27</v>
      </c>
      <c r="E508">
        <v>45928</v>
      </c>
      <c r="F508">
        <v>41607</v>
      </c>
      <c r="G508">
        <v>33950</v>
      </c>
      <c r="H508" t="s">
        <v>53</v>
      </c>
      <c r="I508" t="str" cm="1">
        <f t="array" ref="I508">_xlfn.IFS(G508=0,"Not Paid",G508=F508,"Fully Paid",G508&lt;F508,"Partially Paid")</f>
        <v>Partially Paid</v>
      </c>
      <c r="J508" t="str">
        <f t="shared" si="7"/>
        <v>NO</v>
      </c>
    </row>
    <row r="509" spans="1:10" x14ac:dyDescent="0.35">
      <c r="A509">
        <v>2508</v>
      </c>
      <c r="B509" t="s">
        <v>540</v>
      </c>
      <c r="C509" t="s">
        <v>13</v>
      </c>
      <c r="D509" t="s">
        <v>18</v>
      </c>
      <c r="E509">
        <v>45930</v>
      </c>
      <c r="F509">
        <v>44968</v>
      </c>
      <c r="G509">
        <v>40048</v>
      </c>
      <c r="H509" t="s">
        <v>53</v>
      </c>
      <c r="I509" t="str" cm="1">
        <f t="array" ref="I509">_xlfn.IFS(G509=0,"Not Paid",G509=F509,"Fully Paid",G509&lt;F509,"Partially Paid")</f>
        <v>Partially Paid</v>
      </c>
      <c r="J509" t="str">
        <f t="shared" si="7"/>
        <v>NO</v>
      </c>
    </row>
    <row r="510" spans="1:10" x14ac:dyDescent="0.35">
      <c r="A510">
        <v>2509</v>
      </c>
      <c r="B510" t="s">
        <v>541</v>
      </c>
      <c r="C510" t="s">
        <v>13</v>
      </c>
      <c r="D510" t="s">
        <v>37</v>
      </c>
      <c r="E510">
        <v>45840</v>
      </c>
      <c r="F510">
        <v>53398</v>
      </c>
      <c r="G510">
        <v>39648</v>
      </c>
      <c r="H510" t="s">
        <v>43</v>
      </c>
      <c r="I510" t="str" cm="1">
        <f t="array" ref="I510">_xlfn.IFS(G510=0,"Not Paid",G510=F510,"Fully Paid",G510&lt;F510,"Partially Paid")</f>
        <v>Partially Paid</v>
      </c>
      <c r="J510" t="str">
        <f t="shared" si="7"/>
        <v>YES</v>
      </c>
    </row>
    <row r="511" spans="1:10" x14ac:dyDescent="0.35">
      <c r="A511">
        <v>2510</v>
      </c>
      <c r="B511" t="s">
        <v>542</v>
      </c>
      <c r="C511" t="s">
        <v>13</v>
      </c>
      <c r="D511" t="s">
        <v>14</v>
      </c>
      <c r="E511">
        <v>45810</v>
      </c>
      <c r="F511">
        <v>31908</v>
      </c>
      <c r="G511">
        <v>21563</v>
      </c>
      <c r="H511" t="s">
        <v>67</v>
      </c>
      <c r="I511" t="str" cm="1">
        <f t="array" ref="I511">_xlfn.IFS(G511=0,"Not Paid",G511=F511,"Fully Paid",G511&lt;F511,"Partially Paid")</f>
        <v>Partially Paid</v>
      </c>
      <c r="J511" t="str">
        <f t="shared" si="7"/>
        <v>NO</v>
      </c>
    </row>
    <row r="512" spans="1:10" x14ac:dyDescent="0.35">
      <c r="A512">
        <v>2511</v>
      </c>
      <c r="B512" t="s">
        <v>543</v>
      </c>
      <c r="C512" t="s">
        <v>17</v>
      </c>
      <c r="D512" t="s">
        <v>10</v>
      </c>
      <c r="E512">
        <v>45972</v>
      </c>
      <c r="F512">
        <v>46423</v>
      </c>
      <c r="G512">
        <v>40099</v>
      </c>
      <c r="H512" t="s">
        <v>29</v>
      </c>
      <c r="I512" t="str" cm="1">
        <f t="array" ref="I512">_xlfn.IFS(G512=0,"Not Paid",G512=F512,"Fully Paid",G512&lt;F512,"Partially Paid")</f>
        <v>Partially Paid</v>
      </c>
      <c r="J512" t="str">
        <f t="shared" si="7"/>
        <v>NO</v>
      </c>
    </row>
    <row r="513" spans="1:10" x14ac:dyDescent="0.35">
      <c r="A513">
        <v>2512</v>
      </c>
      <c r="B513" t="s">
        <v>544</v>
      </c>
      <c r="C513" t="s">
        <v>9</v>
      </c>
      <c r="D513" t="s">
        <v>14</v>
      </c>
      <c r="E513">
        <v>45991</v>
      </c>
      <c r="F513">
        <v>29171</v>
      </c>
      <c r="G513">
        <v>22844</v>
      </c>
      <c r="H513" t="s">
        <v>29</v>
      </c>
      <c r="I513" t="str" cm="1">
        <f t="array" ref="I513">_xlfn.IFS(G513=0,"Not Paid",G513=F513,"Fully Paid",G513&lt;F513,"Partially Paid")</f>
        <v>Partially Paid</v>
      </c>
      <c r="J513" t="str">
        <f t="shared" si="7"/>
        <v>NO</v>
      </c>
    </row>
    <row r="514" spans="1:10" x14ac:dyDescent="0.35">
      <c r="A514">
        <v>2513</v>
      </c>
      <c r="B514" t="s">
        <v>545</v>
      </c>
      <c r="C514" t="s">
        <v>13</v>
      </c>
      <c r="D514" t="s">
        <v>18</v>
      </c>
      <c r="E514">
        <v>45781</v>
      </c>
      <c r="F514">
        <v>32721</v>
      </c>
      <c r="G514">
        <v>24304</v>
      </c>
      <c r="H514" t="s">
        <v>31</v>
      </c>
      <c r="I514" t="str" cm="1">
        <f t="array" ref="I514">_xlfn.IFS(G514=0,"Not Paid",G514=F514,"Fully Paid",G514&lt;F514,"Partially Paid")</f>
        <v>Partially Paid</v>
      </c>
      <c r="J514" t="str">
        <f t="shared" si="7"/>
        <v>NO</v>
      </c>
    </row>
    <row r="515" spans="1:10" x14ac:dyDescent="0.35">
      <c r="A515">
        <v>2514</v>
      </c>
      <c r="B515" t="s">
        <v>546</v>
      </c>
      <c r="C515" t="s">
        <v>45</v>
      </c>
      <c r="D515" t="s">
        <v>10</v>
      </c>
      <c r="E515">
        <v>45771</v>
      </c>
      <c r="F515">
        <v>36616</v>
      </c>
      <c r="G515">
        <v>35840</v>
      </c>
      <c r="H515" t="s">
        <v>11</v>
      </c>
      <c r="I515" t="str" cm="1">
        <f t="array" ref="I515">_xlfn.IFS(G515=0,"Not Paid",G515=F515,"Fully Paid",G515&lt;F515,"Partially Paid")</f>
        <v>Partially Paid</v>
      </c>
      <c r="J515" t="str">
        <f t="shared" ref="J515:J578" si="8">IF(F515&gt;50000,"YES","NO")</f>
        <v>NO</v>
      </c>
    </row>
    <row r="516" spans="1:10" x14ac:dyDescent="0.35">
      <c r="A516">
        <v>2515</v>
      </c>
      <c r="B516" t="s">
        <v>547</v>
      </c>
      <c r="C516" t="s">
        <v>17</v>
      </c>
      <c r="D516" t="s">
        <v>27</v>
      </c>
      <c r="E516">
        <v>45935</v>
      </c>
      <c r="F516">
        <v>58458</v>
      </c>
      <c r="G516">
        <v>47429</v>
      </c>
      <c r="H516" t="s">
        <v>22</v>
      </c>
      <c r="I516" t="str" cm="1">
        <f t="array" ref="I516">_xlfn.IFS(G516=0,"Not Paid",G516=F516,"Fully Paid",G516&lt;F516,"Partially Paid")</f>
        <v>Partially Paid</v>
      </c>
      <c r="J516" t="str">
        <f t="shared" si="8"/>
        <v>YES</v>
      </c>
    </row>
    <row r="517" spans="1:10" x14ac:dyDescent="0.35">
      <c r="A517">
        <v>2516</v>
      </c>
      <c r="B517" t="s">
        <v>548</v>
      </c>
      <c r="C517" t="s">
        <v>13</v>
      </c>
      <c r="D517" t="s">
        <v>21</v>
      </c>
      <c r="E517">
        <v>45870</v>
      </c>
      <c r="F517">
        <v>27659</v>
      </c>
      <c r="G517">
        <v>22451</v>
      </c>
      <c r="H517" t="s">
        <v>38</v>
      </c>
      <c r="I517" t="str" cm="1">
        <f t="array" ref="I517">_xlfn.IFS(G517=0,"Not Paid",G517=F517,"Fully Paid",G517&lt;F517,"Partially Paid")</f>
        <v>Partially Paid</v>
      </c>
      <c r="J517" t="str">
        <f t="shared" si="8"/>
        <v>NO</v>
      </c>
    </row>
    <row r="518" spans="1:10" x14ac:dyDescent="0.35">
      <c r="A518">
        <v>2517</v>
      </c>
      <c r="B518" t="s">
        <v>549</v>
      </c>
      <c r="C518" t="s">
        <v>45</v>
      </c>
      <c r="D518" t="s">
        <v>14</v>
      </c>
      <c r="E518">
        <v>45829</v>
      </c>
      <c r="F518">
        <v>31704</v>
      </c>
      <c r="G518">
        <v>31017</v>
      </c>
      <c r="H518" t="s">
        <v>67</v>
      </c>
      <c r="I518" t="str" cm="1">
        <f t="array" ref="I518">_xlfn.IFS(G518=0,"Not Paid",G518=F518,"Fully Paid",G518&lt;F518,"Partially Paid")</f>
        <v>Partially Paid</v>
      </c>
      <c r="J518" t="str">
        <f t="shared" si="8"/>
        <v>NO</v>
      </c>
    </row>
    <row r="519" spans="1:10" x14ac:dyDescent="0.35">
      <c r="A519">
        <v>2518</v>
      </c>
      <c r="B519" t="s">
        <v>550</v>
      </c>
      <c r="C519" t="s">
        <v>9</v>
      </c>
      <c r="D519" t="s">
        <v>10</v>
      </c>
      <c r="E519">
        <v>45945</v>
      </c>
      <c r="F519">
        <v>52793</v>
      </c>
      <c r="G519">
        <v>52264</v>
      </c>
      <c r="H519" t="s">
        <v>22</v>
      </c>
      <c r="I519" t="str" cm="1">
        <f t="array" ref="I519">_xlfn.IFS(G519=0,"Not Paid",G519=F519,"Fully Paid",G519&lt;F519,"Partially Paid")</f>
        <v>Partially Paid</v>
      </c>
      <c r="J519" t="str">
        <f t="shared" si="8"/>
        <v>YES</v>
      </c>
    </row>
    <row r="520" spans="1:10" x14ac:dyDescent="0.35">
      <c r="A520">
        <v>2519</v>
      </c>
      <c r="B520" t="s">
        <v>551</v>
      </c>
      <c r="C520" t="s">
        <v>24</v>
      </c>
      <c r="D520" t="s">
        <v>14</v>
      </c>
      <c r="E520">
        <v>45831</v>
      </c>
      <c r="F520">
        <v>51226</v>
      </c>
      <c r="G520">
        <v>39592</v>
      </c>
      <c r="H520" t="s">
        <v>67</v>
      </c>
      <c r="I520" t="str" cm="1">
        <f t="array" ref="I520">_xlfn.IFS(G520=0,"Not Paid",G520=F520,"Fully Paid",G520&lt;F520,"Partially Paid")</f>
        <v>Partially Paid</v>
      </c>
      <c r="J520" t="str">
        <f t="shared" si="8"/>
        <v>YES</v>
      </c>
    </row>
    <row r="521" spans="1:10" x14ac:dyDescent="0.35">
      <c r="A521">
        <v>2520</v>
      </c>
      <c r="B521" t="s">
        <v>552</v>
      </c>
      <c r="C521" t="s">
        <v>9</v>
      </c>
      <c r="D521" t="s">
        <v>10</v>
      </c>
      <c r="E521">
        <v>45770</v>
      </c>
      <c r="F521">
        <v>43852</v>
      </c>
      <c r="G521">
        <v>38785</v>
      </c>
      <c r="H521" t="s">
        <v>11</v>
      </c>
      <c r="I521" t="str" cm="1">
        <f t="array" ref="I521">_xlfn.IFS(G521=0,"Not Paid",G521=F521,"Fully Paid",G521&lt;F521,"Partially Paid")</f>
        <v>Partially Paid</v>
      </c>
      <c r="J521" t="str">
        <f t="shared" si="8"/>
        <v>NO</v>
      </c>
    </row>
    <row r="522" spans="1:10" x14ac:dyDescent="0.35">
      <c r="A522">
        <v>2521</v>
      </c>
      <c r="B522" t="s">
        <v>553</v>
      </c>
      <c r="C522" t="s">
        <v>13</v>
      </c>
      <c r="D522" t="s">
        <v>37</v>
      </c>
      <c r="E522">
        <v>45779</v>
      </c>
      <c r="F522">
        <v>52082</v>
      </c>
      <c r="G522">
        <v>38859</v>
      </c>
      <c r="H522" t="s">
        <v>31</v>
      </c>
      <c r="I522" t="str" cm="1">
        <f t="array" ref="I522">_xlfn.IFS(G522=0,"Not Paid",G522=F522,"Fully Paid",G522&lt;F522,"Partially Paid")</f>
        <v>Partially Paid</v>
      </c>
      <c r="J522" t="str">
        <f t="shared" si="8"/>
        <v>YES</v>
      </c>
    </row>
    <row r="523" spans="1:10" x14ac:dyDescent="0.35">
      <c r="A523">
        <v>2522</v>
      </c>
      <c r="B523" t="s">
        <v>554</v>
      </c>
      <c r="C523" t="s">
        <v>17</v>
      </c>
      <c r="D523" t="s">
        <v>27</v>
      </c>
      <c r="E523">
        <v>45689</v>
      </c>
      <c r="F523">
        <v>42794</v>
      </c>
      <c r="G523">
        <v>34714</v>
      </c>
      <c r="H523" t="s">
        <v>77</v>
      </c>
      <c r="I523" t="str" cm="1">
        <f t="array" ref="I523">_xlfn.IFS(G523=0,"Not Paid",G523=F523,"Fully Paid",G523&lt;F523,"Partially Paid")</f>
        <v>Partially Paid</v>
      </c>
      <c r="J523" t="str">
        <f t="shared" si="8"/>
        <v>NO</v>
      </c>
    </row>
    <row r="524" spans="1:10" x14ac:dyDescent="0.35">
      <c r="A524">
        <v>2523</v>
      </c>
      <c r="B524" t="s">
        <v>555</v>
      </c>
      <c r="C524" t="s">
        <v>33</v>
      </c>
      <c r="D524" t="s">
        <v>14</v>
      </c>
      <c r="E524">
        <v>45879</v>
      </c>
      <c r="F524">
        <v>33379</v>
      </c>
      <c r="G524">
        <v>27861</v>
      </c>
      <c r="H524" t="s">
        <v>38</v>
      </c>
      <c r="I524" t="str" cm="1">
        <f t="array" ref="I524">_xlfn.IFS(G524=0,"Not Paid",G524=F524,"Fully Paid",G524&lt;F524,"Partially Paid")</f>
        <v>Partially Paid</v>
      </c>
      <c r="J524" t="str">
        <f t="shared" si="8"/>
        <v>NO</v>
      </c>
    </row>
    <row r="525" spans="1:10" x14ac:dyDescent="0.35">
      <c r="A525">
        <v>2524</v>
      </c>
      <c r="B525" t="s">
        <v>556</v>
      </c>
      <c r="C525" t="s">
        <v>13</v>
      </c>
      <c r="D525" t="s">
        <v>21</v>
      </c>
      <c r="E525">
        <v>45776</v>
      </c>
      <c r="F525">
        <v>27006</v>
      </c>
      <c r="G525">
        <v>24853</v>
      </c>
      <c r="H525" t="s">
        <v>11</v>
      </c>
      <c r="I525" t="str" cm="1">
        <f t="array" ref="I525">_xlfn.IFS(G525=0,"Not Paid",G525=F525,"Fully Paid",G525&lt;F525,"Partially Paid")</f>
        <v>Partially Paid</v>
      </c>
      <c r="J525" t="str">
        <f t="shared" si="8"/>
        <v>NO</v>
      </c>
    </row>
    <row r="526" spans="1:10" x14ac:dyDescent="0.35">
      <c r="A526">
        <v>2525</v>
      </c>
      <c r="B526" t="s">
        <v>557</v>
      </c>
      <c r="C526" t="s">
        <v>33</v>
      </c>
      <c r="D526" t="s">
        <v>21</v>
      </c>
      <c r="E526">
        <v>45696</v>
      </c>
      <c r="F526">
        <v>28682</v>
      </c>
      <c r="G526">
        <v>19196</v>
      </c>
      <c r="H526" t="s">
        <v>77</v>
      </c>
      <c r="I526" t="str" cm="1">
        <f t="array" ref="I526">_xlfn.IFS(G526=0,"Not Paid",G526=F526,"Fully Paid",G526&lt;F526,"Partially Paid")</f>
        <v>Partially Paid</v>
      </c>
      <c r="J526" t="str">
        <f t="shared" si="8"/>
        <v>NO</v>
      </c>
    </row>
    <row r="527" spans="1:10" x14ac:dyDescent="0.35">
      <c r="A527">
        <v>2526</v>
      </c>
      <c r="B527" t="s">
        <v>558</v>
      </c>
      <c r="C527" t="s">
        <v>45</v>
      </c>
      <c r="D527" t="s">
        <v>18</v>
      </c>
      <c r="E527">
        <v>45925</v>
      </c>
      <c r="F527">
        <v>53840</v>
      </c>
      <c r="G527">
        <v>47746</v>
      </c>
      <c r="H527" t="s">
        <v>53</v>
      </c>
      <c r="I527" t="str" cm="1">
        <f t="array" ref="I527">_xlfn.IFS(G527=0,"Not Paid",G527=F527,"Fully Paid",G527&lt;F527,"Partially Paid")</f>
        <v>Partially Paid</v>
      </c>
      <c r="J527" t="str">
        <f t="shared" si="8"/>
        <v>YES</v>
      </c>
    </row>
    <row r="528" spans="1:10" x14ac:dyDescent="0.35">
      <c r="A528">
        <v>2527</v>
      </c>
      <c r="B528" t="s">
        <v>559</v>
      </c>
      <c r="C528" t="s">
        <v>24</v>
      </c>
      <c r="D528" t="s">
        <v>10</v>
      </c>
      <c r="E528">
        <v>45890</v>
      </c>
      <c r="F528">
        <v>52430</v>
      </c>
      <c r="G528">
        <v>45456</v>
      </c>
      <c r="H528" t="s">
        <v>38</v>
      </c>
      <c r="I528" t="str" cm="1">
        <f t="array" ref="I528">_xlfn.IFS(G528=0,"Not Paid",G528=F528,"Fully Paid",G528&lt;F528,"Partially Paid")</f>
        <v>Partially Paid</v>
      </c>
      <c r="J528" t="str">
        <f t="shared" si="8"/>
        <v>YES</v>
      </c>
    </row>
    <row r="529" spans="1:10" x14ac:dyDescent="0.35">
      <c r="A529">
        <v>2528</v>
      </c>
      <c r="B529" t="s">
        <v>560</v>
      </c>
      <c r="C529" t="s">
        <v>56</v>
      </c>
      <c r="D529" t="s">
        <v>14</v>
      </c>
      <c r="E529">
        <v>45675</v>
      </c>
      <c r="F529">
        <v>43091</v>
      </c>
      <c r="G529">
        <v>33373</v>
      </c>
      <c r="H529" t="s">
        <v>15</v>
      </c>
      <c r="I529" t="str" cm="1">
        <f t="array" ref="I529">_xlfn.IFS(G529=0,"Not Paid",G529=F529,"Fully Paid",G529&lt;F529,"Partially Paid")</f>
        <v>Partially Paid</v>
      </c>
      <c r="J529" t="str">
        <f t="shared" si="8"/>
        <v>NO</v>
      </c>
    </row>
    <row r="530" spans="1:10" x14ac:dyDescent="0.35">
      <c r="A530">
        <v>2529</v>
      </c>
      <c r="B530" t="s">
        <v>561</v>
      </c>
      <c r="C530" t="s">
        <v>9</v>
      </c>
      <c r="D530" t="s">
        <v>18</v>
      </c>
      <c r="E530">
        <v>45806</v>
      </c>
      <c r="F530">
        <v>52983</v>
      </c>
      <c r="G530">
        <v>48209</v>
      </c>
      <c r="H530" t="s">
        <v>31</v>
      </c>
      <c r="I530" t="str" cm="1">
        <f t="array" ref="I530">_xlfn.IFS(G530=0,"Not Paid",G530=F530,"Fully Paid",G530&lt;F530,"Partially Paid")</f>
        <v>Partially Paid</v>
      </c>
      <c r="J530" t="str">
        <f t="shared" si="8"/>
        <v>YES</v>
      </c>
    </row>
    <row r="531" spans="1:10" x14ac:dyDescent="0.35">
      <c r="A531">
        <v>2530</v>
      </c>
      <c r="B531" t="s">
        <v>562</v>
      </c>
      <c r="C531" t="s">
        <v>24</v>
      </c>
      <c r="D531" t="s">
        <v>14</v>
      </c>
      <c r="E531">
        <v>45806</v>
      </c>
      <c r="F531">
        <v>43989</v>
      </c>
      <c r="G531">
        <v>36297</v>
      </c>
      <c r="H531" t="s">
        <v>31</v>
      </c>
      <c r="I531" t="str" cm="1">
        <f t="array" ref="I531">_xlfn.IFS(G531=0,"Not Paid",G531=F531,"Fully Paid",G531&lt;F531,"Partially Paid")</f>
        <v>Partially Paid</v>
      </c>
      <c r="J531" t="str">
        <f t="shared" si="8"/>
        <v>NO</v>
      </c>
    </row>
    <row r="532" spans="1:10" x14ac:dyDescent="0.35">
      <c r="A532">
        <v>2531</v>
      </c>
      <c r="B532" t="s">
        <v>563</v>
      </c>
      <c r="C532" t="s">
        <v>13</v>
      </c>
      <c r="D532" t="s">
        <v>10</v>
      </c>
      <c r="E532">
        <v>45783</v>
      </c>
      <c r="F532">
        <v>29915</v>
      </c>
      <c r="G532">
        <v>18827</v>
      </c>
      <c r="H532" t="s">
        <v>31</v>
      </c>
      <c r="I532" t="str" cm="1">
        <f t="array" ref="I532">_xlfn.IFS(G532=0,"Not Paid",G532=F532,"Fully Paid",G532&lt;F532,"Partially Paid")</f>
        <v>Partially Paid</v>
      </c>
      <c r="J532" t="str">
        <f t="shared" si="8"/>
        <v>NO</v>
      </c>
    </row>
    <row r="533" spans="1:10" x14ac:dyDescent="0.35">
      <c r="A533">
        <v>2532</v>
      </c>
      <c r="B533" t="s">
        <v>564</v>
      </c>
      <c r="C533" t="s">
        <v>33</v>
      </c>
      <c r="D533" t="s">
        <v>21</v>
      </c>
      <c r="E533">
        <v>45959</v>
      </c>
      <c r="F533">
        <v>38990</v>
      </c>
      <c r="G533">
        <v>35887</v>
      </c>
      <c r="H533" t="s">
        <v>22</v>
      </c>
      <c r="I533" t="str" cm="1">
        <f t="array" ref="I533">_xlfn.IFS(G533=0,"Not Paid",G533=F533,"Fully Paid",G533&lt;F533,"Partially Paid")</f>
        <v>Partially Paid</v>
      </c>
      <c r="J533" t="str">
        <f t="shared" si="8"/>
        <v>NO</v>
      </c>
    </row>
    <row r="534" spans="1:10" x14ac:dyDescent="0.35">
      <c r="A534">
        <v>2533</v>
      </c>
      <c r="B534" t="s">
        <v>565</v>
      </c>
      <c r="C534" t="s">
        <v>9</v>
      </c>
      <c r="D534" t="s">
        <v>37</v>
      </c>
      <c r="E534">
        <v>46017</v>
      </c>
      <c r="F534">
        <v>44734</v>
      </c>
      <c r="G534">
        <v>42294</v>
      </c>
      <c r="H534" t="s">
        <v>25</v>
      </c>
      <c r="I534" t="str" cm="1">
        <f t="array" ref="I534">_xlfn.IFS(G534=0,"Not Paid",G534=F534,"Fully Paid",G534&lt;F534,"Partially Paid")</f>
        <v>Partially Paid</v>
      </c>
      <c r="J534" t="str">
        <f t="shared" si="8"/>
        <v>NO</v>
      </c>
    </row>
    <row r="535" spans="1:10" x14ac:dyDescent="0.35">
      <c r="A535">
        <v>2534</v>
      </c>
      <c r="B535" t="s">
        <v>566</v>
      </c>
      <c r="C535" t="s">
        <v>33</v>
      </c>
      <c r="D535" t="s">
        <v>21</v>
      </c>
      <c r="E535">
        <v>45895</v>
      </c>
      <c r="F535">
        <v>34824</v>
      </c>
      <c r="G535">
        <v>30689</v>
      </c>
      <c r="H535" t="s">
        <v>38</v>
      </c>
      <c r="I535" t="str" cm="1">
        <f t="array" ref="I535">_xlfn.IFS(G535=0,"Not Paid",G535=F535,"Fully Paid",G535&lt;F535,"Partially Paid")</f>
        <v>Partially Paid</v>
      </c>
      <c r="J535" t="str">
        <f t="shared" si="8"/>
        <v>NO</v>
      </c>
    </row>
    <row r="536" spans="1:10" x14ac:dyDescent="0.35">
      <c r="A536">
        <v>2535</v>
      </c>
      <c r="B536" t="s">
        <v>567</v>
      </c>
      <c r="C536" t="s">
        <v>17</v>
      </c>
      <c r="D536" t="s">
        <v>18</v>
      </c>
      <c r="E536">
        <v>45792</v>
      </c>
      <c r="F536">
        <v>56081</v>
      </c>
      <c r="G536">
        <v>41086</v>
      </c>
      <c r="H536" t="s">
        <v>31</v>
      </c>
      <c r="I536" t="str" cm="1">
        <f t="array" ref="I536">_xlfn.IFS(G536=0,"Not Paid",G536=F536,"Fully Paid",G536&lt;F536,"Partially Paid")</f>
        <v>Partially Paid</v>
      </c>
      <c r="J536" t="str">
        <f t="shared" si="8"/>
        <v>YES</v>
      </c>
    </row>
    <row r="537" spans="1:10" x14ac:dyDescent="0.35">
      <c r="A537">
        <v>2536</v>
      </c>
      <c r="B537" t="s">
        <v>568</v>
      </c>
      <c r="C537" t="s">
        <v>33</v>
      </c>
      <c r="D537" t="s">
        <v>27</v>
      </c>
      <c r="E537">
        <v>45808</v>
      </c>
      <c r="F537">
        <v>31033</v>
      </c>
      <c r="G537">
        <v>19039</v>
      </c>
      <c r="H537" t="s">
        <v>31</v>
      </c>
      <c r="I537" t="str" cm="1">
        <f t="array" ref="I537">_xlfn.IFS(G537=0,"Not Paid",G537=F537,"Fully Paid",G537&lt;F537,"Partially Paid")</f>
        <v>Partially Paid</v>
      </c>
      <c r="J537" t="str">
        <f t="shared" si="8"/>
        <v>NO</v>
      </c>
    </row>
    <row r="538" spans="1:10" x14ac:dyDescent="0.35">
      <c r="A538">
        <v>2537</v>
      </c>
      <c r="B538" t="s">
        <v>569</v>
      </c>
      <c r="C538" t="s">
        <v>17</v>
      </c>
      <c r="D538" t="s">
        <v>37</v>
      </c>
      <c r="E538">
        <v>45893</v>
      </c>
      <c r="F538">
        <v>36241</v>
      </c>
      <c r="G538">
        <v>29117</v>
      </c>
      <c r="H538" t="s">
        <v>38</v>
      </c>
      <c r="I538" t="str" cm="1">
        <f t="array" ref="I538">_xlfn.IFS(G538=0,"Not Paid",G538=F538,"Fully Paid",G538&lt;F538,"Partially Paid")</f>
        <v>Partially Paid</v>
      </c>
      <c r="J538" t="str">
        <f t="shared" si="8"/>
        <v>NO</v>
      </c>
    </row>
    <row r="539" spans="1:10" x14ac:dyDescent="0.35">
      <c r="A539">
        <v>2538</v>
      </c>
      <c r="B539" t="s">
        <v>570</v>
      </c>
      <c r="C539" t="s">
        <v>45</v>
      </c>
      <c r="D539" t="s">
        <v>18</v>
      </c>
      <c r="E539">
        <v>45881</v>
      </c>
      <c r="F539">
        <v>25939</v>
      </c>
      <c r="G539">
        <v>20738</v>
      </c>
      <c r="H539" t="s">
        <v>38</v>
      </c>
      <c r="I539" t="str" cm="1">
        <f t="array" ref="I539">_xlfn.IFS(G539=0,"Not Paid",G539=F539,"Fully Paid",G539&lt;F539,"Partially Paid")</f>
        <v>Partially Paid</v>
      </c>
      <c r="J539" t="str">
        <f t="shared" si="8"/>
        <v>NO</v>
      </c>
    </row>
    <row r="540" spans="1:10" x14ac:dyDescent="0.35">
      <c r="A540">
        <v>2539</v>
      </c>
      <c r="B540" t="s">
        <v>571</v>
      </c>
      <c r="C540" t="s">
        <v>9</v>
      </c>
      <c r="D540" t="s">
        <v>10</v>
      </c>
      <c r="E540">
        <v>45860</v>
      </c>
      <c r="F540">
        <v>55063</v>
      </c>
      <c r="G540">
        <v>54219</v>
      </c>
      <c r="H540" t="s">
        <v>43</v>
      </c>
      <c r="I540" t="str" cm="1">
        <f t="array" ref="I540">_xlfn.IFS(G540=0,"Not Paid",G540=F540,"Fully Paid",G540&lt;F540,"Partially Paid")</f>
        <v>Partially Paid</v>
      </c>
      <c r="J540" t="str">
        <f t="shared" si="8"/>
        <v>YES</v>
      </c>
    </row>
    <row r="541" spans="1:10" x14ac:dyDescent="0.35">
      <c r="A541">
        <v>2540</v>
      </c>
      <c r="B541" t="s">
        <v>572</v>
      </c>
      <c r="C541" t="s">
        <v>9</v>
      </c>
      <c r="D541" t="s">
        <v>37</v>
      </c>
      <c r="E541">
        <v>45913</v>
      </c>
      <c r="F541">
        <v>54464</v>
      </c>
      <c r="G541">
        <v>40433</v>
      </c>
      <c r="H541" t="s">
        <v>53</v>
      </c>
      <c r="I541" t="str" cm="1">
        <f t="array" ref="I541">_xlfn.IFS(G541=0,"Not Paid",G541=F541,"Fully Paid",G541&lt;F541,"Partially Paid")</f>
        <v>Partially Paid</v>
      </c>
      <c r="J541" t="str">
        <f t="shared" si="8"/>
        <v>YES</v>
      </c>
    </row>
    <row r="542" spans="1:10" x14ac:dyDescent="0.35">
      <c r="A542">
        <v>2541</v>
      </c>
      <c r="B542" t="s">
        <v>573</v>
      </c>
      <c r="C542" t="s">
        <v>56</v>
      </c>
      <c r="D542" t="s">
        <v>18</v>
      </c>
      <c r="E542">
        <v>45743</v>
      </c>
      <c r="F542">
        <v>31185</v>
      </c>
      <c r="G542">
        <v>16649</v>
      </c>
      <c r="H542" t="s">
        <v>19</v>
      </c>
      <c r="I542" t="str" cm="1">
        <f t="array" ref="I542">_xlfn.IFS(G542=0,"Not Paid",G542=F542,"Fully Paid",G542&lt;F542,"Partially Paid")</f>
        <v>Partially Paid</v>
      </c>
      <c r="J542" t="str">
        <f t="shared" si="8"/>
        <v>NO</v>
      </c>
    </row>
    <row r="543" spans="1:10" x14ac:dyDescent="0.35">
      <c r="A543">
        <v>2542</v>
      </c>
      <c r="B543" t="s">
        <v>574</v>
      </c>
      <c r="C543" t="s">
        <v>13</v>
      </c>
      <c r="D543" t="s">
        <v>10</v>
      </c>
      <c r="E543">
        <v>45807</v>
      </c>
      <c r="F543">
        <v>47045</v>
      </c>
      <c r="G543">
        <v>46599</v>
      </c>
      <c r="H543" t="s">
        <v>31</v>
      </c>
      <c r="I543" t="str" cm="1">
        <f t="array" ref="I543">_xlfn.IFS(G543=0,"Not Paid",G543=F543,"Fully Paid",G543&lt;F543,"Partially Paid")</f>
        <v>Partially Paid</v>
      </c>
      <c r="J543" t="str">
        <f t="shared" si="8"/>
        <v>NO</v>
      </c>
    </row>
    <row r="544" spans="1:10" x14ac:dyDescent="0.35">
      <c r="A544">
        <v>2543</v>
      </c>
      <c r="B544" t="s">
        <v>575</v>
      </c>
      <c r="C544" t="s">
        <v>17</v>
      </c>
      <c r="D544" t="s">
        <v>21</v>
      </c>
      <c r="E544">
        <v>45892</v>
      </c>
      <c r="F544">
        <v>39167</v>
      </c>
      <c r="G544">
        <v>35252</v>
      </c>
      <c r="H544" t="s">
        <v>38</v>
      </c>
      <c r="I544" t="str" cm="1">
        <f t="array" ref="I544">_xlfn.IFS(G544=0,"Not Paid",G544=F544,"Fully Paid",G544&lt;F544,"Partially Paid")</f>
        <v>Partially Paid</v>
      </c>
      <c r="J544" t="str">
        <f t="shared" si="8"/>
        <v>NO</v>
      </c>
    </row>
    <row r="545" spans="1:10" x14ac:dyDescent="0.35">
      <c r="A545">
        <v>2544</v>
      </c>
      <c r="B545" t="s">
        <v>576</v>
      </c>
      <c r="C545" t="s">
        <v>56</v>
      </c>
      <c r="D545" t="s">
        <v>27</v>
      </c>
      <c r="E545">
        <v>46002</v>
      </c>
      <c r="F545">
        <v>56412</v>
      </c>
      <c r="G545">
        <v>53303</v>
      </c>
      <c r="H545" t="s">
        <v>25</v>
      </c>
      <c r="I545" t="str" cm="1">
        <f t="array" ref="I545">_xlfn.IFS(G545=0,"Not Paid",G545=F545,"Fully Paid",G545&lt;F545,"Partially Paid")</f>
        <v>Partially Paid</v>
      </c>
      <c r="J545" t="str">
        <f t="shared" si="8"/>
        <v>YES</v>
      </c>
    </row>
    <row r="546" spans="1:10" x14ac:dyDescent="0.35">
      <c r="A546">
        <v>2545</v>
      </c>
      <c r="B546" t="s">
        <v>577</v>
      </c>
      <c r="C546" t="s">
        <v>33</v>
      </c>
      <c r="D546" t="s">
        <v>10</v>
      </c>
      <c r="E546">
        <v>45679</v>
      </c>
      <c r="F546">
        <v>41625</v>
      </c>
      <c r="G546">
        <v>40391</v>
      </c>
      <c r="H546" t="s">
        <v>15</v>
      </c>
      <c r="I546" t="str" cm="1">
        <f t="array" ref="I546">_xlfn.IFS(G546=0,"Not Paid",G546=F546,"Fully Paid",G546&lt;F546,"Partially Paid")</f>
        <v>Partially Paid</v>
      </c>
      <c r="J546" t="str">
        <f t="shared" si="8"/>
        <v>NO</v>
      </c>
    </row>
    <row r="547" spans="1:10" x14ac:dyDescent="0.35">
      <c r="A547">
        <v>2546</v>
      </c>
      <c r="B547" t="s">
        <v>578</v>
      </c>
      <c r="C547" t="s">
        <v>33</v>
      </c>
      <c r="D547" t="s">
        <v>14</v>
      </c>
      <c r="E547">
        <v>46005</v>
      </c>
      <c r="F547">
        <v>59188</v>
      </c>
      <c r="G547">
        <v>52601</v>
      </c>
      <c r="H547" t="s">
        <v>25</v>
      </c>
      <c r="I547" t="str" cm="1">
        <f t="array" ref="I547">_xlfn.IFS(G547=0,"Not Paid",G547=F547,"Fully Paid",G547&lt;F547,"Partially Paid")</f>
        <v>Partially Paid</v>
      </c>
      <c r="J547" t="str">
        <f t="shared" si="8"/>
        <v>YES</v>
      </c>
    </row>
    <row r="548" spans="1:10" x14ac:dyDescent="0.35">
      <c r="A548">
        <v>2547</v>
      </c>
      <c r="B548" t="s">
        <v>579</v>
      </c>
      <c r="C548" t="s">
        <v>56</v>
      </c>
      <c r="D548" t="s">
        <v>10</v>
      </c>
      <c r="E548">
        <v>45942</v>
      </c>
      <c r="F548">
        <v>47076</v>
      </c>
      <c r="G548">
        <v>33438</v>
      </c>
      <c r="H548" t="s">
        <v>22</v>
      </c>
      <c r="I548" t="str" cm="1">
        <f t="array" ref="I548">_xlfn.IFS(G548=0,"Not Paid",G548=F548,"Fully Paid",G548&lt;F548,"Partially Paid")</f>
        <v>Partially Paid</v>
      </c>
      <c r="J548" t="str">
        <f t="shared" si="8"/>
        <v>NO</v>
      </c>
    </row>
    <row r="549" spans="1:10" x14ac:dyDescent="0.35">
      <c r="A549">
        <v>2548</v>
      </c>
      <c r="B549" t="s">
        <v>580</v>
      </c>
      <c r="C549" t="s">
        <v>9</v>
      </c>
      <c r="D549" t="s">
        <v>10</v>
      </c>
      <c r="E549">
        <v>45926</v>
      </c>
      <c r="F549">
        <v>39029</v>
      </c>
      <c r="G549">
        <v>38803</v>
      </c>
      <c r="H549" t="s">
        <v>53</v>
      </c>
      <c r="I549" t="str" cm="1">
        <f t="array" ref="I549">_xlfn.IFS(G549=0,"Not Paid",G549=F549,"Fully Paid",G549&lt;F549,"Partially Paid")</f>
        <v>Partially Paid</v>
      </c>
      <c r="J549" t="str">
        <f t="shared" si="8"/>
        <v>NO</v>
      </c>
    </row>
    <row r="550" spans="1:10" x14ac:dyDescent="0.35">
      <c r="A550">
        <v>2549</v>
      </c>
      <c r="B550" t="s">
        <v>581</v>
      </c>
      <c r="C550" t="s">
        <v>33</v>
      </c>
      <c r="D550" t="s">
        <v>27</v>
      </c>
      <c r="E550">
        <v>45915</v>
      </c>
      <c r="F550">
        <v>42973</v>
      </c>
      <c r="G550">
        <v>38830</v>
      </c>
      <c r="H550" t="s">
        <v>53</v>
      </c>
      <c r="I550" t="str" cm="1">
        <f t="array" ref="I550">_xlfn.IFS(G550=0,"Not Paid",G550=F550,"Fully Paid",G550&lt;F550,"Partially Paid")</f>
        <v>Partially Paid</v>
      </c>
      <c r="J550" t="str">
        <f t="shared" si="8"/>
        <v>NO</v>
      </c>
    </row>
    <row r="551" spans="1:10" x14ac:dyDescent="0.35">
      <c r="A551">
        <v>2550</v>
      </c>
      <c r="B551" t="s">
        <v>582</v>
      </c>
      <c r="C551" t="s">
        <v>45</v>
      </c>
      <c r="D551" t="s">
        <v>14</v>
      </c>
      <c r="E551">
        <v>45686</v>
      </c>
      <c r="F551">
        <v>59121</v>
      </c>
      <c r="G551">
        <v>51936</v>
      </c>
      <c r="H551" t="s">
        <v>15</v>
      </c>
      <c r="I551" t="str" cm="1">
        <f t="array" ref="I551">_xlfn.IFS(G551=0,"Not Paid",G551=F551,"Fully Paid",G551&lt;F551,"Partially Paid")</f>
        <v>Partially Paid</v>
      </c>
      <c r="J551" t="str">
        <f t="shared" si="8"/>
        <v>YES</v>
      </c>
    </row>
    <row r="552" spans="1:10" x14ac:dyDescent="0.35">
      <c r="A552">
        <v>2551</v>
      </c>
      <c r="B552" t="s">
        <v>583</v>
      </c>
      <c r="C552" t="s">
        <v>45</v>
      </c>
      <c r="D552" t="s">
        <v>18</v>
      </c>
      <c r="E552">
        <v>45870</v>
      </c>
      <c r="F552">
        <v>51433</v>
      </c>
      <c r="G552">
        <v>40282</v>
      </c>
      <c r="H552" t="s">
        <v>38</v>
      </c>
      <c r="I552" t="str" cm="1">
        <f t="array" ref="I552">_xlfn.IFS(G552=0,"Not Paid",G552=F552,"Fully Paid",G552&lt;F552,"Partially Paid")</f>
        <v>Partially Paid</v>
      </c>
      <c r="J552" t="str">
        <f t="shared" si="8"/>
        <v>YES</v>
      </c>
    </row>
    <row r="553" spans="1:10" x14ac:dyDescent="0.35">
      <c r="A553">
        <v>2552</v>
      </c>
      <c r="B553" t="s">
        <v>584</v>
      </c>
      <c r="C553" t="s">
        <v>56</v>
      </c>
      <c r="D553" t="s">
        <v>18</v>
      </c>
      <c r="E553">
        <v>45940</v>
      </c>
      <c r="F553">
        <v>21932</v>
      </c>
      <c r="G553">
        <v>16374</v>
      </c>
      <c r="H553" t="s">
        <v>22</v>
      </c>
      <c r="I553" t="str" cm="1">
        <f t="array" ref="I553">_xlfn.IFS(G553=0,"Not Paid",G553=F553,"Fully Paid",G553&lt;F553,"Partially Paid")</f>
        <v>Partially Paid</v>
      </c>
      <c r="J553" t="str">
        <f t="shared" si="8"/>
        <v>NO</v>
      </c>
    </row>
    <row r="554" spans="1:10" x14ac:dyDescent="0.35">
      <c r="A554">
        <v>2553</v>
      </c>
      <c r="B554" t="s">
        <v>585</v>
      </c>
      <c r="C554" t="s">
        <v>17</v>
      </c>
      <c r="D554" t="s">
        <v>10</v>
      </c>
      <c r="E554">
        <v>45707</v>
      </c>
      <c r="F554">
        <v>21757</v>
      </c>
      <c r="G554">
        <v>11735</v>
      </c>
      <c r="H554" t="s">
        <v>77</v>
      </c>
      <c r="I554" t="str" cm="1">
        <f t="array" ref="I554">_xlfn.IFS(G554=0,"Not Paid",G554=F554,"Fully Paid",G554&lt;F554,"Partially Paid")</f>
        <v>Partially Paid</v>
      </c>
      <c r="J554" t="str">
        <f t="shared" si="8"/>
        <v>NO</v>
      </c>
    </row>
    <row r="555" spans="1:10" x14ac:dyDescent="0.35">
      <c r="A555">
        <v>2554</v>
      </c>
      <c r="B555" t="s">
        <v>586</v>
      </c>
      <c r="C555" t="s">
        <v>17</v>
      </c>
      <c r="D555" t="s">
        <v>14</v>
      </c>
      <c r="E555">
        <v>45752</v>
      </c>
      <c r="F555">
        <v>50722</v>
      </c>
      <c r="G555">
        <v>38751</v>
      </c>
      <c r="H555" t="s">
        <v>11</v>
      </c>
      <c r="I555" t="str" cm="1">
        <f t="array" ref="I555">_xlfn.IFS(G555=0,"Not Paid",G555=F555,"Fully Paid",G555&lt;F555,"Partially Paid")</f>
        <v>Partially Paid</v>
      </c>
      <c r="J555" t="str">
        <f t="shared" si="8"/>
        <v>YES</v>
      </c>
    </row>
    <row r="556" spans="1:10" x14ac:dyDescent="0.35">
      <c r="A556">
        <v>2555</v>
      </c>
      <c r="B556" t="s">
        <v>587</v>
      </c>
      <c r="C556" t="s">
        <v>56</v>
      </c>
      <c r="D556" t="s">
        <v>14</v>
      </c>
      <c r="E556">
        <v>45745</v>
      </c>
      <c r="F556">
        <v>57853</v>
      </c>
      <c r="G556">
        <v>57667</v>
      </c>
      <c r="H556" t="s">
        <v>19</v>
      </c>
      <c r="I556" t="str" cm="1">
        <f t="array" ref="I556">_xlfn.IFS(G556=0,"Not Paid",G556=F556,"Fully Paid",G556&lt;F556,"Partially Paid")</f>
        <v>Partially Paid</v>
      </c>
      <c r="J556" t="str">
        <f t="shared" si="8"/>
        <v>YES</v>
      </c>
    </row>
    <row r="557" spans="1:10" x14ac:dyDescent="0.35">
      <c r="A557">
        <v>2556</v>
      </c>
      <c r="B557" t="s">
        <v>588</v>
      </c>
      <c r="C557" t="s">
        <v>17</v>
      </c>
      <c r="D557" t="s">
        <v>27</v>
      </c>
      <c r="E557">
        <v>45701</v>
      </c>
      <c r="F557">
        <v>58405</v>
      </c>
      <c r="G557">
        <v>43725</v>
      </c>
      <c r="H557" t="s">
        <v>77</v>
      </c>
      <c r="I557" t="str" cm="1">
        <f t="array" ref="I557">_xlfn.IFS(G557=0,"Not Paid",G557=F557,"Fully Paid",G557&lt;F557,"Partially Paid")</f>
        <v>Partially Paid</v>
      </c>
      <c r="J557" t="str">
        <f t="shared" si="8"/>
        <v>YES</v>
      </c>
    </row>
    <row r="558" spans="1:10" x14ac:dyDescent="0.35">
      <c r="A558">
        <v>2557</v>
      </c>
      <c r="B558" t="s">
        <v>589</v>
      </c>
      <c r="C558" t="s">
        <v>9</v>
      </c>
      <c r="D558" t="s">
        <v>21</v>
      </c>
      <c r="E558">
        <v>45935</v>
      </c>
      <c r="F558">
        <v>21116</v>
      </c>
      <c r="G558">
        <v>6557</v>
      </c>
      <c r="H558" t="s">
        <v>22</v>
      </c>
      <c r="I558" t="str" cm="1">
        <f t="array" ref="I558">_xlfn.IFS(G558=0,"Not Paid",G558=F558,"Fully Paid",G558&lt;F558,"Partially Paid")</f>
        <v>Partially Paid</v>
      </c>
      <c r="J558" t="str">
        <f t="shared" si="8"/>
        <v>NO</v>
      </c>
    </row>
    <row r="559" spans="1:10" x14ac:dyDescent="0.35">
      <c r="A559">
        <v>2558</v>
      </c>
      <c r="B559" t="s">
        <v>590</v>
      </c>
      <c r="C559" t="s">
        <v>9</v>
      </c>
      <c r="D559" t="s">
        <v>18</v>
      </c>
      <c r="E559">
        <v>45828</v>
      </c>
      <c r="F559">
        <v>31691</v>
      </c>
      <c r="G559">
        <v>20622</v>
      </c>
      <c r="H559" t="s">
        <v>67</v>
      </c>
      <c r="I559" t="str" cm="1">
        <f t="array" ref="I559">_xlfn.IFS(G559=0,"Not Paid",G559=F559,"Fully Paid",G559&lt;F559,"Partially Paid")</f>
        <v>Partially Paid</v>
      </c>
      <c r="J559" t="str">
        <f t="shared" si="8"/>
        <v>NO</v>
      </c>
    </row>
    <row r="560" spans="1:10" x14ac:dyDescent="0.35">
      <c r="A560">
        <v>2559</v>
      </c>
      <c r="B560" t="s">
        <v>591</v>
      </c>
      <c r="C560" t="s">
        <v>17</v>
      </c>
      <c r="D560" t="s">
        <v>27</v>
      </c>
      <c r="E560">
        <v>45846</v>
      </c>
      <c r="F560">
        <v>20492</v>
      </c>
      <c r="G560">
        <v>17957</v>
      </c>
      <c r="H560" t="s">
        <v>43</v>
      </c>
      <c r="I560" t="str" cm="1">
        <f t="array" ref="I560">_xlfn.IFS(G560=0,"Not Paid",G560=F560,"Fully Paid",G560&lt;F560,"Partially Paid")</f>
        <v>Partially Paid</v>
      </c>
      <c r="J560" t="str">
        <f t="shared" si="8"/>
        <v>NO</v>
      </c>
    </row>
    <row r="561" spans="1:10" x14ac:dyDescent="0.35">
      <c r="A561">
        <v>2560</v>
      </c>
      <c r="B561" t="s">
        <v>592</v>
      </c>
      <c r="C561" t="s">
        <v>45</v>
      </c>
      <c r="D561" t="s">
        <v>37</v>
      </c>
      <c r="E561">
        <v>46010</v>
      </c>
      <c r="F561">
        <v>47882</v>
      </c>
      <c r="G561">
        <v>45950</v>
      </c>
      <c r="H561" t="s">
        <v>25</v>
      </c>
      <c r="I561" t="str" cm="1">
        <f t="array" ref="I561">_xlfn.IFS(G561=0,"Not Paid",G561=F561,"Fully Paid",G561&lt;F561,"Partially Paid")</f>
        <v>Partially Paid</v>
      </c>
      <c r="J561" t="str">
        <f t="shared" si="8"/>
        <v>NO</v>
      </c>
    </row>
    <row r="562" spans="1:10" x14ac:dyDescent="0.35">
      <c r="A562">
        <v>2561</v>
      </c>
      <c r="B562" t="s">
        <v>593</v>
      </c>
      <c r="C562" t="s">
        <v>17</v>
      </c>
      <c r="D562" t="s">
        <v>18</v>
      </c>
      <c r="E562">
        <v>45841</v>
      </c>
      <c r="F562">
        <v>28811</v>
      </c>
      <c r="G562">
        <v>17695</v>
      </c>
      <c r="H562" t="s">
        <v>43</v>
      </c>
      <c r="I562" t="str" cm="1">
        <f t="array" ref="I562">_xlfn.IFS(G562=0,"Not Paid",G562=F562,"Fully Paid",G562&lt;F562,"Partially Paid")</f>
        <v>Partially Paid</v>
      </c>
      <c r="J562" t="str">
        <f t="shared" si="8"/>
        <v>NO</v>
      </c>
    </row>
    <row r="563" spans="1:10" x14ac:dyDescent="0.35">
      <c r="A563">
        <v>2562</v>
      </c>
      <c r="B563" t="s">
        <v>594</v>
      </c>
      <c r="C563" t="s">
        <v>9</v>
      </c>
      <c r="D563" t="s">
        <v>27</v>
      </c>
      <c r="E563">
        <v>45660</v>
      </c>
      <c r="F563">
        <v>47808</v>
      </c>
      <c r="G563">
        <v>38768</v>
      </c>
      <c r="H563" t="s">
        <v>15</v>
      </c>
      <c r="I563" t="str" cm="1">
        <f t="array" ref="I563">_xlfn.IFS(G563=0,"Not Paid",G563=F563,"Fully Paid",G563&lt;F563,"Partially Paid")</f>
        <v>Partially Paid</v>
      </c>
      <c r="J563" t="str">
        <f t="shared" si="8"/>
        <v>NO</v>
      </c>
    </row>
    <row r="564" spans="1:10" x14ac:dyDescent="0.35">
      <c r="A564">
        <v>2563</v>
      </c>
      <c r="B564" t="s">
        <v>595</v>
      </c>
      <c r="C564" t="s">
        <v>24</v>
      </c>
      <c r="D564" t="s">
        <v>18</v>
      </c>
      <c r="E564">
        <v>45848</v>
      </c>
      <c r="F564">
        <v>44272</v>
      </c>
      <c r="G564">
        <v>42240</v>
      </c>
      <c r="H564" t="s">
        <v>43</v>
      </c>
      <c r="I564" t="str" cm="1">
        <f t="array" ref="I564">_xlfn.IFS(G564=0,"Not Paid",G564=F564,"Fully Paid",G564&lt;F564,"Partially Paid")</f>
        <v>Partially Paid</v>
      </c>
      <c r="J564" t="str">
        <f t="shared" si="8"/>
        <v>NO</v>
      </c>
    </row>
    <row r="565" spans="1:10" x14ac:dyDescent="0.35">
      <c r="A565">
        <v>2564</v>
      </c>
      <c r="B565" t="s">
        <v>596</v>
      </c>
      <c r="C565" t="s">
        <v>13</v>
      </c>
      <c r="D565" t="s">
        <v>21</v>
      </c>
      <c r="E565">
        <v>45775</v>
      </c>
      <c r="F565">
        <v>48399</v>
      </c>
      <c r="G565">
        <v>47147</v>
      </c>
      <c r="H565" t="s">
        <v>11</v>
      </c>
      <c r="I565" t="str" cm="1">
        <f t="array" ref="I565">_xlfn.IFS(G565=0,"Not Paid",G565=F565,"Fully Paid",G565&lt;F565,"Partially Paid")</f>
        <v>Partially Paid</v>
      </c>
      <c r="J565" t="str">
        <f t="shared" si="8"/>
        <v>NO</v>
      </c>
    </row>
    <row r="566" spans="1:10" x14ac:dyDescent="0.35">
      <c r="A566">
        <v>2565</v>
      </c>
      <c r="B566" t="s">
        <v>597</v>
      </c>
      <c r="C566" t="s">
        <v>33</v>
      </c>
      <c r="D566" t="s">
        <v>37</v>
      </c>
      <c r="E566">
        <v>45676</v>
      </c>
      <c r="F566">
        <v>26474</v>
      </c>
      <c r="G566">
        <v>20965</v>
      </c>
      <c r="H566" t="s">
        <v>15</v>
      </c>
      <c r="I566" t="str" cm="1">
        <f t="array" ref="I566">_xlfn.IFS(G566=0,"Not Paid",G566=F566,"Fully Paid",G566&lt;F566,"Partially Paid")</f>
        <v>Partially Paid</v>
      </c>
      <c r="J566" t="str">
        <f t="shared" si="8"/>
        <v>NO</v>
      </c>
    </row>
    <row r="567" spans="1:10" x14ac:dyDescent="0.35">
      <c r="A567">
        <v>2566</v>
      </c>
      <c r="B567" t="s">
        <v>598</v>
      </c>
      <c r="C567" t="s">
        <v>24</v>
      </c>
      <c r="D567" t="s">
        <v>21</v>
      </c>
      <c r="E567">
        <v>45680</v>
      </c>
      <c r="F567">
        <v>46956</v>
      </c>
      <c r="G567">
        <v>41882</v>
      </c>
      <c r="H567" t="s">
        <v>15</v>
      </c>
      <c r="I567" t="str" cm="1">
        <f t="array" ref="I567">_xlfn.IFS(G567=0,"Not Paid",G567=F567,"Fully Paid",G567&lt;F567,"Partially Paid")</f>
        <v>Partially Paid</v>
      </c>
      <c r="J567" t="str">
        <f t="shared" si="8"/>
        <v>NO</v>
      </c>
    </row>
    <row r="568" spans="1:10" x14ac:dyDescent="0.35">
      <c r="A568">
        <v>2567</v>
      </c>
      <c r="B568" t="s">
        <v>599</v>
      </c>
      <c r="C568" t="s">
        <v>17</v>
      </c>
      <c r="D568" t="s">
        <v>37</v>
      </c>
      <c r="E568">
        <v>45687</v>
      </c>
      <c r="F568">
        <v>33979</v>
      </c>
      <c r="G568">
        <v>20079</v>
      </c>
      <c r="H568" t="s">
        <v>15</v>
      </c>
      <c r="I568" t="str" cm="1">
        <f t="array" ref="I568">_xlfn.IFS(G568=0,"Not Paid",G568=F568,"Fully Paid",G568&lt;F568,"Partially Paid")</f>
        <v>Partially Paid</v>
      </c>
      <c r="J568" t="str">
        <f t="shared" si="8"/>
        <v>NO</v>
      </c>
    </row>
    <row r="569" spans="1:10" x14ac:dyDescent="0.35">
      <c r="A569">
        <v>2568</v>
      </c>
      <c r="B569" t="s">
        <v>600</v>
      </c>
      <c r="C569" t="s">
        <v>45</v>
      </c>
      <c r="D569" t="s">
        <v>10</v>
      </c>
      <c r="E569">
        <v>45952</v>
      </c>
      <c r="F569">
        <v>48328</v>
      </c>
      <c r="G569">
        <v>35024</v>
      </c>
      <c r="H569" t="s">
        <v>22</v>
      </c>
      <c r="I569" t="str" cm="1">
        <f t="array" ref="I569">_xlfn.IFS(G569=0,"Not Paid",G569=F569,"Fully Paid",G569&lt;F569,"Partially Paid")</f>
        <v>Partially Paid</v>
      </c>
      <c r="J569" t="str">
        <f t="shared" si="8"/>
        <v>NO</v>
      </c>
    </row>
    <row r="570" spans="1:10" x14ac:dyDescent="0.35">
      <c r="A570">
        <v>2569</v>
      </c>
      <c r="B570" t="s">
        <v>601</v>
      </c>
      <c r="C570" t="s">
        <v>56</v>
      </c>
      <c r="D570" t="s">
        <v>27</v>
      </c>
      <c r="E570">
        <v>45765</v>
      </c>
      <c r="F570">
        <v>32867</v>
      </c>
      <c r="G570">
        <v>18344</v>
      </c>
      <c r="H570" t="s">
        <v>11</v>
      </c>
      <c r="I570" t="str" cm="1">
        <f t="array" ref="I570">_xlfn.IFS(G570=0,"Not Paid",G570=F570,"Fully Paid",G570&lt;F570,"Partially Paid")</f>
        <v>Partially Paid</v>
      </c>
      <c r="J570" t="str">
        <f t="shared" si="8"/>
        <v>NO</v>
      </c>
    </row>
    <row r="571" spans="1:10" x14ac:dyDescent="0.35">
      <c r="A571">
        <v>2570</v>
      </c>
      <c r="B571" t="s">
        <v>602</v>
      </c>
      <c r="C571" t="s">
        <v>17</v>
      </c>
      <c r="D571" t="s">
        <v>37</v>
      </c>
      <c r="E571">
        <v>45938</v>
      </c>
      <c r="F571">
        <v>45851</v>
      </c>
      <c r="G571">
        <v>43970</v>
      </c>
      <c r="H571" t="s">
        <v>22</v>
      </c>
      <c r="I571" t="str" cm="1">
        <f t="array" ref="I571">_xlfn.IFS(G571=0,"Not Paid",G571=F571,"Fully Paid",G571&lt;F571,"Partially Paid")</f>
        <v>Partially Paid</v>
      </c>
      <c r="J571" t="str">
        <f t="shared" si="8"/>
        <v>NO</v>
      </c>
    </row>
    <row r="572" spans="1:10" x14ac:dyDescent="0.35">
      <c r="A572">
        <v>2571</v>
      </c>
      <c r="B572" t="s">
        <v>603</v>
      </c>
      <c r="C572" t="s">
        <v>45</v>
      </c>
      <c r="D572" t="s">
        <v>21</v>
      </c>
      <c r="E572">
        <v>45785</v>
      </c>
      <c r="F572">
        <v>51279</v>
      </c>
      <c r="G572">
        <v>51010</v>
      </c>
      <c r="H572" t="s">
        <v>31</v>
      </c>
      <c r="I572" t="str" cm="1">
        <f t="array" ref="I572">_xlfn.IFS(G572=0,"Not Paid",G572=F572,"Fully Paid",G572&lt;F572,"Partially Paid")</f>
        <v>Partially Paid</v>
      </c>
      <c r="J572" t="str">
        <f t="shared" si="8"/>
        <v>YES</v>
      </c>
    </row>
    <row r="573" spans="1:10" x14ac:dyDescent="0.35">
      <c r="A573">
        <v>2572</v>
      </c>
      <c r="B573" t="s">
        <v>604</v>
      </c>
      <c r="C573" t="s">
        <v>13</v>
      </c>
      <c r="D573" t="s">
        <v>18</v>
      </c>
      <c r="E573">
        <v>45886</v>
      </c>
      <c r="F573">
        <v>50527</v>
      </c>
      <c r="G573">
        <v>48897</v>
      </c>
      <c r="H573" t="s">
        <v>38</v>
      </c>
      <c r="I573" t="str" cm="1">
        <f t="array" ref="I573">_xlfn.IFS(G573=0,"Not Paid",G573=F573,"Fully Paid",G573&lt;F573,"Partially Paid")</f>
        <v>Partially Paid</v>
      </c>
      <c r="J573" t="str">
        <f t="shared" si="8"/>
        <v>YES</v>
      </c>
    </row>
    <row r="574" spans="1:10" x14ac:dyDescent="0.35">
      <c r="A574">
        <v>2573</v>
      </c>
      <c r="B574" t="s">
        <v>605</v>
      </c>
      <c r="C574" t="s">
        <v>17</v>
      </c>
      <c r="D574" t="s">
        <v>37</v>
      </c>
      <c r="E574">
        <v>45768</v>
      </c>
      <c r="F574">
        <v>27866</v>
      </c>
      <c r="G574">
        <v>23461</v>
      </c>
      <c r="H574" t="s">
        <v>11</v>
      </c>
      <c r="I574" t="str" cm="1">
        <f t="array" ref="I574">_xlfn.IFS(G574=0,"Not Paid",G574=F574,"Fully Paid",G574&lt;F574,"Partially Paid")</f>
        <v>Partially Paid</v>
      </c>
      <c r="J574" t="str">
        <f t="shared" si="8"/>
        <v>NO</v>
      </c>
    </row>
    <row r="575" spans="1:10" x14ac:dyDescent="0.35">
      <c r="A575">
        <v>2574</v>
      </c>
      <c r="B575" t="s">
        <v>606</v>
      </c>
      <c r="C575" t="s">
        <v>9</v>
      </c>
      <c r="D575" t="s">
        <v>27</v>
      </c>
      <c r="E575">
        <v>45793</v>
      </c>
      <c r="F575">
        <v>35449</v>
      </c>
      <c r="G575">
        <v>24054</v>
      </c>
      <c r="H575" t="s">
        <v>31</v>
      </c>
      <c r="I575" t="str" cm="1">
        <f t="array" ref="I575">_xlfn.IFS(G575=0,"Not Paid",G575=F575,"Fully Paid",G575&lt;F575,"Partially Paid")</f>
        <v>Partially Paid</v>
      </c>
      <c r="J575" t="str">
        <f t="shared" si="8"/>
        <v>NO</v>
      </c>
    </row>
    <row r="576" spans="1:10" x14ac:dyDescent="0.35">
      <c r="A576">
        <v>2575</v>
      </c>
      <c r="B576" t="s">
        <v>607</v>
      </c>
      <c r="C576" t="s">
        <v>56</v>
      </c>
      <c r="D576" t="s">
        <v>37</v>
      </c>
      <c r="E576">
        <v>46019</v>
      </c>
      <c r="F576">
        <v>30685</v>
      </c>
      <c r="G576">
        <v>24546</v>
      </c>
      <c r="H576" t="s">
        <v>25</v>
      </c>
      <c r="I576" t="str" cm="1">
        <f t="array" ref="I576">_xlfn.IFS(G576=0,"Not Paid",G576=F576,"Fully Paid",G576&lt;F576,"Partially Paid")</f>
        <v>Partially Paid</v>
      </c>
      <c r="J576" t="str">
        <f t="shared" si="8"/>
        <v>NO</v>
      </c>
    </row>
    <row r="577" spans="1:10" x14ac:dyDescent="0.35">
      <c r="A577">
        <v>2576</v>
      </c>
      <c r="B577" t="s">
        <v>608</v>
      </c>
      <c r="C577" t="s">
        <v>45</v>
      </c>
      <c r="D577" t="s">
        <v>14</v>
      </c>
      <c r="E577">
        <v>45843</v>
      </c>
      <c r="F577">
        <v>43544</v>
      </c>
      <c r="G577">
        <v>41970</v>
      </c>
      <c r="H577" t="s">
        <v>43</v>
      </c>
      <c r="I577" t="str" cm="1">
        <f t="array" ref="I577">_xlfn.IFS(G577=0,"Not Paid",G577=F577,"Fully Paid",G577&lt;F577,"Partially Paid")</f>
        <v>Partially Paid</v>
      </c>
      <c r="J577" t="str">
        <f t="shared" si="8"/>
        <v>NO</v>
      </c>
    </row>
    <row r="578" spans="1:10" x14ac:dyDescent="0.35">
      <c r="A578">
        <v>2577</v>
      </c>
      <c r="B578" t="s">
        <v>609</v>
      </c>
      <c r="C578" t="s">
        <v>45</v>
      </c>
      <c r="D578" t="s">
        <v>18</v>
      </c>
      <c r="E578">
        <v>45801</v>
      </c>
      <c r="F578">
        <v>25451</v>
      </c>
      <c r="G578">
        <v>12068</v>
      </c>
      <c r="H578" t="s">
        <v>31</v>
      </c>
      <c r="I578" t="str" cm="1">
        <f t="array" ref="I578">_xlfn.IFS(G578=0,"Not Paid",G578=F578,"Fully Paid",G578&lt;F578,"Partially Paid")</f>
        <v>Partially Paid</v>
      </c>
      <c r="J578" t="str">
        <f t="shared" si="8"/>
        <v>NO</v>
      </c>
    </row>
    <row r="579" spans="1:10" x14ac:dyDescent="0.35">
      <c r="A579">
        <v>2578</v>
      </c>
      <c r="B579" t="s">
        <v>610</v>
      </c>
      <c r="C579" t="s">
        <v>45</v>
      </c>
      <c r="D579" t="s">
        <v>27</v>
      </c>
      <c r="E579">
        <v>45729</v>
      </c>
      <c r="F579">
        <v>41642</v>
      </c>
      <c r="G579">
        <v>30558</v>
      </c>
      <c r="H579" t="s">
        <v>19</v>
      </c>
      <c r="I579" t="str" cm="1">
        <f t="array" ref="I579">_xlfn.IFS(G579=0,"Not Paid",G579=F579,"Fully Paid",G579&lt;F579,"Partially Paid")</f>
        <v>Partially Paid</v>
      </c>
      <c r="J579" t="str">
        <f t="shared" ref="J579:J642" si="9">IF(F579&gt;50000,"YES","NO")</f>
        <v>NO</v>
      </c>
    </row>
    <row r="580" spans="1:10" x14ac:dyDescent="0.35">
      <c r="A580">
        <v>2579</v>
      </c>
      <c r="B580" t="s">
        <v>611</v>
      </c>
      <c r="C580" t="s">
        <v>13</v>
      </c>
      <c r="D580" t="s">
        <v>27</v>
      </c>
      <c r="E580">
        <v>45786</v>
      </c>
      <c r="F580">
        <v>59954</v>
      </c>
      <c r="G580">
        <v>58259</v>
      </c>
      <c r="H580" t="s">
        <v>31</v>
      </c>
      <c r="I580" t="str" cm="1">
        <f t="array" ref="I580">_xlfn.IFS(G580=0,"Not Paid",G580=F580,"Fully Paid",G580&lt;F580,"Partially Paid")</f>
        <v>Partially Paid</v>
      </c>
      <c r="J580" t="str">
        <f t="shared" si="9"/>
        <v>YES</v>
      </c>
    </row>
    <row r="581" spans="1:10" x14ac:dyDescent="0.35">
      <c r="A581">
        <v>2580</v>
      </c>
      <c r="B581" t="s">
        <v>612</v>
      </c>
      <c r="C581" t="s">
        <v>17</v>
      </c>
      <c r="D581" t="s">
        <v>10</v>
      </c>
      <c r="E581">
        <v>46021</v>
      </c>
      <c r="F581">
        <v>58870</v>
      </c>
      <c r="G581">
        <v>55612</v>
      </c>
      <c r="H581" t="s">
        <v>25</v>
      </c>
      <c r="I581" t="str" cm="1">
        <f t="array" ref="I581">_xlfn.IFS(G581=0,"Not Paid",G581=F581,"Fully Paid",G581&lt;F581,"Partially Paid")</f>
        <v>Partially Paid</v>
      </c>
      <c r="J581" t="str">
        <f t="shared" si="9"/>
        <v>YES</v>
      </c>
    </row>
    <row r="582" spans="1:10" x14ac:dyDescent="0.35">
      <c r="A582">
        <v>2581</v>
      </c>
      <c r="B582" t="s">
        <v>613</v>
      </c>
      <c r="C582" t="s">
        <v>13</v>
      </c>
      <c r="D582" t="s">
        <v>21</v>
      </c>
      <c r="E582">
        <v>45918</v>
      </c>
      <c r="F582">
        <v>51030</v>
      </c>
      <c r="G582">
        <v>36209</v>
      </c>
      <c r="H582" t="s">
        <v>53</v>
      </c>
      <c r="I582" t="str" cm="1">
        <f t="array" ref="I582">_xlfn.IFS(G582=0,"Not Paid",G582=F582,"Fully Paid",G582&lt;F582,"Partially Paid")</f>
        <v>Partially Paid</v>
      </c>
      <c r="J582" t="str">
        <f t="shared" si="9"/>
        <v>YES</v>
      </c>
    </row>
    <row r="583" spans="1:10" x14ac:dyDescent="0.35">
      <c r="A583">
        <v>2582</v>
      </c>
      <c r="B583" t="s">
        <v>614</v>
      </c>
      <c r="C583" t="s">
        <v>33</v>
      </c>
      <c r="D583" t="s">
        <v>10</v>
      </c>
      <c r="E583">
        <v>45660</v>
      </c>
      <c r="F583">
        <v>50873</v>
      </c>
      <c r="G583">
        <v>47611</v>
      </c>
      <c r="H583" t="s">
        <v>15</v>
      </c>
      <c r="I583" t="str" cm="1">
        <f t="array" ref="I583">_xlfn.IFS(G583=0,"Not Paid",G583=F583,"Fully Paid",G583&lt;F583,"Partially Paid")</f>
        <v>Partially Paid</v>
      </c>
      <c r="J583" t="str">
        <f t="shared" si="9"/>
        <v>YES</v>
      </c>
    </row>
    <row r="584" spans="1:10" x14ac:dyDescent="0.35">
      <c r="A584">
        <v>2583</v>
      </c>
      <c r="B584" t="s">
        <v>615</v>
      </c>
      <c r="C584" t="s">
        <v>33</v>
      </c>
      <c r="D584" t="s">
        <v>27</v>
      </c>
      <c r="E584">
        <v>45761</v>
      </c>
      <c r="F584">
        <v>20619</v>
      </c>
      <c r="G584">
        <v>19174</v>
      </c>
      <c r="H584" t="s">
        <v>11</v>
      </c>
      <c r="I584" t="str" cm="1">
        <f t="array" ref="I584">_xlfn.IFS(G584=0,"Not Paid",G584=F584,"Fully Paid",G584&lt;F584,"Partially Paid")</f>
        <v>Partially Paid</v>
      </c>
      <c r="J584" t="str">
        <f t="shared" si="9"/>
        <v>NO</v>
      </c>
    </row>
    <row r="585" spans="1:10" x14ac:dyDescent="0.35">
      <c r="A585">
        <v>2584</v>
      </c>
      <c r="B585" t="s">
        <v>616</v>
      </c>
      <c r="C585" t="s">
        <v>17</v>
      </c>
      <c r="D585" t="s">
        <v>18</v>
      </c>
      <c r="E585">
        <v>45881</v>
      </c>
      <c r="F585">
        <v>53650</v>
      </c>
      <c r="G585">
        <v>47387</v>
      </c>
      <c r="H585" t="s">
        <v>38</v>
      </c>
      <c r="I585" t="str" cm="1">
        <f t="array" ref="I585">_xlfn.IFS(G585=0,"Not Paid",G585=F585,"Fully Paid",G585&lt;F585,"Partially Paid")</f>
        <v>Partially Paid</v>
      </c>
      <c r="J585" t="str">
        <f t="shared" si="9"/>
        <v>YES</v>
      </c>
    </row>
    <row r="586" spans="1:10" x14ac:dyDescent="0.35">
      <c r="A586">
        <v>2585</v>
      </c>
      <c r="B586" t="s">
        <v>617</v>
      </c>
      <c r="C586" t="s">
        <v>9</v>
      </c>
      <c r="D586" t="s">
        <v>37</v>
      </c>
      <c r="E586">
        <v>45977</v>
      </c>
      <c r="F586">
        <v>45372</v>
      </c>
      <c r="G586">
        <v>36961</v>
      </c>
      <c r="H586" t="s">
        <v>29</v>
      </c>
      <c r="I586" t="str" cm="1">
        <f t="array" ref="I586">_xlfn.IFS(G586=0,"Not Paid",G586=F586,"Fully Paid",G586&lt;F586,"Partially Paid")</f>
        <v>Partially Paid</v>
      </c>
      <c r="J586" t="str">
        <f t="shared" si="9"/>
        <v>NO</v>
      </c>
    </row>
    <row r="587" spans="1:10" x14ac:dyDescent="0.35">
      <c r="A587">
        <v>2586</v>
      </c>
      <c r="B587" t="s">
        <v>618</v>
      </c>
      <c r="C587" t="s">
        <v>13</v>
      </c>
      <c r="D587" t="s">
        <v>37</v>
      </c>
      <c r="E587">
        <v>46019</v>
      </c>
      <c r="F587">
        <v>23642</v>
      </c>
      <c r="G587">
        <v>23590</v>
      </c>
      <c r="H587" t="s">
        <v>25</v>
      </c>
      <c r="I587" t="str" cm="1">
        <f t="array" ref="I587">_xlfn.IFS(G587=0,"Not Paid",G587=F587,"Fully Paid",G587&lt;F587,"Partially Paid")</f>
        <v>Partially Paid</v>
      </c>
      <c r="J587" t="str">
        <f t="shared" si="9"/>
        <v>NO</v>
      </c>
    </row>
    <row r="588" spans="1:10" x14ac:dyDescent="0.35">
      <c r="A588">
        <v>2587</v>
      </c>
      <c r="B588" t="s">
        <v>619</v>
      </c>
      <c r="C588" t="s">
        <v>56</v>
      </c>
      <c r="D588" t="s">
        <v>18</v>
      </c>
      <c r="E588">
        <v>46011</v>
      </c>
      <c r="F588">
        <v>48001</v>
      </c>
      <c r="G588">
        <v>38052</v>
      </c>
      <c r="H588" t="s">
        <v>25</v>
      </c>
      <c r="I588" t="str" cm="1">
        <f t="array" ref="I588">_xlfn.IFS(G588=0,"Not Paid",G588=F588,"Fully Paid",G588&lt;F588,"Partially Paid")</f>
        <v>Partially Paid</v>
      </c>
      <c r="J588" t="str">
        <f t="shared" si="9"/>
        <v>NO</v>
      </c>
    </row>
    <row r="589" spans="1:10" x14ac:dyDescent="0.35">
      <c r="A589">
        <v>2588</v>
      </c>
      <c r="B589" t="s">
        <v>620</v>
      </c>
      <c r="C589" t="s">
        <v>45</v>
      </c>
      <c r="D589" t="s">
        <v>27</v>
      </c>
      <c r="E589">
        <v>45667</v>
      </c>
      <c r="F589">
        <v>54064</v>
      </c>
      <c r="G589">
        <v>48494</v>
      </c>
      <c r="H589" t="s">
        <v>15</v>
      </c>
      <c r="I589" t="str" cm="1">
        <f t="array" ref="I589">_xlfn.IFS(G589=0,"Not Paid",G589=F589,"Fully Paid",G589&lt;F589,"Partially Paid")</f>
        <v>Partially Paid</v>
      </c>
      <c r="J589" t="str">
        <f t="shared" si="9"/>
        <v>YES</v>
      </c>
    </row>
    <row r="590" spans="1:10" x14ac:dyDescent="0.35">
      <c r="A590">
        <v>2589</v>
      </c>
      <c r="B590" t="s">
        <v>621</v>
      </c>
      <c r="C590" t="s">
        <v>45</v>
      </c>
      <c r="D590" t="s">
        <v>37</v>
      </c>
      <c r="E590">
        <v>45959</v>
      </c>
      <c r="F590">
        <v>49290</v>
      </c>
      <c r="G590">
        <v>41711</v>
      </c>
      <c r="H590" t="s">
        <v>22</v>
      </c>
      <c r="I590" t="str" cm="1">
        <f t="array" ref="I590">_xlfn.IFS(G590=0,"Not Paid",G590=F590,"Fully Paid",G590&lt;F590,"Partially Paid")</f>
        <v>Partially Paid</v>
      </c>
      <c r="J590" t="str">
        <f t="shared" si="9"/>
        <v>NO</v>
      </c>
    </row>
    <row r="591" spans="1:10" x14ac:dyDescent="0.35">
      <c r="A591">
        <v>2590</v>
      </c>
      <c r="B591" t="s">
        <v>622</v>
      </c>
      <c r="C591" t="s">
        <v>17</v>
      </c>
      <c r="D591" t="s">
        <v>37</v>
      </c>
      <c r="E591">
        <v>45888</v>
      </c>
      <c r="F591">
        <v>34122</v>
      </c>
      <c r="G591">
        <v>32456</v>
      </c>
      <c r="H591" t="s">
        <v>38</v>
      </c>
      <c r="I591" t="str" cm="1">
        <f t="array" ref="I591">_xlfn.IFS(G591=0,"Not Paid",G591=F591,"Fully Paid",G591&lt;F591,"Partially Paid")</f>
        <v>Partially Paid</v>
      </c>
      <c r="J591" t="str">
        <f t="shared" si="9"/>
        <v>NO</v>
      </c>
    </row>
    <row r="592" spans="1:10" x14ac:dyDescent="0.35">
      <c r="A592">
        <v>2591</v>
      </c>
      <c r="B592" t="s">
        <v>623</v>
      </c>
      <c r="C592" t="s">
        <v>9</v>
      </c>
      <c r="D592" t="s">
        <v>37</v>
      </c>
      <c r="E592">
        <v>45876</v>
      </c>
      <c r="F592">
        <v>44820</v>
      </c>
      <c r="G592">
        <v>31272</v>
      </c>
      <c r="H592" t="s">
        <v>38</v>
      </c>
      <c r="I592" t="str" cm="1">
        <f t="array" ref="I592">_xlfn.IFS(G592=0,"Not Paid",G592=F592,"Fully Paid",G592&lt;F592,"Partially Paid")</f>
        <v>Partially Paid</v>
      </c>
      <c r="J592" t="str">
        <f t="shared" si="9"/>
        <v>NO</v>
      </c>
    </row>
    <row r="593" spans="1:10" x14ac:dyDescent="0.35">
      <c r="A593">
        <v>2592</v>
      </c>
      <c r="B593" t="s">
        <v>624</v>
      </c>
      <c r="C593" t="s">
        <v>33</v>
      </c>
      <c r="D593" t="s">
        <v>21</v>
      </c>
      <c r="E593">
        <v>45723</v>
      </c>
      <c r="F593">
        <v>22895</v>
      </c>
      <c r="G593">
        <v>15994</v>
      </c>
      <c r="H593" t="s">
        <v>19</v>
      </c>
      <c r="I593" t="str" cm="1">
        <f t="array" ref="I593">_xlfn.IFS(G593=0,"Not Paid",G593=F593,"Fully Paid",G593&lt;F593,"Partially Paid")</f>
        <v>Partially Paid</v>
      </c>
      <c r="J593" t="str">
        <f t="shared" si="9"/>
        <v>NO</v>
      </c>
    </row>
    <row r="594" spans="1:10" x14ac:dyDescent="0.35">
      <c r="A594">
        <v>2593</v>
      </c>
      <c r="B594" t="s">
        <v>625</v>
      </c>
      <c r="C594" t="s">
        <v>33</v>
      </c>
      <c r="D594" t="s">
        <v>21</v>
      </c>
      <c r="E594">
        <v>45769</v>
      </c>
      <c r="F594">
        <v>25366</v>
      </c>
      <c r="G594">
        <v>22581</v>
      </c>
      <c r="H594" t="s">
        <v>11</v>
      </c>
      <c r="I594" t="str" cm="1">
        <f t="array" ref="I594">_xlfn.IFS(G594=0,"Not Paid",G594=F594,"Fully Paid",G594&lt;F594,"Partially Paid")</f>
        <v>Partially Paid</v>
      </c>
      <c r="J594" t="str">
        <f t="shared" si="9"/>
        <v>NO</v>
      </c>
    </row>
    <row r="595" spans="1:10" x14ac:dyDescent="0.35">
      <c r="A595">
        <v>2594</v>
      </c>
      <c r="B595" t="s">
        <v>626</v>
      </c>
      <c r="C595" t="s">
        <v>45</v>
      </c>
      <c r="D595" t="s">
        <v>14</v>
      </c>
      <c r="E595">
        <v>45670</v>
      </c>
      <c r="F595">
        <v>28711</v>
      </c>
      <c r="G595">
        <v>27992</v>
      </c>
      <c r="H595" t="s">
        <v>15</v>
      </c>
      <c r="I595" t="str" cm="1">
        <f t="array" ref="I595">_xlfn.IFS(G595=0,"Not Paid",G595=F595,"Fully Paid",G595&lt;F595,"Partially Paid")</f>
        <v>Partially Paid</v>
      </c>
      <c r="J595" t="str">
        <f t="shared" si="9"/>
        <v>NO</v>
      </c>
    </row>
    <row r="596" spans="1:10" x14ac:dyDescent="0.35">
      <c r="A596">
        <v>2595</v>
      </c>
      <c r="B596" t="s">
        <v>627</v>
      </c>
      <c r="C596" t="s">
        <v>17</v>
      </c>
      <c r="D596" t="s">
        <v>10</v>
      </c>
      <c r="E596">
        <v>45743</v>
      </c>
      <c r="F596">
        <v>39596</v>
      </c>
      <c r="G596">
        <v>30999</v>
      </c>
      <c r="H596" t="s">
        <v>19</v>
      </c>
      <c r="I596" t="str" cm="1">
        <f t="array" ref="I596">_xlfn.IFS(G596=0,"Not Paid",G596=F596,"Fully Paid",G596&lt;F596,"Partially Paid")</f>
        <v>Partially Paid</v>
      </c>
      <c r="J596" t="str">
        <f t="shared" si="9"/>
        <v>NO</v>
      </c>
    </row>
    <row r="597" spans="1:10" x14ac:dyDescent="0.35">
      <c r="A597">
        <v>2596</v>
      </c>
      <c r="B597" t="s">
        <v>628</v>
      </c>
      <c r="C597" t="s">
        <v>13</v>
      </c>
      <c r="D597" t="s">
        <v>18</v>
      </c>
      <c r="E597">
        <v>45891</v>
      </c>
      <c r="F597">
        <v>38793</v>
      </c>
      <c r="G597">
        <v>23850</v>
      </c>
      <c r="H597" t="s">
        <v>38</v>
      </c>
      <c r="I597" t="str" cm="1">
        <f t="array" ref="I597">_xlfn.IFS(G597=0,"Not Paid",G597=F597,"Fully Paid",G597&lt;F597,"Partially Paid")</f>
        <v>Partially Paid</v>
      </c>
      <c r="J597" t="str">
        <f t="shared" si="9"/>
        <v>NO</v>
      </c>
    </row>
    <row r="598" spans="1:10" x14ac:dyDescent="0.35">
      <c r="A598">
        <v>2597</v>
      </c>
      <c r="B598" t="s">
        <v>629</v>
      </c>
      <c r="C598" t="s">
        <v>33</v>
      </c>
      <c r="D598" t="s">
        <v>18</v>
      </c>
      <c r="E598">
        <v>45747</v>
      </c>
      <c r="F598">
        <v>28199</v>
      </c>
      <c r="G598">
        <v>13442</v>
      </c>
      <c r="H598" t="s">
        <v>19</v>
      </c>
      <c r="I598" t="str" cm="1">
        <f t="array" ref="I598">_xlfn.IFS(G598=0,"Not Paid",G598=F598,"Fully Paid",G598&lt;F598,"Partially Paid")</f>
        <v>Partially Paid</v>
      </c>
      <c r="J598" t="str">
        <f t="shared" si="9"/>
        <v>NO</v>
      </c>
    </row>
    <row r="599" spans="1:10" x14ac:dyDescent="0.35">
      <c r="A599">
        <v>2598</v>
      </c>
      <c r="B599" t="s">
        <v>630</v>
      </c>
      <c r="C599" t="s">
        <v>13</v>
      </c>
      <c r="D599" t="s">
        <v>18</v>
      </c>
      <c r="E599">
        <v>45971</v>
      </c>
      <c r="F599">
        <v>30717</v>
      </c>
      <c r="G599">
        <v>23862</v>
      </c>
      <c r="H599" t="s">
        <v>29</v>
      </c>
      <c r="I599" t="str" cm="1">
        <f t="array" ref="I599">_xlfn.IFS(G599=0,"Not Paid",G599=F599,"Fully Paid",G599&lt;F599,"Partially Paid")</f>
        <v>Partially Paid</v>
      </c>
      <c r="J599" t="str">
        <f t="shared" si="9"/>
        <v>NO</v>
      </c>
    </row>
    <row r="600" spans="1:10" x14ac:dyDescent="0.35">
      <c r="A600">
        <v>2599</v>
      </c>
      <c r="B600" t="s">
        <v>631</v>
      </c>
      <c r="C600" t="s">
        <v>9</v>
      </c>
      <c r="D600" t="s">
        <v>14</v>
      </c>
      <c r="E600">
        <v>45711</v>
      </c>
      <c r="F600">
        <v>56191</v>
      </c>
      <c r="G600">
        <v>53897</v>
      </c>
      <c r="H600" t="s">
        <v>77</v>
      </c>
      <c r="I600" t="str" cm="1">
        <f t="array" ref="I600">_xlfn.IFS(G600=0,"Not Paid",G600=F600,"Fully Paid",G600&lt;F600,"Partially Paid")</f>
        <v>Partially Paid</v>
      </c>
      <c r="J600" t="str">
        <f t="shared" si="9"/>
        <v>YES</v>
      </c>
    </row>
    <row r="601" spans="1:10" x14ac:dyDescent="0.35">
      <c r="A601">
        <v>2600</v>
      </c>
      <c r="B601" t="s">
        <v>632</v>
      </c>
      <c r="C601" t="s">
        <v>33</v>
      </c>
      <c r="D601" t="s">
        <v>21</v>
      </c>
      <c r="E601">
        <v>45669</v>
      </c>
      <c r="F601">
        <v>30211</v>
      </c>
      <c r="G601">
        <v>21948</v>
      </c>
      <c r="H601" t="s">
        <v>15</v>
      </c>
      <c r="I601" t="str" cm="1">
        <f t="array" ref="I601">_xlfn.IFS(G601=0,"Not Paid",G601=F601,"Fully Paid",G601&lt;F601,"Partially Paid")</f>
        <v>Partially Paid</v>
      </c>
      <c r="J601" t="str">
        <f t="shared" si="9"/>
        <v>NO</v>
      </c>
    </row>
    <row r="602" spans="1:10" x14ac:dyDescent="0.35">
      <c r="A602">
        <v>2601</v>
      </c>
      <c r="B602" t="s">
        <v>633</v>
      </c>
      <c r="C602" t="s">
        <v>33</v>
      </c>
      <c r="D602" t="s">
        <v>27</v>
      </c>
      <c r="E602">
        <v>45866</v>
      </c>
      <c r="F602">
        <v>43360</v>
      </c>
      <c r="G602">
        <v>29219</v>
      </c>
      <c r="H602" t="s">
        <v>43</v>
      </c>
      <c r="I602" t="str" cm="1">
        <f t="array" ref="I602">_xlfn.IFS(G602=0,"Not Paid",G602=F602,"Fully Paid",G602&lt;F602,"Partially Paid")</f>
        <v>Partially Paid</v>
      </c>
      <c r="J602" t="str">
        <f t="shared" si="9"/>
        <v>NO</v>
      </c>
    </row>
    <row r="603" spans="1:10" x14ac:dyDescent="0.35">
      <c r="A603">
        <v>2602</v>
      </c>
      <c r="B603" t="s">
        <v>634</v>
      </c>
      <c r="C603" t="s">
        <v>24</v>
      </c>
      <c r="D603" t="s">
        <v>27</v>
      </c>
      <c r="E603">
        <v>45671</v>
      </c>
      <c r="F603">
        <v>41542</v>
      </c>
      <c r="G603">
        <v>27022</v>
      </c>
      <c r="H603" t="s">
        <v>15</v>
      </c>
      <c r="I603" t="str" cm="1">
        <f t="array" ref="I603">_xlfn.IFS(G603=0,"Not Paid",G603=F603,"Fully Paid",G603&lt;F603,"Partially Paid")</f>
        <v>Partially Paid</v>
      </c>
      <c r="J603" t="str">
        <f t="shared" si="9"/>
        <v>NO</v>
      </c>
    </row>
    <row r="604" spans="1:10" x14ac:dyDescent="0.35">
      <c r="A604">
        <v>2603</v>
      </c>
      <c r="B604" t="s">
        <v>635</v>
      </c>
      <c r="C604" t="s">
        <v>33</v>
      </c>
      <c r="D604" t="s">
        <v>14</v>
      </c>
      <c r="E604">
        <v>45778</v>
      </c>
      <c r="F604">
        <v>51312</v>
      </c>
      <c r="G604">
        <v>41067</v>
      </c>
      <c r="H604" t="s">
        <v>31</v>
      </c>
      <c r="I604" t="str" cm="1">
        <f t="array" ref="I604">_xlfn.IFS(G604=0,"Not Paid",G604=F604,"Fully Paid",G604&lt;F604,"Partially Paid")</f>
        <v>Partially Paid</v>
      </c>
      <c r="J604" t="str">
        <f t="shared" si="9"/>
        <v>YES</v>
      </c>
    </row>
    <row r="605" spans="1:10" x14ac:dyDescent="0.35">
      <c r="A605">
        <v>2604</v>
      </c>
      <c r="B605" t="s">
        <v>636</v>
      </c>
      <c r="C605" t="s">
        <v>56</v>
      </c>
      <c r="D605" t="s">
        <v>27</v>
      </c>
      <c r="E605">
        <v>45677</v>
      </c>
      <c r="F605">
        <v>56435</v>
      </c>
      <c r="G605">
        <v>47014</v>
      </c>
      <c r="H605" t="s">
        <v>15</v>
      </c>
      <c r="I605" t="str" cm="1">
        <f t="array" ref="I605">_xlfn.IFS(G605=0,"Not Paid",G605=F605,"Fully Paid",G605&lt;F605,"Partially Paid")</f>
        <v>Partially Paid</v>
      </c>
      <c r="J605" t="str">
        <f t="shared" si="9"/>
        <v>YES</v>
      </c>
    </row>
    <row r="606" spans="1:10" x14ac:dyDescent="0.35">
      <c r="A606">
        <v>2605</v>
      </c>
      <c r="B606" t="s">
        <v>637</v>
      </c>
      <c r="C606" t="s">
        <v>17</v>
      </c>
      <c r="D606" t="s">
        <v>18</v>
      </c>
      <c r="E606">
        <v>45732</v>
      </c>
      <c r="F606">
        <v>48247</v>
      </c>
      <c r="G606">
        <v>38488</v>
      </c>
      <c r="H606" t="s">
        <v>19</v>
      </c>
      <c r="I606" t="str" cm="1">
        <f t="array" ref="I606">_xlfn.IFS(G606=0,"Not Paid",G606=F606,"Fully Paid",G606&lt;F606,"Partially Paid")</f>
        <v>Partially Paid</v>
      </c>
      <c r="J606" t="str">
        <f t="shared" si="9"/>
        <v>NO</v>
      </c>
    </row>
    <row r="607" spans="1:10" x14ac:dyDescent="0.35">
      <c r="A607">
        <v>2606</v>
      </c>
      <c r="B607" t="s">
        <v>638</v>
      </c>
      <c r="C607" t="s">
        <v>17</v>
      </c>
      <c r="D607" t="s">
        <v>10</v>
      </c>
      <c r="E607">
        <v>45900</v>
      </c>
      <c r="F607">
        <v>42357</v>
      </c>
      <c r="G607">
        <v>30483</v>
      </c>
      <c r="H607" t="s">
        <v>38</v>
      </c>
      <c r="I607" t="str" cm="1">
        <f t="array" ref="I607">_xlfn.IFS(G607=0,"Not Paid",G607=F607,"Fully Paid",G607&lt;F607,"Partially Paid")</f>
        <v>Partially Paid</v>
      </c>
      <c r="J607" t="str">
        <f t="shared" si="9"/>
        <v>NO</v>
      </c>
    </row>
    <row r="608" spans="1:10" x14ac:dyDescent="0.35">
      <c r="A608">
        <v>2607</v>
      </c>
      <c r="B608" t="s">
        <v>639</v>
      </c>
      <c r="C608" t="s">
        <v>13</v>
      </c>
      <c r="D608" t="s">
        <v>37</v>
      </c>
      <c r="E608">
        <v>45880</v>
      </c>
      <c r="F608">
        <v>47691</v>
      </c>
      <c r="G608">
        <v>36546</v>
      </c>
      <c r="H608" t="s">
        <v>38</v>
      </c>
      <c r="I608" t="str" cm="1">
        <f t="array" ref="I608">_xlfn.IFS(G608=0,"Not Paid",G608=F608,"Fully Paid",G608&lt;F608,"Partially Paid")</f>
        <v>Partially Paid</v>
      </c>
      <c r="J608" t="str">
        <f t="shared" si="9"/>
        <v>NO</v>
      </c>
    </row>
    <row r="609" spans="1:10" x14ac:dyDescent="0.35">
      <c r="A609">
        <v>2608</v>
      </c>
      <c r="B609" t="s">
        <v>640</v>
      </c>
      <c r="C609" t="s">
        <v>9</v>
      </c>
      <c r="D609" t="s">
        <v>21</v>
      </c>
      <c r="E609">
        <v>45727</v>
      </c>
      <c r="F609">
        <v>32424</v>
      </c>
      <c r="G609">
        <v>27942</v>
      </c>
      <c r="H609" t="s">
        <v>19</v>
      </c>
      <c r="I609" t="str" cm="1">
        <f t="array" ref="I609">_xlfn.IFS(G609=0,"Not Paid",G609=F609,"Fully Paid",G609&lt;F609,"Partially Paid")</f>
        <v>Partially Paid</v>
      </c>
      <c r="J609" t="str">
        <f t="shared" si="9"/>
        <v>NO</v>
      </c>
    </row>
    <row r="610" spans="1:10" x14ac:dyDescent="0.35">
      <c r="A610">
        <v>2609</v>
      </c>
      <c r="B610" t="s">
        <v>641</v>
      </c>
      <c r="C610" t="s">
        <v>33</v>
      </c>
      <c r="D610" t="s">
        <v>21</v>
      </c>
      <c r="E610">
        <v>45969</v>
      </c>
      <c r="F610">
        <v>38852</v>
      </c>
      <c r="G610">
        <v>24773</v>
      </c>
      <c r="H610" t="s">
        <v>29</v>
      </c>
      <c r="I610" t="str" cm="1">
        <f t="array" ref="I610">_xlfn.IFS(G610=0,"Not Paid",G610=F610,"Fully Paid",G610&lt;F610,"Partially Paid")</f>
        <v>Partially Paid</v>
      </c>
      <c r="J610" t="str">
        <f t="shared" si="9"/>
        <v>NO</v>
      </c>
    </row>
    <row r="611" spans="1:10" x14ac:dyDescent="0.35">
      <c r="A611">
        <v>2610</v>
      </c>
      <c r="B611" t="s">
        <v>642</v>
      </c>
      <c r="C611" t="s">
        <v>56</v>
      </c>
      <c r="D611" t="s">
        <v>14</v>
      </c>
      <c r="E611">
        <v>45868</v>
      </c>
      <c r="F611">
        <v>42601</v>
      </c>
      <c r="G611">
        <v>41903</v>
      </c>
      <c r="H611" t="s">
        <v>43</v>
      </c>
      <c r="I611" t="str" cm="1">
        <f t="array" ref="I611">_xlfn.IFS(G611=0,"Not Paid",G611=F611,"Fully Paid",G611&lt;F611,"Partially Paid")</f>
        <v>Partially Paid</v>
      </c>
      <c r="J611" t="str">
        <f t="shared" si="9"/>
        <v>NO</v>
      </c>
    </row>
    <row r="612" spans="1:10" x14ac:dyDescent="0.35">
      <c r="A612">
        <v>2611</v>
      </c>
      <c r="B612" t="s">
        <v>643</v>
      </c>
      <c r="C612" t="s">
        <v>13</v>
      </c>
      <c r="D612" t="s">
        <v>21</v>
      </c>
      <c r="E612">
        <v>45758</v>
      </c>
      <c r="F612">
        <v>38020</v>
      </c>
      <c r="G612">
        <v>30777</v>
      </c>
      <c r="H612" t="s">
        <v>11</v>
      </c>
      <c r="I612" t="str" cm="1">
        <f t="array" ref="I612">_xlfn.IFS(G612=0,"Not Paid",G612=F612,"Fully Paid",G612&lt;F612,"Partially Paid")</f>
        <v>Partially Paid</v>
      </c>
      <c r="J612" t="str">
        <f t="shared" si="9"/>
        <v>NO</v>
      </c>
    </row>
    <row r="613" spans="1:10" x14ac:dyDescent="0.35">
      <c r="A613">
        <v>2612</v>
      </c>
      <c r="B613" t="s">
        <v>644</v>
      </c>
      <c r="C613" t="s">
        <v>24</v>
      </c>
      <c r="D613" t="s">
        <v>18</v>
      </c>
      <c r="E613">
        <v>45843</v>
      </c>
      <c r="F613">
        <v>28155</v>
      </c>
      <c r="G613">
        <v>14667</v>
      </c>
      <c r="H613" t="s">
        <v>43</v>
      </c>
      <c r="I613" t="str" cm="1">
        <f t="array" ref="I613">_xlfn.IFS(G613=0,"Not Paid",G613=F613,"Fully Paid",G613&lt;F613,"Partially Paid")</f>
        <v>Partially Paid</v>
      </c>
      <c r="J613" t="str">
        <f t="shared" si="9"/>
        <v>NO</v>
      </c>
    </row>
    <row r="614" spans="1:10" x14ac:dyDescent="0.35">
      <c r="A614">
        <v>2613</v>
      </c>
      <c r="B614" t="s">
        <v>645</v>
      </c>
      <c r="C614" t="s">
        <v>13</v>
      </c>
      <c r="D614" t="s">
        <v>27</v>
      </c>
      <c r="E614">
        <v>45789</v>
      </c>
      <c r="F614">
        <v>23583</v>
      </c>
      <c r="G614">
        <v>14565</v>
      </c>
      <c r="H614" t="s">
        <v>31</v>
      </c>
      <c r="I614" t="str" cm="1">
        <f t="array" ref="I614">_xlfn.IFS(G614=0,"Not Paid",G614=F614,"Fully Paid",G614&lt;F614,"Partially Paid")</f>
        <v>Partially Paid</v>
      </c>
      <c r="J614" t="str">
        <f t="shared" si="9"/>
        <v>NO</v>
      </c>
    </row>
    <row r="615" spans="1:10" x14ac:dyDescent="0.35">
      <c r="A615">
        <v>2614</v>
      </c>
      <c r="B615" t="s">
        <v>646</v>
      </c>
      <c r="C615" t="s">
        <v>13</v>
      </c>
      <c r="D615" t="s">
        <v>18</v>
      </c>
      <c r="E615">
        <v>45768</v>
      </c>
      <c r="F615">
        <v>35515</v>
      </c>
      <c r="G615">
        <v>29597</v>
      </c>
      <c r="H615" t="s">
        <v>11</v>
      </c>
      <c r="I615" t="str" cm="1">
        <f t="array" ref="I615">_xlfn.IFS(G615=0,"Not Paid",G615=F615,"Fully Paid",G615&lt;F615,"Partially Paid")</f>
        <v>Partially Paid</v>
      </c>
      <c r="J615" t="str">
        <f t="shared" si="9"/>
        <v>NO</v>
      </c>
    </row>
    <row r="616" spans="1:10" x14ac:dyDescent="0.35">
      <c r="A616">
        <v>2615</v>
      </c>
      <c r="B616" t="s">
        <v>647</v>
      </c>
      <c r="C616" t="s">
        <v>33</v>
      </c>
      <c r="D616" t="s">
        <v>14</v>
      </c>
      <c r="E616">
        <v>45789</v>
      </c>
      <c r="F616">
        <v>56777</v>
      </c>
      <c r="G616">
        <v>56429</v>
      </c>
      <c r="H616" t="s">
        <v>31</v>
      </c>
      <c r="I616" t="str" cm="1">
        <f t="array" ref="I616">_xlfn.IFS(G616=0,"Not Paid",G616=F616,"Fully Paid",G616&lt;F616,"Partially Paid")</f>
        <v>Partially Paid</v>
      </c>
      <c r="J616" t="str">
        <f t="shared" si="9"/>
        <v>YES</v>
      </c>
    </row>
    <row r="617" spans="1:10" x14ac:dyDescent="0.35">
      <c r="A617">
        <v>2616</v>
      </c>
      <c r="B617" t="s">
        <v>648</v>
      </c>
      <c r="C617" t="s">
        <v>24</v>
      </c>
      <c r="D617" t="s">
        <v>18</v>
      </c>
      <c r="E617">
        <v>45677</v>
      </c>
      <c r="F617">
        <v>39710</v>
      </c>
      <c r="G617">
        <v>34336</v>
      </c>
      <c r="H617" t="s">
        <v>15</v>
      </c>
      <c r="I617" t="str" cm="1">
        <f t="array" ref="I617">_xlfn.IFS(G617=0,"Not Paid",G617=F617,"Fully Paid",G617&lt;F617,"Partially Paid")</f>
        <v>Partially Paid</v>
      </c>
      <c r="J617" t="str">
        <f t="shared" si="9"/>
        <v>NO</v>
      </c>
    </row>
    <row r="618" spans="1:10" x14ac:dyDescent="0.35">
      <c r="A618">
        <v>2617</v>
      </c>
      <c r="B618" t="s">
        <v>649</v>
      </c>
      <c r="C618" t="s">
        <v>13</v>
      </c>
      <c r="D618" t="s">
        <v>27</v>
      </c>
      <c r="E618">
        <v>45681</v>
      </c>
      <c r="F618">
        <v>44532</v>
      </c>
      <c r="G618">
        <v>32432</v>
      </c>
      <c r="H618" t="s">
        <v>15</v>
      </c>
      <c r="I618" t="str" cm="1">
        <f t="array" ref="I618">_xlfn.IFS(G618=0,"Not Paid",G618=F618,"Fully Paid",G618&lt;F618,"Partially Paid")</f>
        <v>Partially Paid</v>
      </c>
      <c r="J618" t="str">
        <f t="shared" si="9"/>
        <v>NO</v>
      </c>
    </row>
    <row r="619" spans="1:10" x14ac:dyDescent="0.35">
      <c r="A619">
        <v>2618</v>
      </c>
      <c r="B619" t="s">
        <v>650</v>
      </c>
      <c r="C619" t="s">
        <v>56</v>
      </c>
      <c r="D619" t="s">
        <v>10</v>
      </c>
      <c r="E619">
        <v>45884</v>
      </c>
      <c r="F619">
        <v>38601</v>
      </c>
      <c r="G619">
        <v>30732</v>
      </c>
      <c r="H619" t="s">
        <v>38</v>
      </c>
      <c r="I619" t="str" cm="1">
        <f t="array" ref="I619">_xlfn.IFS(G619=0,"Not Paid",G619=F619,"Fully Paid",G619&lt;F619,"Partially Paid")</f>
        <v>Partially Paid</v>
      </c>
      <c r="J619" t="str">
        <f t="shared" si="9"/>
        <v>NO</v>
      </c>
    </row>
    <row r="620" spans="1:10" x14ac:dyDescent="0.35">
      <c r="A620">
        <v>2619</v>
      </c>
      <c r="B620" t="s">
        <v>651</v>
      </c>
      <c r="C620" t="s">
        <v>56</v>
      </c>
      <c r="D620" t="s">
        <v>14</v>
      </c>
      <c r="E620">
        <v>45811</v>
      </c>
      <c r="F620">
        <v>24967</v>
      </c>
      <c r="G620">
        <v>24660</v>
      </c>
      <c r="H620" t="s">
        <v>67</v>
      </c>
      <c r="I620" t="str" cm="1">
        <f t="array" ref="I620">_xlfn.IFS(G620=0,"Not Paid",G620=F620,"Fully Paid",G620&lt;F620,"Partially Paid")</f>
        <v>Partially Paid</v>
      </c>
      <c r="J620" t="str">
        <f t="shared" si="9"/>
        <v>NO</v>
      </c>
    </row>
    <row r="621" spans="1:10" x14ac:dyDescent="0.35">
      <c r="A621">
        <v>2620</v>
      </c>
      <c r="B621" t="s">
        <v>652</v>
      </c>
      <c r="C621" t="s">
        <v>17</v>
      </c>
      <c r="D621" t="s">
        <v>10</v>
      </c>
      <c r="E621">
        <v>45950</v>
      </c>
      <c r="F621">
        <v>38753</v>
      </c>
      <c r="G621">
        <v>35337</v>
      </c>
      <c r="H621" t="s">
        <v>22</v>
      </c>
      <c r="I621" t="str" cm="1">
        <f t="array" ref="I621">_xlfn.IFS(G621=0,"Not Paid",G621=F621,"Fully Paid",G621&lt;F621,"Partially Paid")</f>
        <v>Partially Paid</v>
      </c>
      <c r="J621" t="str">
        <f t="shared" si="9"/>
        <v>NO</v>
      </c>
    </row>
    <row r="622" spans="1:10" x14ac:dyDescent="0.35">
      <c r="A622">
        <v>2621</v>
      </c>
      <c r="B622" t="s">
        <v>653</v>
      </c>
      <c r="C622" t="s">
        <v>24</v>
      </c>
      <c r="D622" t="s">
        <v>37</v>
      </c>
      <c r="E622">
        <v>45887</v>
      </c>
      <c r="F622">
        <v>40022</v>
      </c>
      <c r="G622">
        <v>26584</v>
      </c>
      <c r="H622" t="s">
        <v>38</v>
      </c>
      <c r="I622" t="str" cm="1">
        <f t="array" ref="I622">_xlfn.IFS(G622=0,"Not Paid",G622=F622,"Fully Paid",G622&lt;F622,"Partially Paid")</f>
        <v>Partially Paid</v>
      </c>
      <c r="J622" t="str">
        <f t="shared" si="9"/>
        <v>NO</v>
      </c>
    </row>
    <row r="623" spans="1:10" x14ac:dyDescent="0.35">
      <c r="A623">
        <v>2622</v>
      </c>
      <c r="B623" t="s">
        <v>654</v>
      </c>
      <c r="C623" t="s">
        <v>24</v>
      </c>
      <c r="D623" t="s">
        <v>10</v>
      </c>
      <c r="E623">
        <v>45967</v>
      </c>
      <c r="F623">
        <v>29135</v>
      </c>
      <c r="G623">
        <v>14887</v>
      </c>
      <c r="H623" t="s">
        <v>29</v>
      </c>
      <c r="I623" t="str" cm="1">
        <f t="array" ref="I623">_xlfn.IFS(G623=0,"Not Paid",G623=F623,"Fully Paid",G623&lt;F623,"Partially Paid")</f>
        <v>Partially Paid</v>
      </c>
      <c r="J623" t="str">
        <f t="shared" si="9"/>
        <v>NO</v>
      </c>
    </row>
    <row r="624" spans="1:10" x14ac:dyDescent="0.35">
      <c r="A624">
        <v>2623</v>
      </c>
      <c r="B624" t="s">
        <v>655</v>
      </c>
      <c r="C624" t="s">
        <v>17</v>
      </c>
      <c r="D624" t="s">
        <v>37</v>
      </c>
      <c r="E624">
        <v>46016</v>
      </c>
      <c r="F624">
        <v>25722</v>
      </c>
      <c r="G624">
        <v>15196</v>
      </c>
      <c r="H624" t="s">
        <v>25</v>
      </c>
      <c r="I624" t="str" cm="1">
        <f t="array" ref="I624">_xlfn.IFS(G624=0,"Not Paid",G624=F624,"Fully Paid",G624&lt;F624,"Partially Paid")</f>
        <v>Partially Paid</v>
      </c>
      <c r="J624" t="str">
        <f t="shared" si="9"/>
        <v>NO</v>
      </c>
    </row>
    <row r="625" spans="1:10" x14ac:dyDescent="0.35">
      <c r="A625">
        <v>2624</v>
      </c>
      <c r="B625" t="s">
        <v>656</v>
      </c>
      <c r="C625" t="s">
        <v>13</v>
      </c>
      <c r="D625" t="s">
        <v>37</v>
      </c>
      <c r="E625">
        <v>45859</v>
      </c>
      <c r="F625">
        <v>47413</v>
      </c>
      <c r="G625">
        <v>34360</v>
      </c>
      <c r="H625" t="s">
        <v>43</v>
      </c>
      <c r="I625" t="str" cm="1">
        <f t="array" ref="I625">_xlfn.IFS(G625=0,"Not Paid",G625=F625,"Fully Paid",G625&lt;F625,"Partially Paid")</f>
        <v>Partially Paid</v>
      </c>
      <c r="J625" t="str">
        <f t="shared" si="9"/>
        <v>NO</v>
      </c>
    </row>
    <row r="626" spans="1:10" x14ac:dyDescent="0.35">
      <c r="A626">
        <v>2625</v>
      </c>
      <c r="B626" t="s">
        <v>657</v>
      </c>
      <c r="C626" t="s">
        <v>24</v>
      </c>
      <c r="D626" t="s">
        <v>10</v>
      </c>
      <c r="E626">
        <v>45695</v>
      </c>
      <c r="F626">
        <v>47236</v>
      </c>
      <c r="G626">
        <v>42416</v>
      </c>
      <c r="H626" t="s">
        <v>77</v>
      </c>
      <c r="I626" t="str" cm="1">
        <f t="array" ref="I626">_xlfn.IFS(G626=0,"Not Paid",G626=F626,"Fully Paid",G626&lt;F626,"Partially Paid")</f>
        <v>Partially Paid</v>
      </c>
      <c r="J626" t="str">
        <f t="shared" si="9"/>
        <v>NO</v>
      </c>
    </row>
    <row r="627" spans="1:10" x14ac:dyDescent="0.35">
      <c r="A627">
        <v>2626</v>
      </c>
      <c r="B627" t="s">
        <v>658</v>
      </c>
      <c r="C627" t="s">
        <v>56</v>
      </c>
      <c r="D627" t="s">
        <v>14</v>
      </c>
      <c r="E627">
        <v>45917</v>
      </c>
      <c r="F627">
        <v>35514</v>
      </c>
      <c r="G627">
        <v>24513</v>
      </c>
      <c r="H627" t="s">
        <v>53</v>
      </c>
      <c r="I627" t="str" cm="1">
        <f t="array" ref="I627">_xlfn.IFS(G627=0,"Not Paid",G627=F627,"Fully Paid",G627&lt;F627,"Partially Paid")</f>
        <v>Partially Paid</v>
      </c>
      <c r="J627" t="str">
        <f t="shared" si="9"/>
        <v>NO</v>
      </c>
    </row>
    <row r="628" spans="1:10" x14ac:dyDescent="0.35">
      <c r="A628">
        <v>2627</v>
      </c>
      <c r="B628" t="s">
        <v>659</v>
      </c>
      <c r="C628" t="s">
        <v>56</v>
      </c>
      <c r="D628" t="s">
        <v>27</v>
      </c>
      <c r="E628">
        <v>45845</v>
      </c>
      <c r="F628">
        <v>57212</v>
      </c>
      <c r="G628">
        <v>43305</v>
      </c>
      <c r="H628" t="s">
        <v>43</v>
      </c>
      <c r="I628" t="str" cm="1">
        <f t="array" ref="I628">_xlfn.IFS(G628=0,"Not Paid",G628=F628,"Fully Paid",G628&lt;F628,"Partially Paid")</f>
        <v>Partially Paid</v>
      </c>
      <c r="J628" t="str">
        <f t="shared" si="9"/>
        <v>YES</v>
      </c>
    </row>
    <row r="629" spans="1:10" x14ac:dyDescent="0.35">
      <c r="A629">
        <v>2628</v>
      </c>
      <c r="B629" t="s">
        <v>660</v>
      </c>
      <c r="C629" t="s">
        <v>33</v>
      </c>
      <c r="D629" t="s">
        <v>18</v>
      </c>
      <c r="E629">
        <v>45714</v>
      </c>
      <c r="F629">
        <v>40331</v>
      </c>
      <c r="G629">
        <v>36773</v>
      </c>
      <c r="H629" t="s">
        <v>77</v>
      </c>
      <c r="I629" t="str" cm="1">
        <f t="array" ref="I629">_xlfn.IFS(G629=0,"Not Paid",G629=F629,"Fully Paid",G629&lt;F629,"Partially Paid")</f>
        <v>Partially Paid</v>
      </c>
      <c r="J629" t="str">
        <f t="shared" si="9"/>
        <v>NO</v>
      </c>
    </row>
    <row r="630" spans="1:10" x14ac:dyDescent="0.35">
      <c r="A630">
        <v>2629</v>
      </c>
      <c r="B630" t="s">
        <v>661</v>
      </c>
      <c r="C630" t="s">
        <v>24</v>
      </c>
      <c r="D630" t="s">
        <v>18</v>
      </c>
      <c r="E630">
        <v>45677</v>
      </c>
      <c r="F630">
        <v>38060</v>
      </c>
      <c r="G630">
        <v>33582</v>
      </c>
      <c r="H630" t="s">
        <v>15</v>
      </c>
      <c r="I630" t="str" cm="1">
        <f t="array" ref="I630">_xlfn.IFS(G630=0,"Not Paid",G630=F630,"Fully Paid",G630&lt;F630,"Partially Paid")</f>
        <v>Partially Paid</v>
      </c>
      <c r="J630" t="str">
        <f t="shared" si="9"/>
        <v>NO</v>
      </c>
    </row>
    <row r="631" spans="1:10" x14ac:dyDescent="0.35">
      <c r="A631">
        <v>2630</v>
      </c>
      <c r="B631" t="s">
        <v>662</v>
      </c>
      <c r="C631" t="s">
        <v>13</v>
      </c>
      <c r="D631" t="s">
        <v>27</v>
      </c>
      <c r="E631">
        <v>45930</v>
      </c>
      <c r="F631">
        <v>21196</v>
      </c>
      <c r="G631">
        <v>9527</v>
      </c>
      <c r="H631" t="s">
        <v>53</v>
      </c>
      <c r="I631" t="str" cm="1">
        <f t="array" ref="I631">_xlfn.IFS(G631=0,"Not Paid",G631=F631,"Fully Paid",G631&lt;F631,"Partially Paid")</f>
        <v>Partially Paid</v>
      </c>
      <c r="J631" t="str">
        <f t="shared" si="9"/>
        <v>NO</v>
      </c>
    </row>
    <row r="632" spans="1:10" x14ac:dyDescent="0.35">
      <c r="A632">
        <v>2631</v>
      </c>
      <c r="B632" t="s">
        <v>663</v>
      </c>
      <c r="C632" t="s">
        <v>17</v>
      </c>
      <c r="D632" t="s">
        <v>37</v>
      </c>
      <c r="E632">
        <v>45776</v>
      </c>
      <c r="F632">
        <v>32297</v>
      </c>
      <c r="G632">
        <v>25766</v>
      </c>
      <c r="H632" t="s">
        <v>11</v>
      </c>
      <c r="I632" t="str" cm="1">
        <f t="array" ref="I632">_xlfn.IFS(G632=0,"Not Paid",G632=F632,"Fully Paid",G632&lt;F632,"Partially Paid")</f>
        <v>Partially Paid</v>
      </c>
      <c r="J632" t="str">
        <f t="shared" si="9"/>
        <v>NO</v>
      </c>
    </row>
    <row r="633" spans="1:10" x14ac:dyDescent="0.35">
      <c r="A633">
        <v>2632</v>
      </c>
      <c r="B633" t="s">
        <v>664</v>
      </c>
      <c r="C633" t="s">
        <v>17</v>
      </c>
      <c r="D633" t="s">
        <v>37</v>
      </c>
      <c r="E633">
        <v>45728</v>
      </c>
      <c r="F633">
        <v>22787</v>
      </c>
      <c r="G633">
        <v>18167</v>
      </c>
      <c r="H633" t="s">
        <v>19</v>
      </c>
      <c r="I633" t="str" cm="1">
        <f t="array" ref="I633">_xlfn.IFS(G633=0,"Not Paid",G633=F633,"Fully Paid",G633&lt;F633,"Partially Paid")</f>
        <v>Partially Paid</v>
      </c>
      <c r="J633" t="str">
        <f t="shared" si="9"/>
        <v>NO</v>
      </c>
    </row>
    <row r="634" spans="1:10" x14ac:dyDescent="0.35">
      <c r="A634">
        <v>2633</v>
      </c>
      <c r="B634" t="s">
        <v>665</v>
      </c>
      <c r="C634" t="s">
        <v>13</v>
      </c>
      <c r="D634" t="s">
        <v>14</v>
      </c>
      <c r="E634">
        <v>45661</v>
      </c>
      <c r="F634">
        <v>43816</v>
      </c>
      <c r="G634">
        <v>32938</v>
      </c>
      <c r="H634" t="s">
        <v>15</v>
      </c>
      <c r="I634" t="str" cm="1">
        <f t="array" ref="I634">_xlfn.IFS(G634=0,"Not Paid",G634=F634,"Fully Paid",G634&lt;F634,"Partially Paid")</f>
        <v>Partially Paid</v>
      </c>
      <c r="J634" t="str">
        <f t="shared" si="9"/>
        <v>NO</v>
      </c>
    </row>
    <row r="635" spans="1:10" x14ac:dyDescent="0.35">
      <c r="A635">
        <v>2634</v>
      </c>
      <c r="B635" t="s">
        <v>666</v>
      </c>
      <c r="C635" t="s">
        <v>9</v>
      </c>
      <c r="D635" t="s">
        <v>21</v>
      </c>
      <c r="E635">
        <v>45878</v>
      </c>
      <c r="F635">
        <v>39702</v>
      </c>
      <c r="G635">
        <v>36717</v>
      </c>
      <c r="H635" t="s">
        <v>38</v>
      </c>
      <c r="I635" t="str" cm="1">
        <f t="array" ref="I635">_xlfn.IFS(G635=0,"Not Paid",G635=F635,"Fully Paid",G635&lt;F635,"Partially Paid")</f>
        <v>Partially Paid</v>
      </c>
      <c r="J635" t="str">
        <f t="shared" si="9"/>
        <v>NO</v>
      </c>
    </row>
    <row r="636" spans="1:10" x14ac:dyDescent="0.35">
      <c r="A636">
        <v>2635</v>
      </c>
      <c r="B636" t="s">
        <v>667</v>
      </c>
      <c r="C636" t="s">
        <v>45</v>
      </c>
      <c r="D636" t="s">
        <v>10</v>
      </c>
      <c r="E636">
        <v>45671</v>
      </c>
      <c r="F636">
        <v>45242</v>
      </c>
      <c r="G636">
        <v>37130</v>
      </c>
      <c r="H636" t="s">
        <v>15</v>
      </c>
      <c r="I636" t="str" cm="1">
        <f t="array" ref="I636">_xlfn.IFS(G636=0,"Not Paid",G636=F636,"Fully Paid",G636&lt;F636,"Partially Paid")</f>
        <v>Partially Paid</v>
      </c>
      <c r="J636" t="str">
        <f t="shared" si="9"/>
        <v>NO</v>
      </c>
    </row>
    <row r="637" spans="1:10" x14ac:dyDescent="0.35">
      <c r="A637">
        <v>2636</v>
      </c>
      <c r="B637" t="s">
        <v>668</v>
      </c>
      <c r="C637" t="s">
        <v>33</v>
      </c>
      <c r="D637" t="s">
        <v>37</v>
      </c>
      <c r="E637">
        <v>45660</v>
      </c>
      <c r="F637">
        <v>22176</v>
      </c>
      <c r="G637">
        <v>13709</v>
      </c>
      <c r="H637" t="s">
        <v>15</v>
      </c>
      <c r="I637" t="str" cm="1">
        <f t="array" ref="I637">_xlfn.IFS(G637=0,"Not Paid",G637=F637,"Fully Paid",G637&lt;F637,"Partially Paid")</f>
        <v>Partially Paid</v>
      </c>
      <c r="J637" t="str">
        <f t="shared" si="9"/>
        <v>NO</v>
      </c>
    </row>
    <row r="638" spans="1:10" x14ac:dyDescent="0.35">
      <c r="A638">
        <v>2637</v>
      </c>
      <c r="B638" t="s">
        <v>669</v>
      </c>
      <c r="C638" t="s">
        <v>17</v>
      </c>
      <c r="D638" t="s">
        <v>18</v>
      </c>
      <c r="E638">
        <v>45873</v>
      </c>
      <c r="F638">
        <v>40127</v>
      </c>
      <c r="G638">
        <v>37580</v>
      </c>
      <c r="H638" t="s">
        <v>38</v>
      </c>
      <c r="I638" t="str" cm="1">
        <f t="array" ref="I638">_xlfn.IFS(G638=0,"Not Paid",G638=F638,"Fully Paid",G638&lt;F638,"Partially Paid")</f>
        <v>Partially Paid</v>
      </c>
      <c r="J638" t="str">
        <f t="shared" si="9"/>
        <v>NO</v>
      </c>
    </row>
    <row r="639" spans="1:10" x14ac:dyDescent="0.35">
      <c r="A639">
        <v>2638</v>
      </c>
      <c r="B639" t="s">
        <v>670</v>
      </c>
      <c r="C639" t="s">
        <v>24</v>
      </c>
      <c r="D639" t="s">
        <v>14</v>
      </c>
      <c r="E639">
        <v>45886</v>
      </c>
      <c r="F639">
        <v>47228</v>
      </c>
      <c r="G639">
        <v>36272</v>
      </c>
      <c r="H639" t="s">
        <v>38</v>
      </c>
      <c r="I639" t="str" cm="1">
        <f t="array" ref="I639">_xlfn.IFS(G639=0,"Not Paid",G639=F639,"Fully Paid",G639&lt;F639,"Partially Paid")</f>
        <v>Partially Paid</v>
      </c>
      <c r="J639" t="str">
        <f t="shared" si="9"/>
        <v>NO</v>
      </c>
    </row>
    <row r="640" spans="1:10" x14ac:dyDescent="0.35">
      <c r="A640">
        <v>2639</v>
      </c>
      <c r="B640" t="s">
        <v>671</v>
      </c>
      <c r="C640" t="s">
        <v>33</v>
      </c>
      <c r="D640" t="s">
        <v>10</v>
      </c>
      <c r="E640">
        <v>45993</v>
      </c>
      <c r="F640">
        <v>40208</v>
      </c>
      <c r="G640">
        <v>39872</v>
      </c>
      <c r="H640" t="s">
        <v>25</v>
      </c>
      <c r="I640" t="str" cm="1">
        <f t="array" ref="I640">_xlfn.IFS(G640=0,"Not Paid",G640=F640,"Fully Paid",G640&lt;F640,"Partially Paid")</f>
        <v>Partially Paid</v>
      </c>
      <c r="J640" t="str">
        <f t="shared" si="9"/>
        <v>NO</v>
      </c>
    </row>
    <row r="641" spans="1:10" x14ac:dyDescent="0.35">
      <c r="A641">
        <v>2640</v>
      </c>
      <c r="B641" t="s">
        <v>672</v>
      </c>
      <c r="C641" t="s">
        <v>24</v>
      </c>
      <c r="D641" t="s">
        <v>14</v>
      </c>
      <c r="E641">
        <v>45843</v>
      </c>
      <c r="F641">
        <v>48482</v>
      </c>
      <c r="G641">
        <v>38317</v>
      </c>
      <c r="H641" t="s">
        <v>43</v>
      </c>
      <c r="I641" t="str" cm="1">
        <f t="array" ref="I641">_xlfn.IFS(G641=0,"Not Paid",G641=F641,"Fully Paid",G641&lt;F641,"Partially Paid")</f>
        <v>Partially Paid</v>
      </c>
      <c r="J641" t="str">
        <f t="shared" si="9"/>
        <v>NO</v>
      </c>
    </row>
    <row r="642" spans="1:10" x14ac:dyDescent="0.35">
      <c r="A642">
        <v>2641</v>
      </c>
      <c r="B642" t="s">
        <v>673</v>
      </c>
      <c r="C642" t="s">
        <v>9</v>
      </c>
      <c r="D642" t="s">
        <v>10</v>
      </c>
      <c r="E642">
        <v>45712</v>
      </c>
      <c r="F642">
        <v>29171</v>
      </c>
      <c r="G642">
        <v>26192</v>
      </c>
      <c r="H642" t="s">
        <v>77</v>
      </c>
      <c r="I642" t="str" cm="1">
        <f t="array" ref="I642">_xlfn.IFS(G642=0,"Not Paid",G642=F642,"Fully Paid",G642&lt;F642,"Partially Paid")</f>
        <v>Partially Paid</v>
      </c>
      <c r="J642" t="str">
        <f t="shared" si="9"/>
        <v>NO</v>
      </c>
    </row>
    <row r="643" spans="1:10" x14ac:dyDescent="0.35">
      <c r="A643">
        <v>2642</v>
      </c>
      <c r="B643" t="s">
        <v>674</v>
      </c>
      <c r="C643" t="s">
        <v>56</v>
      </c>
      <c r="D643" t="s">
        <v>10</v>
      </c>
      <c r="E643">
        <v>45911</v>
      </c>
      <c r="F643">
        <v>55219</v>
      </c>
      <c r="G643">
        <v>42451</v>
      </c>
      <c r="H643" t="s">
        <v>53</v>
      </c>
      <c r="I643" t="str" cm="1">
        <f t="array" ref="I643">_xlfn.IFS(G643=0,"Not Paid",G643=F643,"Fully Paid",G643&lt;F643,"Partially Paid")</f>
        <v>Partially Paid</v>
      </c>
      <c r="J643" t="str">
        <f t="shared" ref="J643:J706" si="10">IF(F643&gt;50000,"YES","NO")</f>
        <v>YES</v>
      </c>
    </row>
    <row r="644" spans="1:10" x14ac:dyDescent="0.35">
      <c r="A644">
        <v>2643</v>
      </c>
      <c r="B644" t="s">
        <v>675</v>
      </c>
      <c r="C644" t="s">
        <v>33</v>
      </c>
      <c r="D644" t="s">
        <v>27</v>
      </c>
      <c r="E644">
        <v>45681</v>
      </c>
      <c r="F644">
        <v>53396</v>
      </c>
      <c r="G644">
        <v>49428</v>
      </c>
      <c r="H644" t="s">
        <v>15</v>
      </c>
      <c r="I644" t="str" cm="1">
        <f t="array" ref="I644">_xlfn.IFS(G644=0,"Not Paid",G644=F644,"Fully Paid",G644&lt;F644,"Partially Paid")</f>
        <v>Partially Paid</v>
      </c>
      <c r="J644" t="str">
        <f t="shared" si="10"/>
        <v>YES</v>
      </c>
    </row>
    <row r="645" spans="1:10" x14ac:dyDescent="0.35">
      <c r="A645">
        <v>2644</v>
      </c>
      <c r="B645" t="s">
        <v>676</v>
      </c>
      <c r="C645" t="s">
        <v>17</v>
      </c>
      <c r="D645" t="s">
        <v>37</v>
      </c>
      <c r="E645">
        <v>45819</v>
      </c>
      <c r="F645">
        <v>23696</v>
      </c>
      <c r="G645">
        <v>22786</v>
      </c>
      <c r="H645" t="s">
        <v>67</v>
      </c>
      <c r="I645" t="str" cm="1">
        <f t="array" ref="I645">_xlfn.IFS(G645=0,"Not Paid",G645=F645,"Fully Paid",G645&lt;F645,"Partially Paid")</f>
        <v>Partially Paid</v>
      </c>
      <c r="J645" t="str">
        <f t="shared" si="10"/>
        <v>NO</v>
      </c>
    </row>
    <row r="646" spans="1:10" x14ac:dyDescent="0.35">
      <c r="A646">
        <v>2645</v>
      </c>
      <c r="B646" t="s">
        <v>677</v>
      </c>
      <c r="C646" t="s">
        <v>33</v>
      </c>
      <c r="D646" t="s">
        <v>14</v>
      </c>
      <c r="E646">
        <v>45815</v>
      </c>
      <c r="F646">
        <v>40058</v>
      </c>
      <c r="G646">
        <v>38062</v>
      </c>
      <c r="H646" t="s">
        <v>67</v>
      </c>
      <c r="I646" t="str" cm="1">
        <f t="array" ref="I646">_xlfn.IFS(G646=0,"Not Paid",G646=F646,"Fully Paid",G646&lt;F646,"Partially Paid")</f>
        <v>Partially Paid</v>
      </c>
      <c r="J646" t="str">
        <f t="shared" si="10"/>
        <v>NO</v>
      </c>
    </row>
    <row r="647" spans="1:10" x14ac:dyDescent="0.35">
      <c r="A647">
        <v>2646</v>
      </c>
      <c r="B647" t="s">
        <v>678</v>
      </c>
      <c r="C647" t="s">
        <v>33</v>
      </c>
      <c r="D647" t="s">
        <v>14</v>
      </c>
      <c r="E647">
        <v>45739</v>
      </c>
      <c r="F647">
        <v>40313</v>
      </c>
      <c r="G647">
        <v>37184</v>
      </c>
      <c r="H647" t="s">
        <v>19</v>
      </c>
      <c r="I647" t="str" cm="1">
        <f t="array" ref="I647">_xlfn.IFS(G647=0,"Not Paid",G647=F647,"Fully Paid",G647&lt;F647,"Partially Paid")</f>
        <v>Partially Paid</v>
      </c>
      <c r="J647" t="str">
        <f t="shared" si="10"/>
        <v>NO</v>
      </c>
    </row>
    <row r="648" spans="1:10" x14ac:dyDescent="0.35">
      <c r="A648">
        <v>2647</v>
      </c>
      <c r="B648" t="s">
        <v>679</v>
      </c>
      <c r="C648" t="s">
        <v>33</v>
      </c>
      <c r="D648" t="s">
        <v>27</v>
      </c>
      <c r="E648">
        <v>45816</v>
      </c>
      <c r="F648">
        <v>39149</v>
      </c>
      <c r="G648">
        <v>33702</v>
      </c>
      <c r="H648" t="s">
        <v>67</v>
      </c>
      <c r="I648" t="str" cm="1">
        <f t="array" ref="I648">_xlfn.IFS(G648=0,"Not Paid",G648=F648,"Fully Paid",G648&lt;F648,"Partially Paid")</f>
        <v>Partially Paid</v>
      </c>
      <c r="J648" t="str">
        <f t="shared" si="10"/>
        <v>NO</v>
      </c>
    </row>
    <row r="649" spans="1:10" x14ac:dyDescent="0.35">
      <c r="A649">
        <v>2648</v>
      </c>
      <c r="B649" t="s">
        <v>680</v>
      </c>
      <c r="C649" t="s">
        <v>45</v>
      </c>
      <c r="D649" t="s">
        <v>18</v>
      </c>
      <c r="E649">
        <v>45845</v>
      </c>
      <c r="F649">
        <v>24956</v>
      </c>
      <c r="G649">
        <v>18827</v>
      </c>
      <c r="H649" t="s">
        <v>43</v>
      </c>
      <c r="I649" t="str" cm="1">
        <f t="array" ref="I649">_xlfn.IFS(G649=0,"Not Paid",G649=F649,"Fully Paid",G649&lt;F649,"Partially Paid")</f>
        <v>Partially Paid</v>
      </c>
      <c r="J649" t="str">
        <f t="shared" si="10"/>
        <v>NO</v>
      </c>
    </row>
    <row r="650" spans="1:10" x14ac:dyDescent="0.35">
      <c r="A650">
        <v>2649</v>
      </c>
      <c r="B650" t="s">
        <v>681</v>
      </c>
      <c r="C650" t="s">
        <v>33</v>
      </c>
      <c r="D650" t="s">
        <v>18</v>
      </c>
      <c r="E650">
        <v>45717</v>
      </c>
      <c r="F650">
        <v>30195</v>
      </c>
      <c r="G650">
        <v>24345</v>
      </c>
      <c r="H650" t="s">
        <v>19</v>
      </c>
      <c r="I650" t="str" cm="1">
        <f t="array" ref="I650">_xlfn.IFS(G650=0,"Not Paid",G650=F650,"Fully Paid",G650&lt;F650,"Partially Paid")</f>
        <v>Partially Paid</v>
      </c>
      <c r="J650" t="str">
        <f t="shared" si="10"/>
        <v>NO</v>
      </c>
    </row>
    <row r="651" spans="1:10" x14ac:dyDescent="0.35">
      <c r="A651">
        <v>2650</v>
      </c>
      <c r="B651" t="s">
        <v>682</v>
      </c>
      <c r="C651" t="s">
        <v>24</v>
      </c>
      <c r="D651" t="s">
        <v>37</v>
      </c>
      <c r="E651">
        <v>45962</v>
      </c>
      <c r="F651">
        <v>37076</v>
      </c>
      <c r="G651">
        <v>32872</v>
      </c>
      <c r="H651" t="s">
        <v>29</v>
      </c>
      <c r="I651" t="str" cm="1">
        <f t="array" ref="I651">_xlfn.IFS(G651=0,"Not Paid",G651=F651,"Fully Paid",G651&lt;F651,"Partially Paid")</f>
        <v>Partially Paid</v>
      </c>
      <c r="J651" t="str">
        <f t="shared" si="10"/>
        <v>NO</v>
      </c>
    </row>
    <row r="652" spans="1:10" x14ac:dyDescent="0.35">
      <c r="A652">
        <v>2651</v>
      </c>
      <c r="B652" t="s">
        <v>683</v>
      </c>
      <c r="C652" t="s">
        <v>56</v>
      </c>
      <c r="D652" t="s">
        <v>37</v>
      </c>
      <c r="E652">
        <v>45976</v>
      </c>
      <c r="F652">
        <v>21105</v>
      </c>
      <c r="G652">
        <v>13659</v>
      </c>
      <c r="H652" t="s">
        <v>29</v>
      </c>
      <c r="I652" t="str" cm="1">
        <f t="array" ref="I652">_xlfn.IFS(G652=0,"Not Paid",G652=F652,"Fully Paid",G652&lt;F652,"Partially Paid")</f>
        <v>Partially Paid</v>
      </c>
      <c r="J652" t="str">
        <f t="shared" si="10"/>
        <v>NO</v>
      </c>
    </row>
    <row r="653" spans="1:10" x14ac:dyDescent="0.35">
      <c r="A653">
        <v>2652</v>
      </c>
      <c r="B653" t="s">
        <v>684</v>
      </c>
      <c r="C653" t="s">
        <v>9</v>
      </c>
      <c r="D653" t="s">
        <v>21</v>
      </c>
      <c r="E653">
        <v>45868</v>
      </c>
      <c r="F653">
        <v>35417</v>
      </c>
      <c r="G653">
        <v>23468</v>
      </c>
      <c r="H653" t="s">
        <v>43</v>
      </c>
      <c r="I653" t="str" cm="1">
        <f t="array" ref="I653">_xlfn.IFS(G653=0,"Not Paid",G653=F653,"Fully Paid",G653&lt;F653,"Partially Paid")</f>
        <v>Partially Paid</v>
      </c>
      <c r="J653" t="str">
        <f t="shared" si="10"/>
        <v>NO</v>
      </c>
    </row>
    <row r="654" spans="1:10" x14ac:dyDescent="0.35">
      <c r="A654">
        <v>2653</v>
      </c>
      <c r="B654" t="s">
        <v>685</v>
      </c>
      <c r="C654" t="s">
        <v>13</v>
      </c>
      <c r="D654" t="s">
        <v>27</v>
      </c>
      <c r="E654">
        <v>45809</v>
      </c>
      <c r="F654">
        <v>44729</v>
      </c>
      <c r="G654">
        <v>36210</v>
      </c>
      <c r="H654" t="s">
        <v>67</v>
      </c>
      <c r="I654" t="str" cm="1">
        <f t="array" ref="I654">_xlfn.IFS(G654=0,"Not Paid",G654=F654,"Fully Paid",G654&lt;F654,"Partially Paid")</f>
        <v>Partially Paid</v>
      </c>
      <c r="J654" t="str">
        <f t="shared" si="10"/>
        <v>NO</v>
      </c>
    </row>
    <row r="655" spans="1:10" x14ac:dyDescent="0.35">
      <c r="A655">
        <v>2654</v>
      </c>
      <c r="B655" t="s">
        <v>686</v>
      </c>
      <c r="C655" t="s">
        <v>33</v>
      </c>
      <c r="D655" t="s">
        <v>18</v>
      </c>
      <c r="E655">
        <v>45766</v>
      </c>
      <c r="F655">
        <v>50099</v>
      </c>
      <c r="G655">
        <v>40108</v>
      </c>
      <c r="H655" t="s">
        <v>11</v>
      </c>
      <c r="I655" t="str" cm="1">
        <f t="array" ref="I655">_xlfn.IFS(G655=0,"Not Paid",G655=F655,"Fully Paid",G655&lt;F655,"Partially Paid")</f>
        <v>Partially Paid</v>
      </c>
      <c r="J655" t="str">
        <f t="shared" si="10"/>
        <v>YES</v>
      </c>
    </row>
    <row r="656" spans="1:10" x14ac:dyDescent="0.35">
      <c r="A656">
        <v>2655</v>
      </c>
      <c r="B656" t="s">
        <v>687</v>
      </c>
      <c r="C656" t="s">
        <v>17</v>
      </c>
      <c r="D656" t="s">
        <v>10</v>
      </c>
      <c r="E656">
        <v>45733</v>
      </c>
      <c r="F656">
        <v>52598</v>
      </c>
      <c r="G656">
        <v>52284</v>
      </c>
      <c r="H656" t="s">
        <v>19</v>
      </c>
      <c r="I656" t="str" cm="1">
        <f t="array" ref="I656">_xlfn.IFS(G656=0,"Not Paid",G656=F656,"Fully Paid",G656&lt;F656,"Partially Paid")</f>
        <v>Partially Paid</v>
      </c>
      <c r="J656" t="str">
        <f t="shared" si="10"/>
        <v>YES</v>
      </c>
    </row>
    <row r="657" spans="1:10" x14ac:dyDescent="0.35">
      <c r="A657">
        <v>2656</v>
      </c>
      <c r="B657" t="s">
        <v>688</v>
      </c>
      <c r="C657" t="s">
        <v>33</v>
      </c>
      <c r="D657" t="s">
        <v>14</v>
      </c>
      <c r="E657">
        <v>45687</v>
      </c>
      <c r="F657">
        <v>49961</v>
      </c>
      <c r="G657">
        <v>38224</v>
      </c>
      <c r="H657" t="s">
        <v>15</v>
      </c>
      <c r="I657" t="str" cm="1">
        <f t="array" ref="I657">_xlfn.IFS(G657=0,"Not Paid",G657=F657,"Fully Paid",G657&lt;F657,"Partially Paid")</f>
        <v>Partially Paid</v>
      </c>
      <c r="J657" t="str">
        <f t="shared" si="10"/>
        <v>NO</v>
      </c>
    </row>
    <row r="658" spans="1:10" x14ac:dyDescent="0.35">
      <c r="A658">
        <v>2657</v>
      </c>
      <c r="B658" t="s">
        <v>689</v>
      </c>
      <c r="C658" t="s">
        <v>17</v>
      </c>
      <c r="D658" t="s">
        <v>37</v>
      </c>
      <c r="E658">
        <v>45971</v>
      </c>
      <c r="F658">
        <v>32602</v>
      </c>
      <c r="G658">
        <v>31468</v>
      </c>
      <c r="H658" t="s">
        <v>29</v>
      </c>
      <c r="I658" t="str" cm="1">
        <f t="array" ref="I658">_xlfn.IFS(G658=0,"Not Paid",G658=F658,"Fully Paid",G658&lt;F658,"Partially Paid")</f>
        <v>Partially Paid</v>
      </c>
      <c r="J658" t="str">
        <f t="shared" si="10"/>
        <v>NO</v>
      </c>
    </row>
    <row r="659" spans="1:10" x14ac:dyDescent="0.35">
      <c r="A659">
        <v>2658</v>
      </c>
      <c r="B659" t="s">
        <v>690</v>
      </c>
      <c r="C659" t="s">
        <v>24</v>
      </c>
      <c r="D659" t="s">
        <v>14</v>
      </c>
      <c r="E659">
        <v>45774</v>
      </c>
      <c r="F659">
        <v>29256</v>
      </c>
      <c r="G659">
        <v>18318</v>
      </c>
      <c r="H659" t="s">
        <v>11</v>
      </c>
      <c r="I659" t="str" cm="1">
        <f t="array" ref="I659">_xlfn.IFS(G659=0,"Not Paid",G659=F659,"Fully Paid",G659&lt;F659,"Partially Paid")</f>
        <v>Partially Paid</v>
      </c>
      <c r="J659" t="str">
        <f t="shared" si="10"/>
        <v>NO</v>
      </c>
    </row>
    <row r="660" spans="1:10" x14ac:dyDescent="0.35">
      <c r="A660">
        <v>2659</v>
      </c>
      <c r="B660" t="s">
        <v>691</v>
      </c>
      <c r="C660" t="s">
        <v>17</v>
      </c>
      <c r="D660" t="s">
        <v>14</v>
      </c>
      <c r="E660">
        <v>46013</v>
      </c>
      <c r="F660">
        <v>40584</v>
      </c>
      <c r="G660">
        <v>35708</v>
      </c>
      <c r="H660" t="s">
        <v>25</v>
      </c>
      <c r="I660" t="str" cm="1">
        <f t="array" ref="I660">_xlfn.IFS(G660=0,"Not Paid",G660=F660,"Fully Paid",G660&lt;F660,"Partially Paid")</f>
        <v>Partially Paid</v>
      </c>
      <c r="J660" t="str">
        <f t="shared" si="10"/>
        <v>NO</v>
      </c>
    </row>
    <row r="661" spans="1:10" x14ac:dyDescent="0.35">
      <c r="A661">
        <v>2660</v>
      </c>
      <c r="B661" t="s">
        <v>692</v>
      </c>
      <c r="C661" t="s">
        <v>13</v>
      </c>
      <c r="D661" t="s">
        <v>21</v>
      </c>
      <c r="E661">
        <v>45849</v>
      </c>
      <c r="F661">
        <v>54681</v>
      </c>
      <c r="G661">
        <v>46579</v>
      </c>
      <c r="H661" t="s">
        <v>43</v>
      </c>
      <c r="I661" t="str" cm="1">
        <f t="array" ref="I661">_xlfn.IFS(G661=0,"Not Paid",G661=F661,"Fully Paid",G661&lt;F661,"Partially Paid")</f>
        <v>Partially Paid</v>
      </c>
      <c r="J661" t="str">
        <f t="shared" si="10"/>
        <v>YES</v>
      </c>
    </row>
    <row r="662" spans="1:10" x14ac:dyDescent="0.35">
      <c r="A662">
        <v>2661</v>
      </c>
      <c r="B662" t="s">
        <v>693</v>
      </c>
      <c r="C662" t="s">
        <v>56</v>
      </c>
      <c r="D662" t="s">
        <v>18</v>
      </c>
      <c r="E662">
        <v>45676</v>
      </c>
      <c r="F662">
        <v>45792</v>
      </c>
      <c r="G662">
        <v>36080</v>
      </c>
      <c r="H662" t="s">
        <v>15</v>
      </c>
      <c r="I662" t="str" cm="1">
        <f t="array" ref="I662">_xlfn.IFS(G662=0,"Not Paid",G662=F662,"Fully Paid",G662&lt;F662,"Partially Paid")</f>
        <v>Partially Paid</v>
      </c>
      <c r="J662" t="str">
        <f t="shared" si="10"/>
        <v>NO</v>
      </c>
    </row>
    <row r="663" spans="1:10" x14ac:dyDescent="0.35">
      <c r="A663">
        <v>2662</v>
      </c>
      <c r="B663" t="s">
        <v>694</v>
      </c>
      <c r="C663" t="s">
        <v>17</v>
      </c>
      <c r="D663" t="s">
        <v>37</v>
      </c>
      <c r="E663">
        <v>45830</v>
      </c>
      <c r="F663">
        <v>41904</v>
      </c>
      <c r="G663">
        <v>33557</v>
      </c>
      <c r="H663" t="s">
        <v>67</v>
      </c>
      <c r="I663" t="str" cm="1">
        <f t="array" ref="I663">_xlfn.IFS(G663=0,"Not Paid",G663=F663,"Fully Paid",G663&lt;F663,"Partially Paid")</f>
        <v>Partially Paid</v>
      </c>
      <c r="J663" t="str">
        <f t="shared" si="10"/>
        <v>NO</v>
      </c>
    </row>
    <row r="664" spans="1:10" x14ac:dyDescent="0.35">
      <c r="A664">
        <v>2663</v>
      </c>
      <c r="B664" t="s">
        <v>695</v>
      </c>
      <c r="C664" t="s">
        <v>17</v>
      </c>
      <c r="D664" t="s">
        <v>14</v>
      </c>
      <c r="E664">
        <v>45885</v>
      </c>
      <c r="F664">
        <v>54540</v>
      </c>
      <c r="G664">
        <v>48948</v>
      </c>
      <c r="H664" t="s">
        <v>38</v>
      </c>
      <c r="I664" t="str" cm="1">
        <f t="array" ref="I664">_xlfn.IFS(G664=0,"Not Paid",G664=F664,"Fully Paid",G664&lt;F664,"Partially Paid")</f>
        <v>Partially Paid</v>
      </c>
      <c r="J664" t="str">
        <f t="shared" si="10"/>
        <v>YES</v>
      </c>
    </row>
    <row r="665" spans="1:10" x14ac:dyDescent="0.35">
      <c r="A665">
        <v>2664</v>
      </c>
      <c r="B665" t="s">
        <v>696</v>
      </c>
      <c r="C665" t="s">
        <v>56</v>
      </c>
      <c r="D665" t="s">
        <v>37</v>
      </c>
      <c r="E665">
        <v>46007</v>
      </c>
      <c r="F665">
        <v>46536</v>
      </c>
      <c r="G665">
        <v>44812</v>
      </c>
      <c r="H665" t="s">
        <v>25</v>
      </c>
      <c r="I665" t="str" cm="1">
        <f t="array" ref="I665">_xlfn.IFS(G665=0,"Not Paid",G665=F665,"Fully Paid",G665&lt;F665,"Partially Paid")</f>
        <v>Partially Paid</v>
      </c>
      <c r="J665" t="str">
        <f t="shared" si="10"/>
        <v>NO</v>
      </c>
    </row>
    <row r="666" spans="1:10" x14ac:dyDescent="0.35">
      <c r="A666">
        <v>2665</v>
      </c>
      <c r="B666" t="s">
        <v>697</v>
      </c>
      <c r="C666" t="s">
        <v>13</v>
      </c>
      <c r="D666" t="s">
        <v>10</v>
      </c>
      <c r="E666">
        <v>45840</v>
      </c>
      <c r="F666">
        <v>39164</v>
      </c>
      <c r="G666">
        <v>35821</v>
      </c>
      <c r="H666" t="s">
        <v>43</v>
      </c>
      <c r="I666" t="str" cm="1">
        <f t="array" ref="I666">_xlfn.IFS(G666=0,"Not Paid",G666=F666,"Fully Paid",G666&lt;F666,"Partially Paid")</f>
        <v>Partially Paid</v>
      </c>
      <c r="J666" t="str">
        <f t="shared" si="10"/>
        <v>NO</v>
      </c>
    </row>
    <row r="667" spans="1:10" x14ac:dyDescent="0.35">
      <c r="A667">
        <v>2666</v>
      </c>
      <c r="B667" t="s">
        <v>698</v>
      </c>
      <c r="C667" t="s">
        <v>33</v>
      </c>
      <c r="D667" t="s">
        <v>21</v>
      </c>
      <c r="E667">
        <v>45770</v>
      </c>
      <c r="F667">
        <v>32996</v>
      </c>
      <c r="G667">
        <v>32110</v>
      </c>
      <c r="H667" t="s">
        <v>11</v>
      </c>
      <c r="I667" t="str" cm="1">
        <f t="array" ref="I667">_xlfn.IFS(G667=0,"Not Paid",G667=F667,"Fully Paid",G667&lt;F667,"Partially Paid")</f>
        <v>Partially Paid</v>
      </c>
      <c r="J667" t="str">
        <f t="shared" si="10"/>
        <v>NO</v>
      </c>
    </row>
    <row r="668" spans="1:10" x14ac:dyDescent="0.35">
      <c r="A668">
        <v>2667</v>
      </c>
      <c r="B668" t="s">
        <v>699</v>
      </c>
      <c r="C668" t="s">
        <v>17</v>
      </c>
      <c r="D668" t="s">
        <v>10</v>
      </c>
      <c r="E668">
        <v>45840</v>
      </c>
      <c r="F668">
        <v>22871</v>
      </c>
      <c r="G668">
        <v>11606</v>
      </c>
      <c r="H668" t="s">
        <v>43</v>
      </c>
      <c r="I668" t="str" cm="1">
        <f t="array" ref="I668">_xlfn.IFS(G668=0,"Not Paid",G668=F668,"Fully Paid",G668&lt;F668,"Partially Paid")</f>
        <v>Partially Paid</v>
      </c>
      <c r="J668" t="str">
        <f t="shared" si="10"/>
        <v>NO</v>
      </c>
    </row>
    <row r="669" spans="1:10" x14ac:dyDescent="0.35">
      <c r="A669">
        <v>2668</v>
      </c>
      <c r="B669" t="s">
        <v>700</v>
      </c>
      <c r="C669" t="s">
        <v>56</v>
      </c>
      <c r="D669" t="s">
        <v>37</v>
      </c>
      <c r="E669">
        <v>45803</v>
      </c>
      <c r="F669">
        <v>42626</v>
      </c>
      <c r="G669">
        <v>31629</v>
      </c>
      <c r="H669" t="s">
        <v>31</v>
      </c>
      <c r="I669" t="str" cm="1">
        <f t="array" ref="I669">_xlfn.IFS(G669=0,"Not Paid",G669=F669,"Fully Paid",G669&lt;F669,"Partially Paid")</f>
        <v>Partially Paid</v>
      </c>
      <c r="J669" t="str">
        <f t="shared" si="10"/>
        <v>NO</v>
      </c>
    </row>
    <row r="670" spans="1:10" x14ac:dyDescent="0.35">
      <c r="A670">
        <v>2669</v>
      </c>
      <c r="B670" t="s">
        <v>701</v>
      </c>
      <c r="C670" t="s">
        <v>24</v>
      </c>
      <c r="D670" t="s">
        <v>37</v>
      </c>
      <c r="E670">
        <v>45976</v>
      </c>
      <c r="F670">
        <v>30521</v>
      </c>
      <c r="G670">
        <v>29800</v>
      </c>
      <c r="H670" t="s">
        <v>29</v>
      </c>
      <c r="I670" t="str" cm="1">
        <f t="array" ref="I670">_xlfn.IFS(G670=0,"Not Paid",G670=F670,"Fully Paid",G670&lt;F670,"Partially Paid")</f>
        <v>Partially Paid</v>
      </c>
      <c r="J670" t="str">
        <f t="shared" si="10"/>
        <v>NO</v>
      </c>
    </row>
    <row r="671" spans="1:10" x14ac:dyDescent="0.35">
      <c r="A671">
        <v>2670</v>
      </c>
      <c r="B671" t="s">
        <v>702</v>
      </c>
      <c r="C671" t="s">
        <v>56</v>
      </c>
      <c r="D671" t="s">
        <v>18</v>
      </c>
      <c r="E671">
        <v>45773</v>
      </c>
      <c r="F671">
        <v>21132</v>
      </c>
      <c r="G671">
        <v>13454</v>
      </c>
      <c r="H671" t="s">
        <v>11</v>
      </c>
      <c r="I671" t="str" cm="1">
        <f t="array" ref="I671">_xlfn.IFS(G671=0,"Not Paid",G671=F671,"Fully Paid",G671&lt;F671,"Partially Paid")</f>
        <v>Partially Paid</v>
      </c>
      <c r="J671" t="str">
        <f t="shared" si="10"/>
        <v>NO</v>
      </c>
    </row>
    <row r="672" spans="1:10" x14ac:dyDescent="0.35">
      <c r="A672">
        <v>2671</v>
      </c>
      <c r="B672" t="s">
        <v>703</v>
      </c>
      <c r="C672" t="s">
        <v>24</v>
      </c>
      <c r="D672" t="s">
        <v>14</v>
      </c>
      <c r="E672">
        <v>45770</v>
      </c>
      <c r="F672">
        <v>53467</v>
      </c>
      <c r="G672">
        <v>44363</v>
      </c>
      <c r="H672" t="s">
        <v>11</v>
      </c>
      <c r="I672" t="str" cm="1">
        <f t="array" ref="I672">_xlfn.IFS(G672=0,"Not Paid",G672=F672,"Fully Paid",G672&lt;F672,"Partially Paid")</f>
        <v>Partially Paid</v>
      </c>
      <c r="J672" t="str">
        <f t="shared" si="10"/>
        <v>YES</v>
      </c>
    </row>
    <row r="673" spans="1:10" x14ac:dyDescent="0.35">
      <c r="A673">
        <v>2672</v>
      </c>
      <c r="B673" t="s">
        <v>704</v>
      </c>
      <c r="C673" t="s">
        <v>13</v>
      </c>
      <c r="D673" t="s">
        <v>14</v>
      </c>
      <c r="E673">
        <v>45908</v>
      </c>
      <c r="F673">
        <v>34534</v>
      </c>
      <c r="G673">
        <v>31177</v>
      </c>
      <c r="H673" t="s">
        <v>53</v>
      </c>
      <c r="I673" t="str" cm="1">
        <f t="array" ref="I673">_xlfn.IFS(G673=0,"Not Paid",G673=F673,"Fully Paid",G673&lt;F673,"Partially Paid")</f>
        <v>Partially Paid</v>
      </c>
      <c r="J673" t="str">
        <f t="shared" si="10"/>
        <v>NO</v>
      </c>
    </row>
    <row r="674" spans="1:10" x14ac:dyDescent="0.35">
      <c r="A674">
        <v>2673</v>
      </c>
      <c r="B674" t="s">
        <v>705</v>
      </c>
      <c r="C674" t="s">
        <v>33</v>
      </c>
      <c r="D674" t="s">
        <v>10</v>
      </c>
      <c r="E674">
        <v>45908</v>
      </c>
      <c r="F674">
        <v>43854</v>
      </c>
      <c r="G674">
        <v>42984</v>
      </c>
      <c r="H674" t="s">
        <v>53</v>
      </c>
      <c r="I674" t="str" cm="1">
        <f t="array" ref="I674">_xlfn.IFS(G674=0,"Not Paid",G674=F674,"Fully Paid",G674&lt;F674,"Partially Paid")</f>
        <v>Partially Paid</v>
      </c>
      <c r="J674" t="str">
        <f t="shared" si="10"/>
        <v>NO</v>
      </c>
    </row>
    <row r="675" spans="1:10" x14ac:dyDescent="0.35">
      <c r="A675">
        <v>2674</v>
      </c>
      <c r="B675" t="s">
        <v>706</v>
      </c>
      <c r="C675" t="s">
        <v>56</v>
      </c>
      <c r="D675" t="s">
        <v>21</v>
      </c>
      <c r="E675">
        <v>45960</v>
      </c>
      <c r="F675">
        <v>59065</v>
      </c>
      <c r="G675">
        <v>46765</v>
      </c>
      <c r="H675" t="s">
        <v>22</v>
      </c>
      <c r="I675" t="str" cm="1">
        <f t="array" ref="I675">_xlfn.IFS(G675=0,"Not Paid",G675=F675,"Fully Paid",G675&lt;F675,"Partially Paid")</f>
        <v>Partially Paid</v>
      </c>
      <c r="J675" t="str">
        <f t="shared" si="10"/>
        <v>YES</v>
      </c>
    </row>
    <row r="676" spans="1:10" x14ac:dyDescent="0.35">
      <c r="A676">
        <v>2675</v>
      </c>
      <c r="B676" t="s">
        <v>707</v>
      </c>
      <c r="C676" t="s">
        <v>9</v>
      </c>
      <c r="D676" t="s">
        <v>27</v>
      </c>
      <c r="E676">
        <v>45970</v>
      </c>
      <c r="F676">
        <v>27812</v>
      </c>
      <c r="G676">
        <v>21061</v>
      </c>
      <c r="H676" t="s">
        <v>29</v>
      </c>
      <c r="I676" t="str" cm="1">
        <f t="array" ref="I676">_xlfn.IFS(G676=0,"Not Paid",G676=F676,"Fully Paid",G676&lt;F676,"Partially Paid")</f>
        <v>Partially Paid</v>
      </c>
      <c r="J676" t="str">
        <f t="shared" si="10"/>
        <v>NO</v>
      </c>
    </row>
    <row r="677" spans="1:10" x14ac:dyDescent="0.35">
      <c r="A677">
        <v>2676</v>
      </c>
      <c r="B677" t="s">
        <v>708</v>
      </c>
      <c r="C677" t="s">
        <v>9</v>
      </c>
      <c r="D677" t="s">
        <v>14</v>
      </c>
      <c r="E677">
        <v>45775</v>
      </c>
      <c r="F677">
        <v>24557</v>
      </c>
      <c r="G677">
        <v>24060</v>
      </c>
      <c r="H677" t="s">
        <v>11</v>
      </c>
      <c r="I677" t="str" cm="1">
        <f t="array" ref="I677">_xlfn.IFS(G677=0,"Not Paid",G677=F677,"Fully Paid",G677&lt;F677,"Partially Paid")</f>
        <v>Partially Paid</v>
      </c>
      <c r="J677" t="str">
        <f t="shared" si="10"/>
        <v>NO</v>
      </c>
    </row>
    <row r="678" spans="1:10" x14ac:dyDescent="0.35">
      <c r="A678">
        <v>2677</v>
      </c>
      <c r="B678" t="s">
        <v>709</v>
      </c>
      <c r="C678" t="s">
        <v>45</v>
      </c>
      <c r="D678" t="s">
        <v>18</v>
      </c>
      <c r="E678">
        <v>45958</v>
      </c>
      <c r="F678">
        <v>22179</v>
      </c>
      <c r="G678">
        <v>20423</v>
      </c>
      <c r="H678" t="s">
        <v>22</v>
      </c>
      <c r="I678" t="str" cm="1">
        <f t="array" ref="I678">_xlfn.IFS(G678=0,"Not Paid",G678=F678,"Fully Paid",G678&lt;F678,"Partially Paid")</f>
        <v>Partially Paid</v>
      </c>
      <c r="J678" t="str">
        <f t="shared" si="10"/>
        <v>NO</v>
      </c>
    </row>
    <row r="679" spans="1:10" x14ac:dyDescent="0.35">
      <c r="A679">
        <v>2678</v>
      </c>
      <c r="B679" t="s">
        <v>710</v>
      </c>
      <c r="C679" t="s">
        <v>17</v>
      </c>
      <c r="D679" t="s">
        <v>10</v>
      </c>
      <c r="E679">
        <v>45818</v>
      </c>
      <c r="F679">
        <v>29065</v>
      </c>
      <c r="G679">
        <v>14492</v>
      </c>
      <c r="H679" t="s">
        <v>67</v>
      </c>
      <c r="I679" t="str" cm="1">
        <f t="array" ref="I679">_xlfn.IFS(G679=0,"Not Paid",G679=F679,"Fully Paid",G679&lt;F679,"Partially Paid")</f>
        <v>Partially Paid</v>
      </c>
      <c r="J679" t="str">
        <f t="shared" si="10"/>
        <v>NO</v>
      </c>
    </row>
    <row r="680" spans="1:10" x14ac:dyDescent="0.35">
      <c r="A680">
        <v>2679</v>
      </c>
      <c r="B680" t="s">
        <v>711</v>
      </c>
      <c r="C680" t="s">
        <v>13</v>
      </c>
      <c r="D680" t="s">
        <v>10</v>
      </c>
      <c r="E680">
        <v>45855</v>
      </c>
      <c r="F680">
        <v>28275</v>
      </c>
      <c r="G680">
        <v>27158</v>
      </c>
      <c r="H680" t="s">
        <v>43</v>
      </c>
      <c r="I680" t="str" cm="1">
        <f t="array" ref="I680">_xlfn.IFS(G680=0,"Not Paid",G680=F680,"Fully Paid",G680&lt;F680,"Partially Paid")</f>
        <v>Partially Paid</v>
      </c>
      <c r="J680" t="str">
        <f t="shared" si="10"/>
        <v>NO</v>
      </c>
    </row>
    <row r="681" spans="1:10" x14ac:dyDescent="0.35">
      <c r="A681">
        <v>2680</v>
      </c>
      <c r="B681" t="s">
        <v>712</v>
      </c>
      <c r="C681" t="s">
        <v>56</v>
      </c>
      <c r="D681" t="s">
        <v>27</v>
      </c>
      <c r="E681">
        <v>45917</v>
      </c>
      <c r="F681">
        <v>55948</v>
      </c>
      <c r="G681">
        <v>44347</v>
      </c>
      <c r="H681" t="s">
        <v>53</v>
      </c>
      <c r="I681" t="str" cm="1">
        <f t="array" ref="I681">_xlfn.IFS(G681=0,"Not Paid",G681=F681,"Fully Paid",G681&lt;F681,"Partially Paid")</f>
        <v>Partially Paid</v>
      </c>
      <c r="J681" t="str">
        <f t="shared" si="10"/>
        <v>YES</v>
      </c>
    </row>
    <row r="682" spans="1:10" x14ac:dyDescent="0.35">
      <c r="A682">
        <v>2681</v>
      </c>
      <c r="B682" t="s">
        <v>713</v>
      </c>
      <c r="C682" t="s">
        <v>9</v>
      </c>
      <c r="D682" t="s">
        <v>18</v>
      </c>
      <c r="E682">
        <v>45805</v>
      </c>
      <c r="F682">
        <v>40700</v>
      </c>
      <c r="G682">
        <v>37872</v>
      </c>
      <c r="H682" t="s">
        <v>31</v>
      </c>
      <c r="I682" t="str" cm="1">
        <f t="array" ref="I682">_xlfn.IFS(G682=0,"Not Paid",G682=F682,"Fully Paid",G682&lt;F682,"Partially Paid")</f>
        <v>Partially Paid</v>
      </c>
      <c r="J682" t="str">
        <f t="shared" si="10"/>
        <v>NO</v>
      </c>
    </row>
    <row r="683" spans="1:10" x14ac:dyDescent="0.35">
      <c r="A683">
        <v>2682</v>
      </c>
      <c r="B683" t="s">
        <v>714</v>
      </c>
      <c r="C683" t="s">
        <v>17</v>
      </c>
      <c r="D683" t="s">
        <v>21</v>
      </c>
      <c r="E683">
        <v>45897</v>
      </c>
      <c r="F683">
        <v>59464</v>
      </c>
      <c r="G683">
        <v>45982</v>
      </c>
      <c r="H683" t="s">
        <v>38</v>
      </c>
      <c r="I683" t="str" cm="1">
        <f t="array" ref="I683">_xlfn.IFS(G683=0,"Not Paid",G683=F683,"Fully Paid",G683&lt;F683,"Partially Paid")</f>
        <v>Partially Paid</v>
      </c>
      <c r="J683" t="str">
        <f t="shared" si="10"/>
        <v>YES</v>
      </c>
    </row>
    <row r="684" spans="1:10" x14ac:dyDescent="0.35">
      <c r="A684">
        <v>2683</v>
      </c>
      <c r="B684" t="s">
        <v>715</v>
      </c>
      <c r="C684" t="s">
        <v>9</v>
      </c>
      <c r="D684" t="s">
        <v>18</v>
      </c>
      <c r="E684">
        <v>45704</v>
      </c>
      <c r="F684">
        <v>47794</v>
      </c>
      <c r="G684">
        <v>33502</v>
      </c>
      <c r="H684" t="s">
        <v>77</v>
      </c>
      <c r="I684" t="str" cm="1">
        <f t="array" ref="I684">_xlfn.IFS(G684=0,"Not Paid",G684=F684,"Fully Paid",G684&lt;F684,"Partially Paid")</f>
        <v>Partially Paid</v>
      </c>
      <c r="J684" t="str">
        <f t="shared" si="10"/>
        <v>NO</v>
      </c>
    </row>
    <row r="685" spans="1:10" x14ac:dyDescent="0.35">
      <c r="A685">
        <v>2684</v>
      </c>
      <c r="B685" t="s">
        <v>716</v>
      </c>
      <c r="C685" t="s">
        <v>56</v>
      </c>
      <c r="D685" t="s">
        <v>21</v>
      </c>
      <c r="E685">
        <v>45855</v>
      </c>
      <c r="F685">
        <v>48783</v>
      </c>
      <c r="G685">
        <v>33842</v>
      </c>
      <c r="H685" t="s">
        <v>43</v>
      </c>
      <c r="I685" t="str" cm="1">
        <f t="array" ref="I685">_xlfn.IFS(G685=0,"Not Paid",G685=F685,"Fully Paid",G685&lt;F685,"Partially Paid")</f>
        <v>Partially Paid</v>
      </c>
      <c r="J685" t="str">
        <f t="shared" si="10"/>
        <v>NO</v>
      </c>
    </row>
    <row r="686" spans="1:10" x14ac:dyDescent="0.35">
      <c r="A686">
        <v>2685</v>
      </c>
      <c r="B686" t="s">
        <v>717</v>
      </c>
      <c r="C686" t="s">
        <v>24</v>
      </c>
      <c r="D686" t="s">
        <v>18</v>
      </c>
      <c r="E686">
        <v>45704</v>
      </c>
      <c r="F686">
        <v>36998</v>
      </c>
      <c r="G686">
        <v>22002</v>
      </c>
      <c r="H686" t="s">
        <v>77</v>
      </c>
      <c r="I686" t="str" cm="1">
        <f t="array" ref="I686">_xlfn.IFS(G686=0,"Not Paid",G686=F686,"Fully Paid",G686&lt;F686,"Partially Paid")</f>
        <v>Partially Paid</v>
      </c>
      <c r="J686" t="str">
        <f t="shared" si="10"/>
        <v>NO</v>
      </c>
    </row>
    <row r="687" spans="1:10" x14ac:dyDescent="0.35">
      <c r="A687">
        <v>2686</v>
      </c>
      <c r="B687" t="s">
        <v>718</v>
      </c>
      <c r="C687" t="s">
        <v>56</v>
      </c>
      <c r="D687" t="s">
        <v>18</v>
      </c>
      <c r="E687">
        <v>45735</v>
      </c>
      <c r="F687">
        <v>33869</v>
      </c>
      <c r="G687">
        <v>32222</v>
      </c>
      <c r="H687" t="s">
        <v>19</v>
      </c>
      <c r="I687" t="str" cm="1">
        <f t="array" ref="I687">_xlfn.IFS(G687=0,"Not Paid",G687=F687,"Fully Paid",G687&lt;F687,"Partially Paid")</f>
        <v>Partially Paid</v>
      </c>
      <c r="J687" t="str">
        <f t="shared" si="10"/>
        <v>NO</v>
      </c>
    </row>
    <row r="688" spans="1:10" x14ac:dyDescent="0.35">
      <c r="A688">
        <v>2687</v>
      </c>
      <c r="B688" t="s">
        <v>719</v>
      </c>
      <c r="C688" t="s">
        <v>45</v>
      </c>
      <c r="D688" t="s">
        <v>37</v>
      </c>
      <c r="E688">
        <v>45781</v>
      </c>
      <c r="F688">
        <v>48152</v>
      </c>
      <c r="G688">
        <v>34274</v>
      </c>
      <c r="H688" t="s">
        <v>31</v>
      </c>
      <c r="I688" t="str" cm="1">
        <f t="array" ref="I688">_xlfn.IFS(G688=0,"Not Paid",G688=F688,"Fully Paid",G688&lt;F688,"Partially Paid")</f>
        <v>Partially Paid</v>
      </c>
      <c r="J688" t="str">
        <f t="shared" si="10"/>
        <v>NO</v>
      </c>
    </row>
    <row r="689" spans="1:10" x14ac:dyDescent="0.35">
      <c r="A689">
        <v>2688</v>
      </c>
      <c r="B689" t="s">
        <v>720</v>
      </c>
      <c r="C689" t="s">
        <v>56</v>
      </c>
      <c r="D689" t="s">
        <v>10</v>
      </c>
      <c r="E689">
        <v>45732</v>
      </c>
      <c r="F689">
        <v>40954</v>
      </c>
      <c r="G689">
        <v>33962</v>
      </c>
      <c r="H689" t="s">
        <v>19</v>
      </c>
      <c r="I689" t="str" cm="1">
        <f t="array" ref="I689">_xlfn.IFS(G689=0,"Not Paid",G689=F689,"Fully Paid",G689&lt;F689,"Partially Paid")</f>
        <v>Partially Paid</v>
      </c>
      <c r="J689" t="str">
        <f t="shared" si="10"/>
        <v>NO</v>
      </c>
    </row>
    <row r="690" spans="1:10" x14ac:dyDescent="0.35">
      <c r="A690">
        <v>2689</v>
      </c>
      <c r="B690" t="s">
        <v>721</v>
      </c>
      <c r="C690" t="s">
        <v>56</v>
      </c>
      <c r="D690" t="s">
        <v>18</v>
      </c>
      <c r="E690">
        <v>46016</v>
      </c>
      <c r="F690">
        <v>51555</v>
      </c>
      <c r="G690">
        <v>40380</v>
      </c>
      <c r="H690" t="s">
        <v>25</v>
      </c>
      <c r="I690" t="str" cm="1">
        <f t="array" ref="I690">_xlfn.IFS(G690=0,"Not Paid",G690=F690,"Fully Paid",G690&lt;F690,"Partially Paid")</f>
        <v>Partially Paid</v>
      </c>
      <c r="J690" t="str">
        <f t="shared" si="10"/>
        <v>YES</v>
      </c>
    </row>
    <row r="691" spans="1:10" x14ac:dyDescent="0.35">
      <c r="A691">
        <v>2690</v>
      </c>
      <c r="B691" t="s">
        <v>722</v>
      </c>
      <c r="C691" t="s">
        <v>45</v>
      </c>
      <c r="D691" t="s">
        <v>27</v>
      </c>
      <c r="E691">
        <v>45794</v>
      </c>
      <c r="F691">
        <v>36654</v>
      </c>
      <c r="G691">
        <v>22876</v>
      </c>
      <c r="H691" t="s">
        <v>31</v>
      </c>
      <c r="I691" t="str" cm="1">
        <f t="array" ref="I691">_xlfn.IFS(G691=0,"Not Paid",G691=F691,"Fully Paid",G691&lt;F691,"Partially Paid")</f>
        <v>Partially Paid</v>
      </c>
      <c r="J691" t="str">
        <f t="shared" si="10"/>
        <v>NO</v>
      </c>
    </row>
    <row r="692" spans="1:10" x14ac:dyDescent="0.35">
      <c r="A692">
        <v>2691</v>
      </c>
      <c r="B692" t="s">
        <v>723</v>
      </c>
      <c r="C692" t="s">
        <v>13</v>
      </c>
      <c r="D692" t="s">
        <v>18</v>
      </c>
      <c r="E692">
        <v>45747</v>
      </c>
      <c r="F692">
        <v>55236</v>
      </c>
      <c r="G692">
        <v>48465</v>
      </c>
      <c r="H692" t="s">
        <v>19</v>
      </c>
      <c r="I692" t="str" cm="1">
        <f t="array" ref="I692">_xlfn.IFS(G692=0,"Not Paid",G692=F692,"Fully Paid",G692&lt;F692,"Partially Paid")</f>
        <v>Partially Paid</v>
      </c>
      <c r="J692" t="str">
        <f t="shared" si="10"/>
        <v>YES</v>
      </c>
    </row>
    <row r="693" spans="1:10" x14ac:dyDescent="0.35">
      <c r="A693">
        <v>2692</v>
      </c>
      <c r="B693" t="s">
        <v>724</v>
      </c>
      <c r="C693" t="s">
        <v>56</v>
      </c>
      <c r="D693" t="s">
        <v>14</v>
      </c>
      <c r="E693">
        <v>45982</v>
      </c>
      <c r="F693">
        <v>35042</v>
      </c>
      <c r="G693">
        <v>34900</v>
      </c>
      <c r="H693" t="s">
        <v>29</v>
      </c>
      <c r="I693" t="str" cm="1">
        <f t="array" ref="I693">_xlfn.IFS(G693=0,"Not Paid",G693=F693,"Fully Paid",G693&lt;F693,"Partially Paid")</f>
        <v>Partially Paid</v>
      </c>
      <c r="J693" t="str">
        <f t="shared" si="10"/>
        <v>NO</v>
      </c>
    </row>
    <row r="694" spans="1:10" x14ac:dyDescent="0.35">
      <c r="A694">
        <v>2693</v>
      </c>
      <c r="B694" t="s">
        <v>725</v>
      </c>
      <c r="C694" t="s">
        <v>45</v>
      </c>
      <c r="D694" t="s">
        <v>10</v>
      </c>
      <c r="E694">
        <v>45718</v>
      </c>
      <c r="F694">
        <v>45966</v>
      </c>
      <c r="G694">
        <v>32454</v>
      </c>
      <c r="H694" t="s">
        <v>19</v>
      </c>
      <c r="I694" t="str" cm="1">
        <f t="array" ref="I694">_xlfn.IFS(G694=0,"Not Paid",G694=F694,"Fully Paid",G694&lt;F694,"Partially Paid")</f>
        <v>Partially Paid</v>
      </c>
      <c r="J694" t="str">
        <f t="shared" si="10"/>
        <v>NO</v>
      </c>
    </row>
    <row r="695" spans="1:10" x14ac:dyDescent="0.35">
      <c r="A695">
        <v>2694</v>
      </c>
      <c r="B695" t="s">
        <v>726</v>
      </c>
      <c r="C695" t="s">
        <v>17</v>
      </c>
      <c r="D695" t="s">
        <v>14</v>
      </c>
      <c r="E695">
        <v>45795</v>
      </c>
      <c r="F695">
        <v>34270</v>
      </c>
      <c r="G695">
        <v>31509</v>
      </c>
      <c r="H695" t="s">
        <v>31</v>
      </c>
      <c r="I695" t="str" cm="1">
        <f t="array" ref="I695">_xlfn.IFS(G695=0,"Not Paid",G695=F695,"Fully Paid",G695&lt;F695,"Partially Paid")</f>
        <v>Partially Paid</v>
      </c>
      <c r="J695" t="str">
        <f t="shared" si="10"/>
        <v>NO</v>
      </c>
    </row>
    <row r="696" spans="1:10" x14ac:dyDescent="0.35">
      <c r="A696">
        <v>2695</v>
      </c>
      <c r="B696" t="s">
        <v>727</v>
      </c>
      <c r="C696" t="s">
        <v>24</v>
      </c>
      <c r="D696" t="s">
        <v>10</v>
      </c>
      <c r="E696">
        <v>45707</v>
      </c>
      <c r="F696">
        <v>50908</v>
      </c>
      <c r="G696">
        <v>47473</v>
      </c>
      <c r="H696" t="s">
        <v>77</v>
      </c>
      <c r="I696" t="str" cm="1">
        <f t="array" ref="I696">_xlfn.IFS(G696=0,"Not Paid",G696=F696,"Fully Paid",G696&lt;F696,"Partially Paid")</f>
        <v>Partially Paid</v>
      </c>
      <c r="J696" t="str">
        <f t="shared" si="10"/>
        <v>YES</v>
      </c>
    </row>
    <row r="697" spans="1:10" x14ac:dyDescent="0.35">
      <c r="A697">
        <v>2696</v>
      </c>
      <c r="B697" t="s">
        <v>728</v>
      </c>
      <c r="C697" t="s">
        <v>24</v>
      </c>
      <c r="D697" t="s">
        <v>14</v>
      </c>
      <c r="E697">
        <v>45916</v>
      </c>
      <c r="F697">
        <v>35523</v>
      </c>
      <c r="G697">
        <v>28901</v>
      </c>
      <c r="H697" t="s">
        <v>53</v>
      </c>
      <c r="I697" t="str" cm="1">
        <f t="array" ref="I697">_xlfn.IFS(G697=0,"Not Paid",G697=F697,"Fully Paid",G697&lt;F697,"Partially Paid")</f>
        <v>Partially Paid</v>
      </c>
      <c r="J697" t="str">
        <f t="shared" si="10"/>
        <v>NO</v>
      </c>
    </row>
    <row r="698" spans="1:10" x14ac:dyDescent="0.35">
      <c r="A698">
        <v>2697</v>
      </c>
      <c r="B698" t="s">
        <v>729</v>
      </c>
      <c r="C698" t="s">
        <v>56</v>
      </c>
      <c r="D698" t="s">
        <v>18</v>
      </c>
      <c r="E698">
        <v>45764</v>
      </c>
      <c r="F698">
        <v>39991</v>
      </c>
      <c r="G698">
        <v>27139</v>
      </c>
      <c r="H698" t="s">
        <v>11</v>
      </c>
      <c r="I698" t="str" cm="1">
        <f t="array" ref="I698">_xlfn.IFS(G698=0,"Not Paid",G698=F698,"Fully Paid",G698&lt;F698,"Partially Paid")</f>
        <v>Partially Paid</v>
      </c>
      <c r="J698" t="str">
        <f t="shared" si="10"/>
        <v>NO</v>
      </c>
    </row>
    <row r="699" spans="1:10" x14ac:dyDescent="0.35">
      <c r="A699">
        <v>2698</v>
      </c>
      <c r="B699" t="s">
        <v>730</v>
      </c>
      <c r="C699" t="s">
        <v>13</v>
      </c>
      <c r="D699" t="s">
        <v>18</v>
      </c>
      <c r="E699">
        <v>45770</v>
      </c>
      <c r="F699">
        <v>30775</v>
      </c>
      <c r="G699">
        <v>15969</v>
      </c>
      <c r="H699" t="s">
        <v>11</v>
      </c>
      <c r="I699" t="str" cm="1">
        <f t="array" ref="I699">_xlfn.IFS(G699=0,"Not Paid",G699=F699,"Fully Paid",G699&lt;F699,"Partially Paid")</f>
        <v>Partially Paid</v>
      </c>
      <c r="J699" t="str">
        <f t="shared" si="10"/>
        <v>NO</v>
      </c>
    </row>
    <row r="700" spans="1:10" x14ac:dyDescent="0.35">
      <c r="A700">
        <v>2699</v>
      </c>
      <c r="B700" t="s">
        <v>731</v>
      </c>
      <c r="C700" t="s">
        <v>13</v>
      </c>
      <c r="D700" t="s">
        <v>37</v>
      </c>
      <c r="E700">
        <v>46007</v>
      </c>
      <c r="F700">
        <v>32265</v>
      </c>
      <c r="G700">
        <v>21642</v>
      </c>
      <c r="H700" t="s">
        <v>25</v>
      </c>
      <c r="I700" t="str" cm="1">
        <f t="array" ref="I700">_xlfn.IFS(G700=0,"Not Paid",G700=F700,"Fully Paid",G700&lt;F700,"Partially Paid")</f>
        <v>Partially Paid</v>
      </c>
      <c r="J700" t="str">
        <f t="shared" si="10"/>
        <v>NO</v>
      </c>
    </row>
    <row r="701" spans="1:10" x14ac:dyDescent="0.35">
      <c r="A701">
        <v>2700</v>
      </c>
      <c r="B701" t="s">
        <v>732</v>
      </c>
      <c r="C701" t="s">
        <v>17</v>
      </c>
      <c r="D701" t="s">
        <v>27</v>
      </c>
      <c r="E701">
        <v>45911</v>
      </c>
      <c r="F701">
        <v>39459</v>
      </c>
      <c r="G701">
        <v>25456</v>
      </c>
      <c r="H701" t="s">
        <v>53</v>
      </c>
      <c r="I701" t="str" cm="1">
        <f t="array" ref="I701">_xlfn.IFS(G701=0,"Not Paid",G701=F701,"Fully Paid",G701&lt;F701,"Partially Paid")</f>
        <v>Partially Paid</v>
      </c>
      <c r="J701" t="str">
        <f t="shared" si="10"/>
        <v>NO</v>
      </c>
    </row>
    <row r="702" spans="1:10" x14ac:dyDescent="0.35">
      <c r="A702">
        <v>2701</v>
      </c>
      <c r="B702" t="s">
        <v>733</v>
      </c>
      <c r="C702" t="s">
        <v>56</v>
      </c>
      <c r="D702" t="s">
        <v>14</v>
      </c>
      <c r="E702">
        <v>45775</v>
      </c>
      <c r="F702">
        <v>36673</v>
      </c>
      <c r="G702">
        <v>29604</v>
      </c>
      <c r="H702" t="s">
        <v>11</v>
      </c>
      <c r="I702" t="str" cm="1">
        <f t="array" ref="I702">_xlfn.IFS(G702=0,"Not Paid",G702=F702,"Fully Paid",G702&lt;F702,"Partially Paid")</f>
        <v>Partially Paid</v>
      </c>
      <c r="J702" t="str">
        <f t="shared" si="10"/>
        <v>NO</v>
      </c>
    </row>
    <row r="703" spans="1:10" x14ac:dyDescent="0.35">
      <c r="A703">
        <v>2702</v>
      </c>
      <c r="B703" t="s">
        <v>734</v>
      </c>
      <c r="C703" t="s">
        <v>24</v>
      </c>
      <c r="D703" t="s">
        <v>21</v>
      </c>
      <c r="E703">
        <v>45855</v>
      </c>
      <c r="F703">
        <v>47056</v>
      </c>
      <c r="G703">
        <v>42544</v>
      </c>
      <c r="H703" t="s">
        <v>43</v>
      </c>
      <c r="I703" t="str" cm="1">
        <f t="array" ref="I703">_xlfn.IFS(G703=0,"Not Paid",G703=F703,"Fully Paid",G703&lt;F703,"Partially Paid")</f>
        <v>Partially Paid</v>
      </c>
      <c r="J703" t="str">
        <f t="shared" si="10"/>
        <v>NO</v>
      </c>
    </row>
    <row r="704" spans="1:10" x14ac:dyDescent="0.35">
      <c r="A704">
        <v>2703</v>
      </c>
      <c r="B704" t="s">
        <v>735</v>
      </c>
      <c r="C704" t="s">
        <v>13</v>
      </c>
      <c r="D704" t="s">
        <v>37</v>
      </c>
      <c r="E704">
        <v>45994</v>
      </c>
      <c r="F704">
        <v>26614</v>
      </c>
      <c r="G704">
        <v>24766</v>
      </c>
      <c r="H704" t="s">
        <v>25</v>
      </c>
      <c r="I704" t="str" cm="1">
        <f t="array" ref="I704">_xlfn.IFS(G704=0,"Not Paid",G704=F704,"Fully Paid",G704&lt;F704,"Partially Paid")</f>
        <v>Partially Paid</v>
      </c>
      <c r="J704" t="str">
        <f t="shared" si="10"/>
        <v>NO</v>
      </c>
    </row>
    <row r="705" spans="1:10" x14ac:dyDescent="0.35">
      <c r="A705">
        <v>2704</v>
      </c>
      <c r="B705" t="s">
        <v>736</v>
      </c>
      <c r="C705" t="s">
        <v>56</v>
      </c>
      <c r="D705" t="s">
        <v>14</v>
      </c>
      <c r="E705">
        <v>46022</v>
      </c>
      <c r="F705">
        <v>56020</v>
      </c>
      <c r="G705">
        <v>41377</v>
      </c>
      <c r="H705" t="s">
        <v>25</v>
      </c>
      <c r="I705" t="str" cm="1">
        <f t="array" ref="I705">_xlfn.IFS(G705=0,"Not Paid",G705=F705,"Fully Paid",G705&lt;F705,"Partially Paid")</f>
        <v>Partially Paid</v>
      </c>
      <c r="J705" t="str">
        <f t="shared" si="10"/>
        <v>YES</v>
      </c>
    </row>
    <row r="706" spans="1:10" x14ac:dyDescent="0.35">
      <c r="A706">
        <v>2705</v>
      </c>
      <c r="B706" t="s">
        <v>737</v>
      </c>
      <c r="C706" t="s">
        <v>9</v>
      </c>
      <c r="D706" t="s">
        <v>14</v>
      </c>
      <c r="E706">
        <v>45708</v>
      </c>
      <c r="F706">
        <v>27415</v>
      </c>
      <c r="G706">
        <v>24719</v>
      </c>
      <c r="H706" t="s">
        <v>77</v>
      </c>
      <c r="I706" t="str" cm="1">
        <f t="array" ref="I706">_xlfn.IFS(G706=0,"Not Paid",G706=F706,"Fully Paid",G706&lt;F706,"Partially Paid")</f>
        <v>Partially Paid</v>
      </c>
      <c r="J706" t="str">
        <f t="shared" si="10"/>
        <v>NO</v>
      </c>
    </row>
    <row r="707" spans="1:10" x14ac:dyDescent="0.35">
      <c r="A707">
        <v>2706</v>
      </c>
      <c r="B707" t="s">
        <v>738</v>
      </c>
      <c r="C707" t="s">
        <v>13</v>
      </c>
      <c r="D707" t="s">
        <v>37</v>
      </c>
      <c r="E707">
        <v>45902</v>
      </c>
      <c r="F707">
        <v>43155</v>
      </c>
      <c r="G707">
        <v>41438</v>
      </c>
      <c r="H707" t="s">
        <v>53</v>
      </c>
      <c r="I707" t="str" cm="1">
        <f t="array" ref="I707">_xlfn.IFS(G707=0,"Not Paid",G707=F707,"Fully Paid",G707&lt;F707,"Partially Paid")</f>
        <v>Partially Paid</v>
      </c>
      <c r="J707" t="str">
        <f t="shared" ref="J707:J770" si="11">IF(F707&gt;50000,"YES","NO")</f>
        <v>NO</v>
      </c>
    </row>
    <row r="708" spans="1:10" x14ac:dyDescent="0.35">
      <c r="A708">
        <v>2707</v>
      </c>
      <c r="B708" t="s">
        <v>739</v>
      </c>
      <c r="C708" t="s">
        <v>45</v>
      </c>
      <c r="D708" t="s">
        <v>18</v>
      </c>
      <c r="E708">
        <v>45692</v>
      </c>
      <c r="F708">
        <v>36964</v>
      </c>
      <c r="G708">
        <v>23286</v>
      </c>
      <c r="H708" t="s">
        <v>77</v>
      </c>
      <c r="I708" t="str" cm="1">
        <f t="array" ref="I708">_xlfn.IFS(G708=0,"Not Paid",G708=F708,"Fully Paid",G708&lt;F708,"Partially Paid")</f>
        <v>Partially Paid</v>
      </c>
      <c r="J708" t="str">
        <f t="shared" si="11"/>
        <v>NO</v>
      </c>
    </row>
    <row r="709" spans="1:10" x14ac:dyDescent="0.35">
      <c r="A709">
        <v>2708</v>
      </c>
      <c r="B709" t="s">
        <v>740</v>
      </c>
      <c r="C709" t="s">
        <v>9</v>
      </c>
      <c r="D709" t="s">
        <v>14</v>
      </c>
      <c r="E709">
        <v>45959</v>
      </c>
      <c r="F709">
        <v>57726</v>
      </c>
      <c r="G709">
        <v>54654</v>
      </c>
      <c r="H709" t="s">
        <v>22</v>
      </c>
      <c r="I709" t="str" cm="1">
        <f t="array" ref="I709">_xlfn.IFS(G709=0,"Not Paid",G709=F709,"Fully Paid",G709&lt;F709,"Partially Paid")</f>
        <v>Partially Paid</v>
      </c>
      <c r="J709" t="str">
        <f t="shared" si="11"/>
        <v>YES</v>
      </c>
    </row>
    <row r="710" spans="1:10" x14ac:dyDescent="0.35">
      <c r="A710">
        <v>2709</v>
      </c>
      <c r="B710" t="s">
        <v>741</v>
      </c>
      <c r="C710" t="s">
        <v>13</v>
      </c>
      <c r="D710" t="s">
        <v>18</v>
      </c>
      <c r="E710">
        <v>45726</v>
      </c>
      <c r="F710">
        <v>57044</v>
      </c>
      <c r="G710">
        <v>47785</v>
      </c>
      <c r="H710" t="s">
        <v>19</v>
      </c>
      <c r="I710" t="str" cm="1">
        <f t="array" ref="I710">_xlfn.IFS(G710=0,"Not Paid",G710=F710,"Fully Paid",G710&lt;F710,"Partially Paid")</f>
        <v>Partially Paid</v>
      </c>
      <c r="J710" t="str">
        <f t="shared" si="11"/>
        <v>YES</v>
      </c>
    </row>
    <row r="711" spans="1:10" x14ac:dyDescent="0.35">
      <c r="A711">
        <v>2710</v>
      </c>
      <c r="B711" t="s">
        <v>742</v>
      </c>
      <c r="C711" t="s">
        <v>24</v>
      </c>
      <c r="D711" t="s">
        <v>37</v>
      </c>
      <c r="E711">
        <v>46006</v>
      </c>
      <c r="F711">
        <v>57544</v>
      </c>
      <c r="G711">
        <v>54758</v>
      </c>
      <c r="H711" t="s">
        <v>25</v>
      </c>
      <c r="I711" t="str" cm="1">
        <f t="array" ref="I711">_xlfn.IFS(G711=0,"Not Paid",G711=F711,"Fully Paid",G711&lt;F711,"Partially Paid")</f>
        <v>Partially Paid</v>
      </c>
      <c r="J711" t="str">
        <f t="shared" si="11"/>
        <v>YES</v>
      </c>
    </row>
    <row r="712" spans="1:10" x14ac:dyDescent="0.35">
      <c r="A712">
        <v>2711</v>
      </c>
      <c r="B712" t="s">
        <v>743</v>
      </c>
      <c r="C712" t="s">
        <v>33</v>
      </c>
      <c r="D712" t="s">
        <v>18</v>
      </c>
      <c r="E712">
        <v>45977</v>
      </c>
      <c r="F712">
        <v>52252</v>
      </c>
      <c r="G712">
        <v>38098</v>
      </c>
      <c r="H712" t="s">
        <v>29</v>
      </c>
      <c r="I712" t="str" cm="1">
        <f t="array" ref="I712">_xlfn.IFS(G712=0,"Not Paid",G712=F712,"Fully Paid",G712&lt;F712,"Partially Paid")</f>
        <v>Partially Paid</v>
      </c>
      <c r="J712" t="str">
        <f t="shared" si="11"/>
        <v>YES</v>
      </c>
    </row>
    <row r="713" spans="1:10" x14ac:dyDescent="0.35">
      <c r="A713">
        <v>2712</v>
      </c>
      <c r="B713" t="s">
        <v>744</v>
      </c>
      <c r="C713" t="s">
        <v>9</v>
      </c>
      <c r="D713" t="s">
        <v>10</v>
      </c>
      <c r="E713">
        <v>45706</v>
      </c>
      <c r="F713">
        <v>23832</v>
      </c>
      <c r="G713">
        <v>10423</v>
      </c>
      <c r="H713" t="s">
        <v>77</v>
      </c>
      <c r="I713" t="str" cm="1">
        <f t="array" ref="I713">_xlfn.IFS(G713=0,"Not Paid",G713=F713,"Fully Paid",G713&lt;F713,"Partially Paid")</f>
        <v>Partially Paid</v>
      </c>
      <c r="J713" t="str">
        <f t="shared" si="11"/>
        <v>NO</v>
      </c>
    </row>
    <row r="714" spans="1:10" x14ac:dyDescent="0.35">
      <c r="A714">
        <v>2713</v>
      </c>
      <c r="B714" t="s">
        <v>745</v>
      </c>
      <c r="C714" t="s">
        <v>17</v>
      </c>
      <c r="D714" t="s">
        <v>21</v>
      </c>
      <c r="E714">
        <v>45731</v>
      </c>
      <c r="F714">
        <v>45275</v>
      </c>
      <c r="G714">
        <v>41484</v>
      </c>
      <c r="H714" t="s">
        <v>19</v>
      </c>
      <c r="I714" t="str" cm="1">
        <f t="array" ref="I714">_xlfn.IFS(G714=0,"Not Paid",G714=F714,"Fully Paid",G714&lt;F714,"Partially Paid")</f>
        <v>Partially Paid</v>
      </c>
      <c r="J714" t="str">
        <f t="shared" si="11"/>
        <v>NO</v>
      </c>
    </row>
    <row r="715" spans="1:10" x14ac:dyDescent="0.35">
      <c r="A715">
        <v>2714</v>
      </c>
      <c r="B715" t="s">
        <v>746</v>
      </c>
      <c r="C715" t="s">
        <v>17</v>
      </c>
      <c r="D715" t="s">
        <v>14</v>
      </c>
      <c r="E715">
        <v>45849</v>
      </c>
      <c r="F715">
        <v>34901</v>
      </c>
      <c r="G715">
        <v>25421</v>
      </c>
      <c r="H715" t="s">
        <v>43</v>
      </c>
      <c r="I715" t="str" cm="1">
        <f t="array" ref="I715">_xlfn.IFS(G715=0,"Not Paid",G715=F715,"Fully Paid",G715&lt;F715,"Partially Paid")</f>
        <v>Partially Paid</v>
      </c>
      <c r="J715" t="str">
        <f t="shared" si="11"/>
        <v>NO</v>
      </c>
    </row>
    <row r="716" spans="1:10" x14ac:dyDescent="0.35">
      <c r="A716">
        <v>2715</v>
      </c>
      <c r="B716" t="s">
        <v>747</v>
      </c>
      <c r="C716" t="s">
        <v>24</v>
      </c>
      <c r="D716" t="s">
        <v>27</v>
      </c>
      <c r="E716">
        <v>45918</v>
      </c>
      <c r="F716">
        <v>58213</v>
      </c>
      <c r="G716">
        <v>54342</v>
      </c>
      <c r="H716" t="s">
        <v>53</v>
      </c>
      <c r="I716" t="str" cm="1">
        <f t="array" ref="I716">_xlfn.IFS(G716=0,"Not Paid",G716=F716,"Fully Paid",G716&lt;F716,"Partially Paid")</f>
        <v>Partially Paid</v>
      </c>
      <c r="J716" t="str">
        <f t="shared" si="11"/>
        <v>YES</v>
      </c>
    </row>
    <row r="717" spans="1:10" x14ac:dyDescent="0.35">
      <c r="A717">
        <v>2716</v>
      </c>
      <c r="B717" t="s">
        <v>748</v>
      </c>
      <c r="C717" t="s">
        <v>13</v>
      </c>
      <c r="D717" t="s">
        <v>21</v>
      </c>
      <c r="E717">
        <v>46013</v>
      </c>
      <c r="F717">
        <v>54148</v>
      </c>
      <c r="G717">
        <v>52342</v>
      </c>
      <c r="H717" t="s">
        <v>25</v>
      </c>
      <c r="I717" t="str" cm="1">
        <f t="array" ref="I717">_xlfn.IFS(G717=0,"Not Paid",G717=F717,"Fully Paid",G717&lt;F717,"Partially Paid")</f>
        <v>Partially Paid</v>
      </c>
      <c r="J717" t="str">
        <f t="shared" si="11"/>
        <v>YES</v>
      </c>
    </row>
    <row r="718" spans="1:10" x14ac:dyDescent="0.35">
      <c r="A718">
        <v>2717</v>
      </c>
      <c r="B718" t="s">
        <v>749</v>
      </c>
      <c r="C718" t="s">
        <v>56</v>
      </c>
      <c r="D718" t="s">
        <v>18</v>
      </c>
      <c r="E718">
        <v>45727</v>
      </c>
      <c r="F718">
        <v>42918</v>
      </c>
      <c r="G718">
        <v>28443</v>
      </c>
      <c r="H718" t="s">
        <v>19</v>
      </c>
      <c r="I718" t="str" cm="1">
        <f t="array" ref="I718">_xlfn.IFS(G718=0,"Not Paid",G718=F718,"Fully Paid",G718&lt;F718,"Partially Paid")</f>
        <v>Partially Paid</v>
      </c>
      <c r="J718" t="str">
        <f t="shared" si="11"/>
        <v>NO</v>
      </c>
    </row>
    <row r="719" spans="1:10" x14ac:dyDescent="0.35">
      <c r="A719">
        <v>2718</v>
      </c>
      <c r="B719" t="s">
        <v>750</v>
      </c>
      <c r="C719" t="s">
        <v>13</v>
      </c>
      <c r="D719" t="s">
        <v>14</v>
      </c>
      <c r="E719">
        <v>45747</v>
      </c>
      <c r="F719">
        <v>39540</v>
      </c>
      <c r="G719">
        <v>38036</v>
      </c>
      <c r="H719" t="s">
        <v>19</v>
      </c>
      <c r="I719" t="str" cm="1">
        <f t="array" ref="I719">_xlfn.IFS(G719=0,"Not Paid",G719=F719,"Fully Paid",G719&lt;F719,"Partially Paid")</f>
        <v>Partially Paid</v>
      </c>
      <c r="J719" t="str">
        <f t="shared" si="11"/>
        <v>NO</v>
      </c>
    </row>
    <row r="720" spans="1:10" x14ac:dyDescent="0.35">
      <c r="A720">
        <v>2719</v>
      </c>
      <c r="B720" t="s">
        <v>751</v>
      </c>
      <c r="C720" t="s">
        <v>24</v>
      </c>
      <c r="D720" t="s">
        <v>18</v>
      </c>
      <c r="E720">
        <v>45917</v>
      </c>
      <c r="F720">
        <v>31580</v>
      </c>
      <c r="G720">
        <v>28272</v>
      </c>
      <c r="H720" t="s">
        <v>53</v>
      </c>
      <c r="I720" t="str" cm="1">
        <f t="array" ref="I720">_xlfn.IFS(G720=0,"Not Paid",G720=F720,"Fully Paid",G720&lt;F720,"Partially Paid")</f>
        <v>Partially Paid</v>
      </c>
      <c r="J720" t="str">
        <f t="shared" si="11"/>
        <v>NO</v>
      </c>
    </row>
    <row r="721" spans="1:10" x14ac:dyDescent="0.35">
      <c r="A721">
        <v>2720</v>
      </c>
      <c r="B721" t="s">
        <v>752</v>
      </c>
      <c r="C721" t="s">
        <v>17</v>
      </c>
      <c r="D721" t="s">
        <v>10</v>
      </c>
      <c r="E721">
        <v>45783</v>
      </c>
      <c r="F721">
        <v>58402</v>
      </c>
      <c r="G721">
        <v>51285</v>
      </c>
      <c r="H721" t="s">
        <v>31</v>
      </c>
      <c r="I721" t="str" cm="1">
        <f t="array" ref="I721">_xlfn.IFS(G721=0,"Not Paid",G721=F721,"Fully Paid",G721&lt;F721,"Partially Paid")</f>
        <v>Partially Paid</v>
      </c>
      <c r="J721" t="str">
        <f t="shared" si="11"/>
        <v>YES</v>
      </c>
    </row>
    <row r="722" spans="1:10" x14ac:dyDescent="0.35">
      <c r="A722">
        <v>2721</v>
      </c>
      <c r="B722" t="s">
        <v>753</v>
      </c>
      <c r="C722" t="s">
        <v>13</v>
      </c>
      <c r="D722" t="s">
        <v>37</v>
      </c>
      <c r="E722">
        <v>45888</v>
      </c>
      <c r="F722">
        <v>58578</v>
      </c>
      <c r="G722">
        <v>45274</v>
      </c>
      <c r="H722" t="s">
        <v>38</v>
      </c>
      <c r="I722" t="str" cm="1">
        <f t="array" ref="I722">_xlfn.IFS(G722=0,"Not Paid",G722=F722,"Fully Paid",G722&lt;F722,"Partially Paid")</f>
        <v>Partially Paid</v>
      </c>
      <c r="J722" t="str">
        <f t="shared" si="11"/>
        <v>YES</v>
      </c>
    </row>
    <row r="723" spans="1:10" x14ac:dyDescent="0.35">
      <c r="A723">
        <v>2722</v>
      </c>
      <c r="B723" t="s">
        <v>754</v>
      </c>
      <c r="C723" t="s">
        <v>17</v>
      </c>
      <c r="D723" t="s">
        <v>14</v>
      </c>
      <c r="E723">
        <v>45952</v>
      </c>
      <c r="F723">
        <v>44917</v>
      </c>
      <c r="G723">
        <v>39869</v>
      </c>
      <c r="H723" t="s">
        <v>22</v>
      </c>
      <c r="I723" t="str" cm="1">
        <f t="array" ref="I723">_xlfn.IFS(G723=0,"Not Paid",G723=F723,"Fully Paid",G723&lt;F723,"Partially Paid")</f>
        <v>Partially Paid</v>
      </c>
      <c r="J723" t="str">
        <f t="shared" si="11"/>
        <v>NO</v>
      </c>
    </row>
    <row r="724" spans="1:10" x14ac:dyDescent="0.35">
      <c r="A724">
        <v>2723</v>
      </c>
      <c r="B724" t="s">
        <v>755</v>
      </c>
      <c r="C724" t="s">
        <v>9</v>
      </c>
      <c r="D724" t="s">
        <v>10</v>
      </c>
      <c r="E724">
        <v>45786</v>
      </c>
      <c r="F724">
        <v>42318</v>
      </c>
      <c r="G724">
        <v>31175</v>
      </c>
      <c r="H724" t="s">
        <v>31</v>
      </c>
      <c r="I724" t="str" cm="1">
        <f t="array" ref="I724">_xlfn.IFS(G724=0,"Not Paid",G724=F724,"Fully Paid",G724&lt;F724,"Partially Paid")</f>
        <v>Partially Paid</v>
      </c>
      <c r="J724" t="str">
        <f t="shared" si="11"/>
        <v>NO</v>
      </c>
    </row>
    <row r="725" spans="1:10" x14ac:dyDescent="0.35">
      <c r="A725">
        <v>2724</v>
      </c>
      <c r="B725" t="s">
        <v>756</v>
      </c>
      <c r="C725" t="s">
        <v>56</v>
      </c>
      <c r="D725" t="s">
        <v>10</v>
      </c>
      <c r="E725">
        <v>45937</v>
      </c>
      <c r="F725">
        <v>30179</v>
      </c>
      <c r="G725">
        <v>21916</v>
      </c>
      <c r="H725" t="s">
        <v>22</v>
      </c>
      <c r="I725" t="str" cm="1">
        <f t="array" ref="I725">_xlfn.IFS(G725=0,"Not Paid",G725=F725,"Fully Paid",G725&lt;F725,"Partially Paid")</f>
        <v>Partially Paid</v>
      </c>
      <c r="J725" t="str">
        <f t="shared" si="11"/>
        <v>NO</v>
      </c>
    </row>
    <row r="726" spans="1:10" x14ac:dyDescent="0.35">
      <c r="A726">
        <v>2725</v>
      </c>
      <c r="B726" t="s">
        <v>757</v>
      </c>
      <c r="C726" t="s">
        <v>9</v>
      </c>
      <c r="D726" t="s">
        <v>14</v>
      </c>
      <c r="E726">
        <v>45970</v>
      </c>
      <c r="F726">
        <v>32251</v>
      </c>
      <c r="G726">
        <v>30561</v>
      </c>
      <c r="H726" t="s">
        <v>29</v>
      </c>
      <c r="I726" t="str" cm="1">
        <f t="array" ref="I726">_xlfn.IFS(G726=0,"Not Paid",G726=F726,"Fully Paid",G726&lt;F726,"Partially Paid")</f>
        <v>Partially Paid</v>
      </c>
      <c r="J726" t="str">
        <f t="shared" si="11"/>
        <v>NO</v>
      </c>
    </row>
    <row r="727" spans="1:10" x14ac:dyDescent="0.35">
      <c r="A727">
        <v>2726</v>
      </c>
      <c r="B727" t="s">
        <v>758</v>
      </c>
      <c r="C727" t="s">
        <v>17</v>
      </c>
      <c r="D727" t="s">
        <v>18</v>
      </c>
      <c r="E727">
        <v>45757</v>
      </c>
      <c r="F727">
        <v>39493</v>
      </c>
      <c r="G727">
        <v>25914</v>
      </c>
      <c r="H727" t="s">
        <v>11</v>
      </c>
      <c r="I727" t="str" cm="1">
        <f t="array" ref="I727">_xlfn.IFS(G727=0,"Not Paid",G727=F727,"Fully Paid",G727&lt;F727,"Partially Paid")</f>
        <v>Partially Paid</v>
      </c>
      <c r="J727" t="str">
        <f t="shared" si="11"/>
        <v>NO</v>
      </c>
    </row>
    <row r="728" spans="1:10" x14ac:dyDescent="0.35">
      <c r="A728">
        <v>2727</v>
      </c>
      <c r="B728" t="s">
        <v>759</v>
      </c>
      <c r="C728" t="s">
        <v>17</v>
      </c>
      <c r="D728" t="s">
        <v>27</v>
      </c>
      <c r="E728">
        <v>45983</v>
      </c>
      <c r="F728">
        <v>40466</v>
      </c>
      <c r="G728">
        <v>30930</v>
      </c>
      <c r="H728" t="s">
        <v>29</v>
      </c>
      <c r="I728" t="str" cm="1">
        <f t="array" ref="I728">_xlfn.IFS(G728=0,"Not Paid",G728=F728,"Fully Paid",G728&lt;F728,"Partially Paid")</f>
        <v>Partially Paid</v>
      </c>
      <c r="J728" t="str">
        <f t="shared" si="11"/>
        <v>NO</v>
      </c>
    </row>
    <row r="729" spans="1:10" x14ac:dyDescent="0.35">
      <c r="A729">
        <v>2728</v>
      </c>
      <c r="B729" t="s">
        <v>760</v>
      </c>
      <c r="C729" t="s">
        <v>33</v>
      </c>
      <c r="D729" t="s">
        <v>10</v>
      </c>
      <c r="E729">
        <v>45954</v>
      </c>
      <c r="F729">
        <v>50206</v>
      </c>
      <c r="G729">
        <v>35764</v>
      </c>
      <c r="H729" t="s">
        <v>22</v>
      </c>
      <c r="I729" t="str" cm="1">
        <f t="array" ref="I729">_xlfn.IFS(G729=0,"Not Paid",G729=F729,"Fully Paid",G729&lt;F729,"Partially Paid")</f>
        <v>Partially Paid</v>
      </c>
      <c r="J729" t="str">
        <f t="shared" si="11"/>
        <v>YES</v>
      </c>
    </row>
    <row r="730" spans="1:10" x14ac:dyDescent="0.35">
      <c r="A730">
        <v>2729</v>
      </c>
      <c r="B730" t="s">
        <v>761</v>
      </c>
      <c r="C730" t="s">
        <v>33</v>
      </c>
      <c r="D730" t="s">
        <v>21</v>
      </c>
      <c r="E730">
        <v>45839</v>
      </c>
      <c r="F730">
        <v>39624</v>
      </c>
      <c r="G730">
        <v>36321</v>
      </c>
      <c r="H730" t="s">
        <v>43</v>
      </c>
      <c r="I730" t="str" cm="1">
        <f t="array" ref="I730">_xlfn.IFS(G730=0,"Not Paid",G730=F730,"Fully Paid",G730&lt;F730,"Partially Paid")</f>
        <v>Partially Paid</v>
      </c>
      <c r="J730" t="str">
        <f t="shared" si="11"/>
        <v>NO</v>
      </c>
    </row>
    <row r="731" spans="1:10" x14ac:dyDescent="0.35">
      <c r="A731">
        <v>2730</v>
      </c>
      <c r="B731" t="s">
        <v>762</v>
      </c>
      <c r="C731" t="s">
        <v>9</v>
      </c>
      <c r="D731" t="s">
        <v>10</v>
      </c>
      <c r="E731">
        <v>45831</v>
      </c>
      <c r="F731">
        <v>46564</v>
      </c>
      <c r="G731">
        <v>43451</v>
      </c>
      <c r="H731" t="s">
        <v>67</v>
      </c>
      <c r="I731" t="str" cm="1">
        <f t="array" ref="I731">_xlfn.IFS(G731=0,"Not Paid",G731=F731,"Fully Paid",G731&lt;F731,"Partially Paid")</f>
        <v>Partially Paid</v>
      </c>
      <c r="J731" t="str">
        <f t="shared" si="11"/>
        <v>NO</v>
      </c>
    </row>
    <row r="732" spans="1:10" x14ac:dyDescent="0.35">
      <c r="A732">
        <v>2731</v>
      </c>
      <c r="B732" t="s">
        <v>763</v>
      </c>
      <c r="C732" t="s">
        <v>45</v>
      </c>
      <c r="D732" t="s">
        <v>27</v>
      </c>
      <c r="E732">
        <v>45973</v>
      </c>
      <c r="F732">
        <v>42412</v>
      </c>
      <c r="G732">
        <v>33338</v>
      </c>
      <c r="H732" t="s">
        <v>29</v>
      </c>
      <c r="I732" t="str" cm="1">
        <f t="array" ref="I732">_xlfn.IFS(G732=0,"Not Paid",G732=F732,"Fully Paid",G732&lt;F732,"Partially Paid")</f>
        <v>Partially Paid</v>
      </c>
      <c r="J732" t="str">
        <f t="shared" si="11"/>
        <v>NO</v>
      </c>
    </row>
    <row r="733" spans="1:10" x14ac:dyDescent="0.35">
      <c r="A733">
        <v>2732</v>
      </c>
      <c r="B733" t="s">
        <v>764</v>
      </c>
      <c r="C733" t="s">
        <v>9</v>
      </c>
      <c r="D733" t="s">
        <v>18</v>
      </c>
      <c r="E733">
        <v>46021</v>
      </c>
      <c r="F733">
        <v>47990</v>
      </c>
      <c r="G733">
        <v>35564</v>
      </c>
      <c r="H733" t="s">
        <v>25</v>
      </c>
      <c r="I733" t="str" cm="1">
        <f t="array" ref="I733">_xlfn.IFS(G733=0,"Not Paid",G733=F733,"Fully Paid",G733&lt;F733,"Partially Paid")</f>
        <v>Partially Paid</v>
      </c>
      <c r="J733" t="str">
        <f t="shared" si="11"/>
        <v>NO</v>
      </c>
    </row>
    <row r="734" spans="1:10" x14ac:dyDescent="0.35">
      <c r="A734">
        <v>2733</v>
      </c>
      <c r="B734" t="s">
        <v>765</v>
      </c>
      <c r="C734" t="s">
        <v>33</v>
      </c>
      <c r="D734" t="s">
        <v>18</v>
      </c>
      <c r="E734">
        <v>45845</v>
      </c>
      <c r="F734">
        <v>55517</v>
      </c>
      <c r="G734">
        <v>44663</v>
      </c>
      <c r="H734" t="s">
        <v>43</v>
      </c>
      <c r="I734" t="str" cm="1">
        <f t="array" ref="I734">_xlfn.IFS(G734=0,"Not Paid",G734=F734,"Fully Paid",G734&lt;F734,"Partially Paid")</f>
        <v>Partially Paid</v>
      </c>
      <c r="J734" t="str">
        <f t="shared" si="11"/>
        <v>YES</v>
      </c>
    </row>
    <row r="735" spans="1:10" x14ac:dyDescent="0.35">
      <c r="A735">
        <v>2734</v>
      </c>
      <c r="B735" t="s">
        <v>766</v>
      </c>
      <c r="C735" t="s">
        <v>17</v>
      </c>
      <c r="D735" t="s">
        <v>21</v>
      </c>
      <c r="E735">
        <v>45714</v>
      </c>
      <c r="F735">
        <v>33156</v>
      </c>
      <c r="G735">
        <v>25306</v>
      </c>
      <c r="H735" t="s">
        <v>77</v>
      </c>
      <c r="I735" t="str" cm="1">
        <f t="array" ref="I735">_xlfn.IFS(G735=0,"Not Paid",G735=F735,"Fully Paid",G735&lt;F735,"Partially Paid")</f>
        <v>Partially Paid</v>
      </c>
      <c r="J735" t="str">
        <f t="shared" si="11"/>
        <v>NO</v>
      </c>
    </row>
    <row r="736" spans="1:10" x14ac:dyDescent="0.35">
      <c r="A736">
        <v>2735</v>
      </c>
      <c r="B736" t="s">
        <v>767</v>
      </c>
      <c r="C736" t="s">
        <v>24</v>
      </c>
      <c r="D736" t="s">
        <v>10</v>
      </c>
      <c r="E736">
        <v>45688</v>
      </c>
      <c r="F736">
        <v>43064</v>
      </c>
      <c r="G736">
        <v>36648</v>
      </c>
      <c r="H736" t="s">
        <v>15</v>
      </c>
      <c r="I736" t="str" cm="1">
        <f t="array" ref="I736">_xlfn.IFS(G736=0,"Not Paid",G736=F736,"Fully Paid",G736&lt;F736,"Partially Paid")</f>
        <v>Partially Paid</v>
      </c>
      <c r="J736" t="str">
        <f t="shared" si="11"/>
        <v>NO</v>
      </c>
    </row>
    <row r="737" spans="1:10" x14ac:dyDescent="0.35">
      <c r="A737">
        <v>2736</v>
      </c>
      <c r="B737" t="s">
        <v>768</v>
      </c>
      <c r="C737" t="s">
        <v>9</v>
      </c>
      <c r="D737" t="s">
        <v>18</v>
      </c>
      <c r="E737">
        <v>45741</v>
      </c>
      <c r="F737">
        <v>45711</v>
      </c>
      <c r="G737">
        <v>44207</v>
      </c>
      <c r="H737" t="s">
        <v>19</v>
      </c>
      <c r="I737" t="str" cm="1">
        <f t="array" ref="I737">_xlfn.IFS(G737=0,"Not Paid",G737=F737,"Fully Paid",G737&lt;F737,"Partially Paid")</f>
        <v>Partially Paid</v>
      </c>
      <c r="J737" t="str">
        <f t="shared" si="11"/>
        <v>NO</v>
      </c>
    </row>
    <row r="738" spans="1:10" x14ac:dyDescent="0.35">
      <c r="A738">
        <v>2737</v>
      </c>
      <c r="B738" t="s">
        <v>769</v>
      </c>
      <c r="C738" t="s">
        <v>17</v>
      </c>
      <c r="D738" t="s">
        <v>27</v>
      </c>
      <c r="E738">
        <v>45809</v>
      </c>
      <c r="F738">
        <v>50106</v>
      </c>
      <c r="G738">
        <v>39451</v>
      </c>
      <c r="H738" t="s">
        <v>67</v>
      </c>
      <c r="I738" t="str" cm="1">
        <f t="array" ref="I738">_xlfn.IFS(G738=0,"Not Paid",G738=F738,"Fully Paid",G738&lt;F738,"Partially Paid")</f>
        <v>Partially Paid</v>
      </c>
      <c r="J738" t="str">
        <f t="shared" si="11"/>
        <v>YES</v>
      </c>
    </row>
    <row r="739" spans="1:10" x14ac:dyDescent="0.35">
      <c r="A739">
        <v>2738</v>
      </c>
      <c r="B739" t="s">
        <v>770</v>
      </c>
      <c r="C739" t="s">
        <v>24</v>
      </c>
      <c r="D739" t="s">
        <v>14</v>
      </c>
      <c r="E739">
        <v>45693</v>
      </c>
      <c r="F739">
        <v>36589</v>
      </c>
      <c r="G739">
        <v>25844</v>
      </c>
      <c r="H739" t="s">
        <v>77</v>
      </c>
      <c r="I739" t="str" cm="1">
        <f t="array" ref="I739">_xlfn.IFS(G739=0,"Not Paid",G739=F739,"Fully Paid",G739&lt;F739,"Partially Paid")</f>
        <v>Partially Paid</v>
      </c>
      <c r="J739" t="str">
        <f t="shared" si="11"/>
        <v>NO</v>
      </c>
    </row>
    <row r="740" spans="1:10" x14ac:dyDescent="0.35">
      <c r="A740">
        <v>2739</v>
      </c>
      <c r="B740" t="s">
        <v>771</v>
      </c>
      <c r="C740" t="s">
        <v>24</v>
      </c>
      <c r="D740" t="s">
        <v>37</v>
      </c>
      <c r="E740">
        <v>45870</v>
      </c>
      <c r="F740">
        <v>43736</v>
      </c>
      <c r="G740">
        <v>34812</v>
      </c>
      <c r="H740" t="s">
        <v>38</v>
      </c>
      <c r="I740" t="str" cm="1">
        <f t="array" ref="I740">_xlfn.IFS(G740=0,"Not Paid",G740=F740,"Fully Paid",G740&lt;F740,"Partially Paid")</f>
        <v>Partially Paid</v>
      </c>
      <c r="J740" t="str">
        <f t="shared" si="11"/>
        <v>NO</v>
      </c>
    </row>
    <row r="741" spans="1:10" x14ac:dyDescent="0.35">
      <c r="A741">
        <v>2740</v>
      </c>
      <c r="B741" t="s">
        <v>772</v>
      </c>
      <c r="C741" t="s">
        <v>33</v>
      </c>
      <c r="D741" t="s">
        <v>37</v>
      </c>
      <c r="E741">
        <v>46021</v>
      </c>
      <c r="F741">
        <v>40975</v>
      </c>
      <c r="G741">
        <v>31035</v>
      </c>
      <c r="H741" t="s">
        <v>25</v>
      </c>
      <c r="I741" t="str" cm="1">
        <f t="array" ref="I741">_xlfn.IFS(G741=0,"Not Paid",G741=F741,"Fully Paid",G741&lt;F741,"Partially Paid")</f>
        <v>Partially Paid</v>
      </c>
      <c r="J741" t="str">
        <f t="shared" si="11"/>
        <v>NO</v>
      </c>
    </row>
    <row r="742" spans="1:10" x14ac:dyDescent="0.35">
      <c r="A742">
        <v>2741</v>
      </c>
      <c r="B742" t="s">
        <v>773</v>
      </c>
      <c r="C742" t="s">
        <v>9</v>
      </c>
      <c r="D742" t="s">
        <v>37</v>
      </c>
      <c r="E742">
        <v>45763</v>
      </c>
      <c r="F742">
        <v>56218</v>
      </c>
      <c r="G742">
        <v>52294</v>
      </c>
      <c r="H742" t="s">
        <v>11</v>
      </c>
      <c r="I742" t="str" cm="1">
        <f t="array" ref="I742">_xlfn.IFS(G742=0,"Not Paid",G742=F742,"Fully Paid",G742&lt;F742,"Partially Paid")</f>
        <v>Partially Paid</v>
      </c>
      <c r="J742" t="str">
        <f t="shared" si="11"/>
        <v>YES</v>
      </c>
    </row>
    <row r="743" spans="1:10" x14ac:dyDescent="0.35">
      <c r="A743">
        <v>2742</v>
      </c>
      <c r="B743" t="s">
        <v>774</v>
      </c>
      <c r="C743" t="s">
        <v>13</v>
      </c>
      <c r="D743" t="s">
        <v>10</v>
      </c>
      <c r="E743">
        <v>45999</v>
      </c>
      <c r="F743">
        <v>27214</v>
      </c>
      <c r="G743">
        <v>18599</v>
      </c>
      <c r="H743" t="s">
        <v>25</v>
      </c>
      <c r="I743" t="str" cm="1">
        <f t="array" ref="I743">_xlfn.IFS(G743=0,"Not Paid",G743=F743,"Fully Paid",G743&lt;F743,"Partially Paid")</f>
        <v>Partially Paid</v>
      </c>
      <c r="J743" t="str">
        <f t="shared" si="11"/>
        <v>NO</v>
      </c>
    </row>
    <row r="744" spans="1:10" x14ac:dyDescent="0.35">
      <c r="A744">
        <v>2743</v>
      </c>
      <c r="B744" t="s">
        <v>775</v>
      </c>
      <c r="C744" t="s">
        <v>56</v>
      </c>
      <c r="D744" t="s">
        <v>21</v>
      </c>
      <c r="E744">
        <v>45877</v>
      </c>
      <c r="F744">
        <v>50581</v>
      </c>
      <c r="G744">
        <v>38911</v>
      </c>
      <c r="H744" t="s">
        <v>38</v>
      </c>
      <c r="I744" t="str" cm="1">
        <f t="array" ref="I744">_xlfn.IFS(G744=0,"Not Paid",G744=F744,"Fully Paid",G744&lt;F744,"Partially Paid")</f>
        <v>Partially Paid</v>
      </c>
      <c r="J744" t="str">
        <f t="shared" si="11"/>
        <v>YES</v>
      </c>
    </row>
    <row r="745" spans="1:10" x14ac:dyDescent="0.35">
      <c r="A745">
        <v>2744</v>
      </c>
      <c r="B745" t="s">
        <v>776</v>
      </c>
      <c r="C745" t="s">
        <v>33</v>
      </c>
      <c r="D745" t="s">
        <v>18</v>
      </c>
      <c r="E745">
        <v>45820</v>
      </c>
      <c r="F745">
        <v>40195</v>
      </c>
      <c r="G745">
        <v>30412</v>
      </c>
      <c r="H745" t="s">
        <v>67</v>
      </c>
      <c r="I745" t="str" cm="1">
        <f t="array" ref="I745">_xlfn.IFS(G745=0,"Not Paid",G745=F745,"Fully Paid",G745&lt;F745,"Partially Paid")</f>
        <v>Partially Paid</v>
      </c>
      <c r="J745" t="str">
        <f t="shared" si="11"/>
        <v>NO</v>
      </c>
    </row>
    <row r="746" spans="1:10" x14ac:dyDescent="0.35">
      <c r="A746">
        <v>2745</v>
      </c>
      <c r="B746" t="s">
        <v>777</v>
      </c>
      <c r="C746" t="s">
        <v>33</v>
      </c>
      <c r="D746" t="s">
        <v>14</v>
      </c>
      <c r="E746">
        <v>45877</v>
      </c>
      <c r="F746">
        <v>47127</v>
      </c>
      <c r="G746">
        <v>42642</v>
      </c>
      <c r="H746" t="s">
        <v>38</v>
      </c>
      <c r="I746" t="str" cm="1">
        <f t="array" ref="I746">_xlfn.IFS(G746=0,"Not Paid",G746=F746,"Fully Paid",G746&lt;F746,"Partially Paid")</f>
        <v>Partially Paid</v>
      </c>
      <c r="J746" t="str">
        <f t="shared" si="11"/>
        <v>NO</v>
      </c>
    </row>
    <row r="747" spans="1:10" x14ac:dyDescent="0.35">
      <c r="A747">
        <v>2746</v>
      </c>
      <c r="B747" t="s">
        <v>778</v>
      </c>
      <c r="C747" t="s">
        <v>13</v>
      </c>
      <c r="D747" t="s">
        <v>27</v>
      </c>
      <c r="E747">
        <v>45927</v>
      </c>
      <c r="F747">
        <v>25141</v>
      </c>
      <c r="G747">
        <v>12512</v>
      </c>
      <c r="H747" t="s">
        <v>53</v>
      </c>
      <c r="I747" t="str" cm="1">
        <f t="array" ref="I747">_xlfn.IFS(G747=0,"Not Paid",G747=F747,"Fully Paid",G747&lt;F747,"Partially Paid")</f>
        <v>Partially Paid</v>
      </c>
      <c r="J747" t="str">
        <f t="shared" si="11"/>
        <v>NO</v>
      </c>
    </row>
    <row r="748" spans="1:10" x14ac:dyDescent="0.35">
      <c r="A748">
        <v>2747</v>
      </c>
      <c r="B748" t="s">
        <v>779</v>
      </c>
      <c r="C748" t="s">
        <v>56</v>
      </c>
      <c r="D748" t="s">
        <v>14</v>
      </c>
      <c r="E748">
        <v>45777</v>
      </c>
      <c r="F748">
        <v>48884</v>
      </c>
      <c r="G748">
        <v>35651</v>
      </c>
      <c r="H748" t="s">
        <v>11</v>
      </c>
      <c r="I748" t="str" cm="1">
        <f t="array" ref="I748">_xlfn.IFS(G748=0,"Not Paid",G748=F748,"Fully Paid",G748&lt;F748,"Partially Paid")</f>
        <v>Partially Paid</v>
      </c>
      <c r="J748" t="str">
        <f t="shared" si="11"/>
        <v>NO</v>
      </c>
    </row>
    <row r="749" spans="1:10" x14ac:dyDescent="0.35">
      <c r="A749">
        <v>2748</v>
      </c>
      <c r="B749" t="s">
        <v>780</v>
      </c>
      <c r="C749" t="s">
        <v>17</v>
      </c>
      <c r="D749" t="s">
        <v>27</v>
      </c>
      <c r="E749">
        <v>45993</v>
      </c>
      <c r="F749">
        <v>44885</v>
      </c>
      <c r="G749">
        <v>31984</v>
      </c>
      <c r="H749" t="s">
        <v>25</v>
      </c>
      <c r="I749" t="str" cm="1">
        <f t="array" ref="I749">_xlfn.IFS(G749=0,"Not Paid",G749=F749,"Fully Paid",G749&lt;F749,"Partially Paid")</f>
        <v>Partially Paid</v>
      </c>
      <c r="J749" t="str">
        <f t="shared" si="11"/>
        <v>NO</v>
      </c>
    </row>
    <row r="750" spans="1:10" x14ac:dyDescent="0.35">
      <c r="A750">
        <v>2749</v>
      </c>
      <c r="B750" t="s">
        <v>781</v>
      </c>
      <c r="C750" t="s">
        <v>45</v>
      </c>
      <c r="D750" t="s">
        <v>10</v>
      </c>
      <c r="E750">
        <v>45839</v>
      </c>
      <c r="F750">
        <v>22708</v>
      </c>
      <c r="G750">
        <v>14608</v>
      </c>
      <c r="H750" t="s">
        <v>43</v>
      </c>
      <c r="I750" t="str" cm="1">
        <f t="array" ref="I750">_xlfn.IFS(G750=0,"Not Paid",G750=F750,"Fully Paid",G750&lt;F750,"Partially Paid")</f>
        <v>Partially Paid</v>
      </c>
      <c r="J750" t="str">
        <f t="shared" si="11"/>
        <v>NO</v>
      </c>
    </row>
    <row r="751" spans="1:10" x14ac:dyDescent="0.35">
      <c r="A751">
        <v>2750</v>
      </c>
      <c r="B751" t="s">
        <v>782</v>
      </c>
      <c r="C751" t="s">
        <v>9</v>
      </c>
      <c r="D751" t="s">
        <v>37</v>
      </c>
      <c r="E751">
        <v>45763</v>
      </c>
      <c r="F751">
        <v>38375</v>
      </c>
      <c r="G751">
        <v>29691</v>
      </c>
      <c r="H751" t="s">
        <v>11</v>
      </c>
      <c r="I751" t="str" cm="1">
        <f t="array" ref="I751">_xlfn.IFS(G751=0,"Not Paid",G751=F751,"Fully Paid",G751&lt;F751,"Partially Paid")</f>
        <v>Partially Paid</v>
      </c>
      <c r="J751" t="str">
        <f t="shared" si="11"/>
        <v>NO</v>
      </c>
    </row>
    <row r="752" spans="1:10" x14ac:dyDescent="0.35">
      <c r="A752">
        <v>2751</v>
      </c>
      <c r="B752" t="s">
        <v>783</v>
      </c>
      <c r="C752" t="s">
        <v>45</v>
      </c>
      <c r="D752" t="s">
        <v>10</v>
      </c>
      <c r="E752">
        <v>45874</v>
      </c>
      <c r="F752">
        <v>35088</v>
      </c>
      <c r="G752">
        <v>34897</v>
      </c>
      <c r="H752" t="s">
        <v>38</v>
      </c>
      <c r="I752" t="str" cm="1">
        <f t="array" ref="I752">_xlfn.IFS(G752=0,"Not Paid",G752=F752,"Fully Paid",G752&lt;F752,"Partially Paid")</f>
        <v>Partially Paid</v>
      </c>
      <c r="J752" t="str">
        <f t="shared" si="11"/>
        <v>NO</v>
      </c>
    </row>
    <row r="753" spans="1:10" x14ac:dyDescent="0.35">
      <c r="A753">
        <v>2752</v>
      </c>
      <c r="B753" t="s">
        <v>784</v>
      </c>
      <c r="C753" t="s">
        <v>17</v>
      </c>
      <c r="D753" t="s">
        <v>21</v>
      </c>
      <c r="E753">
        <v>45862</v>
      </c>
      <c r="F753">
        <v>30014</v>
      </c>
      <c r="G753">
        <v>21324</v>
      </c>
      <c r="H753" t="s">
        <v>43</v>
      </c>
      <c r="I753" t="str" cm="1">
        <f t="array" ref="I753">_xlfn.IFS(G753=0,"Not Paid",G753=F753,"Fully Paid",G753&lt;F753,"Partially Paid")</f>
        <v>Partially Paid</v>
      </c>
      <c r="J753" t="str">
        <f t="shared" si="11"/>
        <v>NO</v>
      </c>
    </row>
    <row r="754" spans="1:10" x14ac:dyDescent="0.35">
      <c r="A754">
        <v>2753</v>
      </c>
      <c r="B754" t="s">
        <v>785</v>
      </c>
      <c r="C754" t="s">
        <v>33</v>
      </c>
      <c r="D754" t="s">
        <v>21</v>
      </c>
      <c r="E754">
        <v>45727</v>
      </c>
      <c r="F754">
        <v>23273</v>
      </c>
      <c r="G754">
        <v>18356</v>
      </c>
      <c r="H754" t="s">
        <v>19</v>
      </c>
      <c r="I754" t="str" cm="1">
        <f t="array" ref="I754">_xlfn.IFS(G754=0,"Not Paid",G754=F754,"Fully Paid",G754&lt;F754,"Partially Paid")</f>
        <v>Partially Paid</v>
      </c>
      <c r="J754" t="str">
        <f t="shared" si="11"/>
        <v>NO</v>
      </c>
    </row>
    <row r="755" spans="1:10" x14ac:dyDescent="0.35">
      <c r="A755">
        <v>2754</v>
      </c>
      <c r="B755" t="s">
        <v>786</v>
      </c>
      <c r="C755" t="s">
        <v>56</v>
      </c>
      <c r="D755" t="s">
        <v>27</v>
      </c>
      <c r="E755">
        <v>45701</v>
      </c>
      <c r="F755">
        <v>57306</v>
      </c>
      <c r="G755">
        <v>51475</v>
      </c>
      <c r="H755" t="s">
        <v>77</v>
      </c>
      <c r="I755" t="str" cm="1">
        <f t="array" ref="I755">_xlfn.IFS(G755=0,"Not Paid",G755=F755,"Fully Paid",G755&lt;F755,"Partially Paid")</f>
        <v>Partially Paid</v>
      </c>
      <c r="J755" t="str">
        <f t="shared" si="11"/>
        <v>YES</v>
      </c>
    </row>
    <row r="756" spans="1:10" x14ac:dyDescent="0.35">
      <c r="A756">
        <v>2755</v>
      </c>
      <c r="B756" t="s">
        <v>787</v>
      </c>
      <c r="C756" t="s">
        <v>33</v>
      </c>
      <c r="D756" t="s">
        <v>18</v>
      </c>
      <c r="E756">
        <v>45986</v>
      </c>
      <c r="F756">
        <v>50881</v>
      </c>
      <c r="G756">
        <v>41433</v>
      </c>
      <c r="H756" t="s">
        <v>29</v>
      </c>
      <c r="I756" t="str" cm="1">
        <f t="array" ref="I756">_xlfn.IFS(G756=0,"Not Paid",G756=F756,"Fully Paid",G756&lt;F756,"Partially Paid")</f>
        <v>Partially Paid</v>
      </c>
      <c r="J756" t="str">
        <f t="shared" si="11"/>
        <v>YES</v>
      </c>
    </row>
    <row r="757" spans="1:10" x14ac:dyDescent="0.35">
      <c r="A757">
        <v>2756</v>
      </c>
      <c r="B757" t="s">
        <v>788</v>
      </c>
      <c r="C757" t="s">
        <v>24</v>
      </c>
      <c r="D757" t="s">
        <v>18</v>
      </c>
      <c r="E757">
        <v>45958</v>
      </c>
      <c r="F757">
        <v>51486</v>
      </c>
      <c r="G757">
        <v>41326</v>
      </c>
      <c r="H757" t="s">
        <v>22</v>
      </c>
      <c r="I757" t="str" cm="1">
        <f t="array" ref="I757">_xlfn.IFS(G757=0,"Not Paid",G757=F757,"Fully Paid",G757&lt;F757,"Partially Paid")</f>
        <v>Partially Paid</v>
      </c>
      <c r="J757" t="str">
        <f t="shared" si="11"/>
        <v>YES</v>
      </c>
    </row>
    <row r="758" spans="1:10" x14ac:dyDescent="0.35">
      <c r="A758">
        <v>2757</v>
      </c>
      <c r="B758" t="s">
        <v>789</v>
      </c>
      <c r="C758" t="s">
        <v>33</v>
      </c>
      <c r="D758" t="s">
        <v>27</v>
      </c>
      <c r="E758">
        <v>45885</v>
      </c>
      <c r="F758">
        <v>32541</v>
      </c>
      <c r="G758">
        <v>28219</v>
      </c>
      <c r="H758" t="s">
        <v>38</v>
      </c>
      <c r="I758" t="str" cm="1">
        <f t="array" ref="I758">_xlfn.IFS(G758=0,"Not Paid",G758=F758,"Fully Paid",G758&lt;F758,"Partially Paid")</f>
        <v>Partially Paid</v>
      </c>
      <c r="J758" t="str">
        <f t="shared" si="11"/>
        <v>NO</v>
      </c>
    </row>
    <row r="759" spans="1:10" x14ac:dyDescent="0.35">
      <c r="A759">
        <v>2758</v>
      </c>
      <c r="B759" t="s">
        <v>790</v>
      </c>
      <c r="C759" t="s">
        <v>33</v>
      </c>
      <c r="D759" t="s">
        <v>21</v>
      </c>
      <c r="E759">
        <v>45841</v>
      </c>
      <c r="F759">
        <v>28712</v>
      </c>
      <c r="G759">
        <v>15030</v>
      </c>
      <c r="H759" t="s">
        <v>43</v>
      </c>
      <c r="I759" t="str" cm="1">
        <f t="array" ref="I759">_xlfn.IFS(G759=0,"Not Paid",G759=F759,"Fully Paid",G759&lt;F759,"Partially Paid")</f>
        <v>Partially Paid</v>
      </c>
      <c r="J759" t="str">
        <f t="shared" si="11"/>
        <v>NO</v>
      </c>
    </row>
    <row r="760" spans="1:10" x14ac:dyDescent="0.35">
      <c r="A760">
        <v>2759</v>
      </c>
      <c r="B760" t="s">
        <v>791</v>
      </c>
      <c r="C760" t="s">
        <v>17</v>
      </c>
      <c r="D760" t="s">
        <v>21</v>
      </c>
      <c r="E760">
        <v>45764</v>
      </c>
      <c r="F760">
        <v>29168</v>
      </c>
      <c r="G760">
        <v>18790</v>
      </c>
      <c r="H760" t="s">
        <v>11</v>
      </c>
      <c r="I760" t="str" cm="1">
        <f t="array" ref="I760">_xlfn.IFS(G760=0,"Not Paid",G760=F760,"Fully Paid",G760&lt;F760,"Partially Paid")</f>
        <v>Partially Paid</v>
      </c>
      <c r="J760" t="str">
        <f t="shared" si="11"/>
        <v>NO</v>
      </c>
    </row>
    <row r="761" spans="1:10" x14ac:dyDescent="0.35">
      <c r="A761">
        <v>2760</v>
      </c>
      <c r="B761" t="s">
        <v>792</v>
      </c>
      <c r="C761" t="s">
        <v>17</v>
      </c>
      <c r="D761" t="s">
        <v>21</v>
      </c>
      <c r="E761">
        <v>45741</v>
      </c>
      <c r="F761">
        <v>23551</v>
      </c>
      <c r="G761">
        <v>16552</v>
      </c>
      <c r="H761" t="s">
        <v>19</v>
      </c>
      <c r="I761" t="str" cm="1">
        <f t="array" ref="I761">_xlfn.IFS(G761=0,"Not Paid",G761=F761,"Fully Paid",G761&lt;F761,"Partially Paid")</f>
        <v>Partially Paid</v>
      </c>
      <c r="J761" t="str">
        <f t="shared" si="11"/>
        <v>NO</v>
      </c>
    </row>
    <row r="762" spans="1:10" x14ac:dyDescent="0.35">
      <c r="A762">
        <v>2761</v>
      </c>
      <c r="B762" t="s">
        <v>793</v>
      </c>
      <c r="C762" t="s">
        <v>17</v>
      </c>
      <c r="D762" t="s">
        <v>10</v>
      </c>
      <c r="E762">
        <v>45995</v>
      </c>
      <c r="F762">
        <v>32297</v>
      </c>
      <c r="G762">
        <v>23289</v>
      </c>
      <c r="H762" t="s">
        <v>25</v>
      </c>
      <c r="I762" t="str" cm="1">
        <f t="array" ref="I762">_xlfn.IFS(G762=0,"Not Paid",G762=F762,"Fully Paid",G762&lt;F762,"Partially Paid")</f>
        <v>Partially Paid</v>
      </c>
      <c r="J762" t="str">
        <f t="shared" si="11"/>
        <v>NO</v>
      </c>
    </row>
    <row r="763" spans="1:10" x14ac:dyDescent="0.35">
      <c r="A763">
        <v>2762</v>
      </c>
      <c r="B763" t="s">
        <v>794</v>
      </c>
      <c r="C763" t="s">
        <v>45</v>
      </c>
      <c r="D763" t="s">
        <v>21</v>
      </c>
      <c r="E763">
        <v>45907</v>
      </c>
      <c r="F763">
        <v>47128</v>
      </c>
      <c r="G763">
        <v>35716</v>
      </c>
      <c r="H763" t="s">
        <v>53</v>
      </c>
      <c r="I763" t="str" cm="1">
        <f t="array" ref="I763">_xlfn.IFS(G763=0,"Not Paid",G763=F763,"Fully Paid",G763&lt;F763,"Partially Paid")</f>
        <v>Partially Paid</v>
      </c>
      <c r="J763" t="str">
        <f t="shared" si="11"/>
        <v>NO</v>
      </c>
    </row>
    <row r="764" spans="1:10" x14ac:dyDescent="0.35">
      <c r="A764">
        <v>2763</v>
      </c>
      <c r="B764" t="s">
        <v>795</v>
      </c>
      <c r="C764" t="s">
        <v>24</v>
      </c>
      <c r="D764" t="s">
        <v>14</v>
      </c>
      <c r="E764">
        <v>46020</v>
      </c>
      <c r="F764">
        <v>22832</v>
      </c>
      <c r="G764">
        <v>15550</v>
      </c>
      <c r="H764" t="s">
        <v>25</v>
      </c>
      <c r="I764" t="str" cm="1">
        <f t="array" ref="I764">_xlfn.IFS(G764=0,"Not Paid",G764=F764,"Fully Paid",G764&lt;F764,"Partially Paid")</f>
        <v>Partially Paid</v>
      </c>
      <c r="J764" t="str">
        <f t="shared" si="11"/>
        <v>NO</v>
      </c>
    </row>
    <row r="765" spans="1:10" x14ac:dyDescent="0.35">
      <c r="A765">
        <v>2764</v>
      </c>
      <c r="B765" t="s">
        <v>796</v>
      </c>
      <c r="C765" t="s">
        <v>17</v>
      </c>
      <c r="D765" t="s">
        <v>37</v>
      </c>
      <c r="E765">
        <v>45678</v>
      </c>
      <c r="F765">
        <v>48483</v>
      </c>
      <c r="G765">
        <v>38818</v>
      </c>
      <c r="H765" t="s">
        <v>15</v>
      </c>
      <c r="I765" t="str" cm="1">
        <f t="array" ref="I765">_xlfn.IFS(G765=0,"Not Paid",G765=F765,"Fully Paid",G765&lt;F765,"Partially Paid")</f>
        <v>Partially Paid</v>
      </c>
      <c r="J765" t="str">
        <f t="shared" si="11"/>
        <v>NO</v>
      </c>
    </row>
    <row r="766" spans="1:10" x14ac:dyDescent="0.35">
      <c r="A766">
        <v>2765</v>
      </c>
      <c r="B766" t="s">
        <v>797</v>
      </c>
      <c r="C766" t="s">
        <v>56</v>
      </c>
      <c r="D766" t="s">
        <v>21</v>
      </c>
      <c r="E766">
        <v>45853</v>
      </c>
      <c r="F766">
        <v>42063</v>
      </c>
      <c r="G766">
        <v>32785</v>
      </c>
      <c r="H766" t="s">
        <v>43</v>
      </c>
      <c r="I766" t="str" cm="1">
        <f t="array" ref="I766">_xlfn.IFS(G766=0,"Not Paid",G766=F766,"Fully Paid",G766&lt;F766,"Partially Paid")</f>
        <v>Partially Paid</v>
      </c>
      <c r="J766" t="str">
        <f t="shared" si="11"/>
        <v>NO</v>
      </c>
    </row>
    <row r="767" spans="1:10" x14ac:dyDescent="0.35">
      <c r="A767">
        <v>2766</v>
      </c>
      <c r="B767" t="s">
        <v>798</v>
      </c>
      <c r="C767" t="s">
        <v>45</v>
      </c>
      <c r="D767" t="s">
        <v>27</v>
      </c>
      <c r="E767">
        <v>45835</v>
      </c>
      <c r="F767">
        <v>42963</v>
      </c>
      <c r="G767">
        <v>30572</v>
      </c>
      <c r="H767" t="s">
        <v>67</v>
      </c>
      <c r="I767" t="str" cm="1">
        <f t="array" ref="I767">_xlfn.IFS(G767=0,"Not Paid",G767=F767,"Fully Paid",G767&lt;F767,"Partially Paid")</f>
        <v>Partially Paid</v>
      </c>
      <c r="J767" t="str">
        <f t="shared" si="11"/>
        <v>NO</v>
      </c>
    </row>
    <row r="768" spans="1:10" x14ac:dyDescent="0.35">
      <c r="A768">
        <v>2767</v>
      </c>
      <c r="B768" t="s">
        <v>799</v>
      </c>
      <c r="C768" t="s">
        <v>13</v>
      </c>
      <c r="D768" t="s">
        <v>37</v>
      </c>
      <c r="E768">
        <v>45664</v>
      </c>
      <c r="F768">
        <v>33422</v>
      </c>
      <c r="G768">
        <v>31548</v>
      </c>
      <c r="H768" t="s">
        <v>15</v>
      </c>
      <c r="I768" t="str" cm="1">
        <f t="array" ref="I768">_xlfn.IFS(G768=0,"Not Paid",G768=F768,"Fully Paid",G768&lt;F768,"Partially Paid")</f>
        <v>Partially Paid</v>
      </c>
      <c r="J768" t="str">
        <f t="shared" si="11"/>
        <v>NO</v>
      </c>
    </row>
    <row r="769" spans="1:10" x14ac:dyDescent="0.35">
      <c r="A769">
        <v>2768</v>
      </c>
      <c r="B769" t="s">
        <v>800</v>
      </c>
      <c r="C769" t="s">
        <v>56</v>
      </c>
      <c r="D769" t="s">
        <v>10</v>
      </c>
      <c r="E769">
        <v>45727</v>
      </c>
      <c r="F769">
        <v>52920</v>
      </c>
      <c r="G769">
        <v>43858</v>
      </c>
      <c r="H769" t="s">
        <v>19</v>
      </c>
      <c r="I769" t="str" cm="1">
        <f t="array" ref="I769">_xlfn.IFS(G769=0,"Not Paid",G769=F769,"Fully Paid",G769&lt;F769,"Partially Paid")</f>
        <v>Partially Paid</v>
      </c>
      <c r="J769" t="str">
        <f t="shared" si="11"/>
        <v>YES</v>
      </c>
    </row>
    <row r="770" spans="1:10" x14ac:dyDescent="0.35">
      <c r="A770">
        <v>2769</v>
      </c>
      <c r="B770" t="s">
        <v>801</v>
      </c>
      <c r="C770" t="s">
        <v>9</v>
      </c>
      <c r="D770" t="s">
        <v>27</v>
      </c>
      <c r="E770">
        <v>45784</v>
      </c>
      <c r="F770">
        <v>31156</v>
      </c>
      <c r="G770">
        <v>26393</v>
      </c>
      <c r="H770" t="s">
        <v>31</v>
      </c>
      <c r="I770" t="str" cm="1">
        <f t="array" ref="I770">_xlfn.IFS(G770=0,"Not Paid",G770=F770,"Fully Paid",G770&lt;F770,"Partially Paid")</f>
        <v>Partially Paid</v>
      </c>
      <c r="J770" t="str">
        <f t="shared" si="11"/>
        <v>NO</v>
      </c>
    </row>
    <row r="771" spans="1:10" x14ac:dyDescent="0.35">
      <c r="A771">
        <v>2770</v>
      </c>
      <c r="B771" t="s">
        <v>802</v>
      </c>
      <c r="C771" t="s">
        <v>9</v>
      </c>
      <c r="D771" t="s">
        <v>37</v>
      </c>
      <c r="E771">
        <v>45817</v>
      </c>
      <c r="F771">
        <v>31108</v>
      </c>
      <c r="G771">
        <v>20874</v>
      </c>
      <c r="H771" t="s">
        <v>67</v>
      </c>
      <c r="I771" t="str" cm="1">
        <f t="array" ref="I771">_xlfn.IFS(G771=0,"Not Paid",G771=F771,"Fully Paid",G771&lt;F771,"Partially Paid")</f>
        <v>Partially Paid</v>
      </c>
      <c r="J771" t="str">
        <f t="shared" ref="J771:J834" si="12">IF(F771&gt;50000,"YES","NO")</f>
        <v>NO</v>
      </c>
    </row>
    <row r="772" spans="1:10" x14ac:dyDescent="0.35">
      <c r="A772">
        <v>2771</v>
      </c>
      <c r="B772" t="s">
        <v>803</v>
      </c>
      <c r="C772" t="s">
        <v>56</v>
      </c>
      <c r="D772" t="s">
        <v>27</v>
      </c>
      <c r="E772">
        <v>45905</v>
      </c>
      <c r="F772">
        <v>51845</v>
      </c>
      <c r="G772">
        <v>43381</v>
      </c>
      <c r="H772" t="s">
        <v>53</v>
      </c>
      <c r="I772" t="str" cm="1">
        <f t="array" ref="I772">_xlfn.IFS(G772=0,"Not Paid",G772=F772,"Fully Paid",G772&lt;F772,"Partially Paid")</f>
        <v>Partially Paid</v>
      </c>
      <c r="J772" t="str">
        <f t="shared" si="12"/>
        <v>YES</v>
      </c>
    </row>
    <row r="773" spans="1:10" x14ac:dyDescent="0.35">
      <c r="A773">
        <v>2772</v>
      </c>
      <c r="B773" t="s">
        <v>804</v>
      </c>
      <c r="C773" t="s">
        <v>17</v>
      </c>
      <c r="D773" t="s">
        <v>10</v>
      </c>
      <c r="E773">
        <v>45860</v>
      </c>
      <c r="F773">
        <v>22800</v>
      </c>
      <c r="G773">
        <v>13579</v>
      </c>
      <c r="H773" t="s">
        <v>43</v>
      </c>
      <c r="I773" t="str" cm="1">
        <f t="array" ref="I773">_xlfn.IFS(G773=0,"Not Paid",G773=F773,"Fully Paid",G773&lt;F773,"Partially Paid")</f>
        <v>Partially Paid</v>
      </c>
      <c r="J773" t="str">
        <f t="shared" si="12"/>
        <v>NO</v>
      </c>
    </row>
    <row r="774" spans="1:10" x14ac:dyDescent="0.35">
      <c r="A774">
        <v>2773</v>
      </c>
      <c r="B774" t="s">
        <v>805</v>
      </c>
      <c r="C774" t="s">
        <v>13</v>
      </c>
      <c r="D774" t="s">
        <v>14</v>
      </c>
      <c r="E774">
        <v>45805</v>
      </c>
      <c r="F774">
        <v>58078</v>
      </c>
      <c r="G774">
        <v>46668</v>
      </c>
      <c r="H774" t="s">
        <v>31</v>
      </c>
      <c r="I774" t="str" cm="1">
        <f t="array" ref="I774">_xlfn.IFS(G774=0,"Not Paid",G774=F774,"Fully Paid",G774&lt;F774,"Partially Paid")</f>
        <v>Partially Paid</v>
      </c>
      <c r="J774" t="str">
        <f t="shared" si="12"/>
        <v>YES</v>
      </c>
    </row>
    <row r="775" spans="1:10" x14ac:dyDescent="0.35">
      <c r="A775">
        <v>2774</v>
      </c>
      <c r="B775" t="s">
        <v>806</v>
      </c>
      <c r="C775" t="s">
        <v>13</v>
      </c>
      <c r="D775" t="s">
        <v>10</v>
      </c>
      <c r="E775">
        <v>45800</v>
      </c>
      <c r="F775">
        <v>22610</v>
      </c>
      <c r="G775">
        <v>8091</v>
      </c>
      <c r="H775" t="s">
        <v>31</v>
      </c>
      <c r="I775" t="str" cm="1">
        <f t="array" ref="I775">_xlfn.IFS(G775=0,"Not Paid",G775=F775,"Fully Paid",G775&lt;F775,"Partially Paid")</f>
        <v>Partially Paid</v>
      </c>
      <c r="J775" t="str">
        <f t="shared" si="12"/>
        <v>NO</v>
      </c>
    </row>
    <row r="776" spans="1:10" x14ac:dyDescent="0.35">
      <c r="A776">
        <v>2775</v>
      </c>
      <c r="B776" t="s">
        <v>807</v>
      </c>
      <c r="C776" t="s">
        <v>45</v>
      </c>
      <c r="D776" t="s">
        <v>10</v>
      </c>
      <c r="E776">
        <v>45856</v>
      </c>
      <c r="F776">
        <v>32067</v>
      </c>
      <c r="G776">
        <v>19806</v>
      </c>
      <c r="H776" t="s">
        <v>43</v>
      </c>
      <c r="I776" t="str" cm="1">
        <f t="array" ref="I776">_xlfn.IFS(G776=0,"Not Paid",G776=F776,"Fully Paid",G776&lt;F776,"Partially Paid")</f>
        <v>Partially Paid</v>
      </c>
      <c r="J776" t="str">
        <f t="shared" si="12"/>
        <v>NO</v>
      </c>
    </row>
    <row r="777" spans="1:10" x14ac:dyDescent="0.35">
      <c r="A777">
        <v>2776</v>
      </c>
      <c r="B777" t="s">
        <v>808</v>
      </c>
      <c r="C777" t="s">
        <v>13</v>
      </c>
      <c r="D777" t="s">
        <v>27</v>
      </c>
      <c r="E777">
        <v>45811</v>
      </c>
      <c r="F777">
        <v>53872</v>
      </c>
      <c r="G777">
        <v>52821</v>
      </c>
      <c r="H777" t="s">
        <v>67</v>
      </c>
      <c r="I777" t="str" cm="1">
        <f t="array" ref="I777">_xlfn.IFS(G777=0,"Not Paid",G777=F777,"Fully Paid",G777&lt;F777,"Partially Paid")</f>
        <v>Partially Paid</v>
      </c>
      <c r="J777" t="str">
        <f t="shared" si="12"/>
        <v>YES</v>
      </c>
    </row>
    <row r="778" spans="1:10" x14ac:dyDescent="0.35">
      <c r="A778">
        <v>2777</v>
      </c>
      <c r="B778" t="s">
        <v>809</v>
      </c>
      <c r="C778" t="s">
        <v>9</v>
      </c>
      <c r="D778" t="s">
        <v>18</v>
      </c>
      <c r="E778">
        <v>45799</v>
      </c>
      <c r="F778">
        <v>30728</v>
      </c>
      <c r="G778">
        <v>18503</v>
      </c>
      <c r="H778" t="s">
        <v>31</v>
      </c>
      <c r="I778" t="str" cm="1">
        <f t="array" ref="I778">_xlfn.IFS(G778=0,"Not Paid",G778=F778,"Fully Paid",G778&lt;F778,"Partially Paid")</f>
        <v>Partially Paid</v>
      </c>
      <c r="J778" t="str">
        <f t="shared" si="12"/>
        <v>NO</v>
      </c>
    </row>
    <row r="779" spans="1:10" x14ac:dyDescent="0.35">
      <c r="A779">
        <v>2778</v>
      </c>
      <c r="B779" t="s">
        <v>810</v>
      </c>
      <c r="C779" t="s">
        <v>24</v>
      </c>
      <c r="D779" t="s">
        <v>21</v>
      </c>
      <c r="E779">
        <v>45970</v>
      </c>
      <c r="F779">
        <v>49566</v>
      </c>
      <c r="G779">
        <v>39801</v>
      </c>
      <c r="H779" t="s">
        <v>29</v>
      </c>
      <c r="I779" t="str" cm="1">
        <f t="array" ref="I779">_xlfn.IFS(G779=0,"Not Paid",G779=F779,"Fully Paid",G779&lt;F779,"Partially Paid")</f>
        <v>Partially Paid</v>
      </c>
      <c r="J779" t="str">
        <f t="shared" si="12"/>
        <v>NO</v>
      </c>
    </row>
    <row r="780" spans="1:10" x14ac:dyDescent="0.35">
      <c r="A780">
        <v>2779</v>
      </c>
      <c r="B780" t="s">
        <v>811</v>
      </c>
      <c r="C780" t="s">
        <v>17</v>
      </c>
      <c r="D780" t="s">
        <v>21</v>
      </c>
      <c r="E780">
        <v>45822</v>
      </c>
      <c r="F780">
        <v>49783</v>
      </c>
      <c r="G780">
        <v>38401</v>
      </c>
      <c r="H780" t="s">
        <v>67</v>
      </c>
      <c r="I780" t="str" cm="1">
        <f t="array" ref="I780">_xlfn.IFS(G780=0,"Not Paid",G780=F780,"Fully Paid",G780&lt;F780,"Partially Paid")</f>
        <v>Partially Paid</v>
      </c>
      <c r="J780" t="str">
        <f t="shared" si="12"/>
        <v>NO</v>
      </c>
    </row>
    <row r="781" spans="1:10" x14ac:dyDescent="0.35">
      <c r="A781">
        <v>2780</v>
      </c>
      <c r="B781" t="s">
        <v>812</v>
      </c>
      <c r="C781" t="s">
        <v>13</v>
      </c>
      <c r="D781" t="s">
        <v>14</v>
      </c>
      <c r="E781">
        <v>45971</v>
      </c>
      <c r="F781">
        <v>40583</v>
      </c>
      <c r="G781">
        <v>28003</v>
      </c>
      <c r="H781" t="s">
        <v>29</v>
      </c>
      <c r="I781" t="str" cm="1">
        <f t="array" ref="I781">_xlfn.IFS(G781=0,"Not Paid",G781=F781,"Fully Paid",G781&lt;F781,"Partially Paid")</f>
        <v>Partially Paid</v>
      </c>
      <c r="J781" t="str">
        <f t="shared" si="12"/>
        <v>NO</v>
      </c>
    </row>
    <row r="782" spans="1:10" x14ac:dyDescent="0.35">
      <c r="A782">
        <v>2781</v>
      </c>
      <c r="B782" t="s">
        <v>813</v>
      </c>
      <c r="C782" t="s">
        <v>45</v>
      </c>
      <c r="D782" t="s">
        <v>14</v>
      </c>
      <c r="E782">
        <v>45678</v>
      </c>
      <c r="F782">
        <v>40238</v>
      </c>
      <c r="G782">
        <v>32700</v>
      </c>
      <c r="H782" t="s">
        <v>15</v>
      </c>
      <c r="I782" t="str" cm="1">
        <f t="array" ref="I782">_xlfn.IFS(G782=0,"Not Paid",G782=F782,"Fully Paid",G782&lt;F782,"Partially Paid")</f>
        <v>Partially Paid</v>
      </c>
      <c r="J782" t="str">
        <f t="shared" si="12"/>
        <v>NO</v>
      </c>
    </row>
    <row r="783" spans="1:10" x14ac:dyDescent="0.35">
      <c r="A783">
        <v>2782</v>
      </c>
      <c r="B783" t="s">
        <v>814</v>
      </c>
      <c r="C783" t="s">
        <v>9</v>
      </c>
      <c r="D783" t="s">
        <v>21</v>
      </c>
      <c r="E783">
        <v>45739</v>
      </c>
      <c r="F783">
        <v>27263</v>
      </c>
      <c r="G783">
        <v>19852</v>
      </c>
      <c r="H783" t="s">
        <v>19</v>
      </c>
      <c r="I783" t="str" cm="1">
        <f t="array" ref="I783">_xlfn.IFS(G783=0,"Not Paid",G783=F783,"Fully Paid",G783&lt;F783,"Partially Paid")</f>
        <v>Partially Paid</v>
      </c>
      <c r="J783" t="str">
        <f t="shared" si="12"/>
        <v>NO</v>
      </c>
    </row>
    <row r="784" spans="1:10" x14ac:dyDescent="0.35">
      <c r="A784">
        <v>2783</v>
      </c>
      <c r="B784" t="s">
        <v>815</v>
      </c>
      <c r="C784" t="s">
        <v>24</v>
      </c>
      <c r="D784" t="s">
        <v>18</v>
      </c>
      <c r="E784">
        <v>45726</v>
      </c>
      <c r="F784">
        <v>21914</v>
      </c>
      <c r="G784">
        <v>9925</v>
      </c>
      <c r="H784" t="s">
        <v>19</v>
      </c>
      <c r="I784" t="str" cm="1">
        <f t="array" ref="I784">_xlfn.IFS(G784=0,"Not Paid",G784=F784,"Fully Paid",G784&lt;F784,"Partially Paid")</f>
        <v>Partially Paid</v>
      </c>
      <c r="J784" t="str">
        <f t="shared" si="12"/>
        <v>NO</v>
      </c>
    </row>
    <row r="785" spans="1:10" x14ac:dyDescent="0.35">
      <c r="A785">
        <v>2784</v>
      </c>
      <c r="B785" t="s">
        <v>816</v>
      </c>
      <c r="C785" t="s">
        <v>33</v>
      </c>
      <c r="D785" t="s">
        <v>21</v>
      </c>
      <c r="E785">
        <v>45788</v>
      </c>
      <c r="F785">
        <v>43749</v>
      </c>
      <c r="G785">
        <v>32268</v>
      </c>
      <c r="H785" t="s">
        <v>31</v>
      </c>
      <c r="I785" t="str" cm="1">
        <f t="array" ref="I785">_xlfn.IFS(G785=0,"Not Paid",G785=F785,"Fully Paid",G785&lt;F785,"Partially Paid")</f>
        <v>Partially Paid</v>
      </c>
      <c r="J785" t="str">
        <f t="shared" si="12"/>
        <v>NO</v>
      </c>
    </row>
    <row r="786" spans="1:10" x14ac:dyDescent="0.35">
      <c r="A786">
        <v>2785</v>
      </c>
      <c r="B786" t="s">
        <v>817</v>
      </c>
      <c r="C786" t="s">
        <v>33</v>
      </c>
      <c r="D786" t="s">
        <v>18</v>
      </c>
      <c r="E786">
        <v>45744</v>
      </c>
      <c r="F786">
        <v>39456</v>
      </c>
      <c r="G786">
        <v>33136</v>
      </c>
      <c r="H786" t="s">
        <v>19</v>
      </c>
      <c r="I786" t="str" cm="1">
        <f t="array" ref="I786">_xlfn.IFS(G786=0,"Not Paid",G786=F786,"Fully Paid",G786&lt;F786,"Partially Paid")</f>
        <v>Partially Paid</v>
      </c>
      <c r="J786" t="str">
        <f t="shared" si="12"/>
        <v>NO</v>
      </c>
    </row>
    <row r="787" spans="1:10" x14ac:dyDescent="0.35">
      <c r="A787">
        <v>2786</v>
      </c>
      <c r="B787" t="s">
        <v>818</v>
      </c>
      <c r="C787" t="s">
        <v>24</v>
      </c>
      <c r="D787" t="s">
        <v>14</v>
      </c>
      <c r="E787">
        <v>45875</v>
      </c>
      <c r="F787">
        <v>45582</v>
      </c>
      <c r="G787">
        <v>33643</v>
      </c>
      <c r="H787" t="s">
        <v>38</v>
      </c>
      <c r="I787" t="str" cm="1">
        <f t="array" ref="I787">_xlfn.IFS(G787=0,"Not Paid",G787=F787,"Fully Paid",G787&lt;F787,"Partially Paid")</f>
        <v>Partially Paid</v>
      </c>
      <c r="J787" t="str">
        <f t="shared" si="12"/>
        <v>NO</v>
      </c>
    </row>
    <row r="788" spans="1:10" x14ac:dyDescent="0.35">
      <c r="A788">
        <v>2787</v>
      </c>
      <c r="B788" t="s">
        <v>819</v>
      </c>
      <c r="C788" t="s">
        <v>9</v>
      </c>
      <c r="D788" t="s">
        <v>37</v>
      </c>
      <c r="E788">
        <v>45962</v>
      </c>
      <c r="F788">
        <v>20406</v>
      </c>
      <c r="G788">
        <v>18301</v>
      </c>
      <c r="H788" t="s">
        <v>29</v>
      </c>
      <c r="I788" t="str" cm="1">
        <f t="array" ref="I788">_xlfn.IFS(G788=0,"Not Paid",G788=F788,"Fully Paid",G788&lt;F788,"Partially Paid")</f>
        <v>Partially Paid</v>
      </c>
      <c r="J788" t="str">
        <f t="shared" si="12"/>
        <v>NO</v>
      </c>
    </row>
    <row r="789" spans="1:10" x14ac:dyDescent="0.35">
      <c r="A789">
        <v>2788</v>
      </c>
      <c r="B789" t="s">
        <v>820</v>
      </c>
      <c r="C789" t="s">
        <v>45</v>
      </c>
      <c r="D789" t="s">
        <v>27</v>
      </c>
      <c r="E789">
        <v>46002</v>
      </c>
      <c r="F789">
        <v>33689</v>
      </c>
      <c r="G789">
        <v>20109</v>
      </c>
      <c r="H789" t="s">
        <v>25</v>
      </c>
      <c r="I789" t="str" cm="1">
        <f t="array" ref="I789">_xlfn.IFS(G789=0,"Not Paid",G789=F789,"Fully Paid",G789&lt;F789,"Partially Paid")</f>
        <v>Partially Paid</v>
      </c>
      <c r="J789" t="str">
        <f t="shared" si="12"/>
        <v>NO</v>
      </c>
    </row>
    <row r="790" spans="1:10" x14ac:dyDescent="0.35">
      <c r="A790">
        <v>2789</v>
      </c>
      <c r="B790" t="s">
        <v>821</v>
      </c>
      <c r="C790" t="s">
        <v>24</v>
      </c>
      <c r="D790" t="s">
        <v>14</v>
      </c>
      <c r="E790">
        <v>45998</v>
      </c>
      <c r="F790">
        <v>52934</v>
      </c>
      <c r="G790">
        <v>52627</v>
      </c>
      <c r="H790" t="s">
        <v>25</v>
      </c>
      <c r="I790" t="str" cm="1">
        <f t="array" ref="I790">_xlfn.IFS(G790=0,"Not Paid",G790=F790,"Fully Paid",G790&lt;F790,"Partially Paid")</f>
        <v>Partially Paid</v>
      </c>
      <c r="J790" t="str">
        <f t="shared" si="12"/>
        <v>YES</v>
      </c>
    </row>
    <row r="791" spans="1:10" x14ac:dyDescent="0.35">
      <c r="A791">
        <v>2790</v>
      </c>
      <c r="B791" t="s">
        <v>822</v>
      </c>
      <c r="C791" t="s">
        <v>17</v>
      </c>
      <c r="D791" t="s">
        <v>14</v>
      </c>
      <c r="E791">
        <v>45818</v>
      </c>
      <c r="F791">
        <v>53276</v>
      </c>
      <c r="G791">
        <v>45539</v>
      </c>
      <c r="H791" t="s">
        <v>67</v>
      </c>
      <c r="I791" t="str" cm="1">
        <f t="array" ref="I791">_xlfn.IFS(G791=0,"Not Paid",G791=F791,"Fully Paid",G791&lt;F791,"Partially Paid")</f>
        <v>Partially Paid</v>
      </c>
      <c r="J791" t="str">
        <f t="shared" si="12"/>
        <v>YES</v>
      </c>
    </row>
    <row r="792" spans="1:10" x14ac:dyDescent="0.35">
      <c r="A792">
        <v>2791</v>
      </c>
      <c r="B792" t="s">
        <v>823</v>
      </c>
      <c r="C792" t="s">
        <v>17</v>
      </c>
      <c r="D792" t="s">
        <v>10</v>
      </c>
      <c r="E792">
        <v>45835</v>
      </c>
      <c r="F792">
        <v>56432</v>
      </c>
      <c r="G792">
        <v>53073</v>
      </c>
      <c r="H792" t="s">
        <v>67</v>
      </c>
      <c r="I792" t="str" cm="1">
        <f t="array" ref="I792">_xlfn.IFS(G792=0,"Not Paid",G792=F792,"Fully Paid",G792&lt;F792,"Partially Paid")</f>
        <v>Partially Paid</v>
      </c>
      <c r="J792" t="str">
        <f t="shared" si="12"/>
        <v>YES</v>
      </c>
    </row>
    <row r="793" spans="1:10" x14ac:dyDescent="0.35">
      <c r="A793">
        <v>2792</v>
      </c>
      <c r="B793" t="s">
        <v>824</v>
      </c>
      <c r="C793" t="s">
        <v>33</v>
      </c>
      <c r="D793" t="s">
        <v>10</v>
      </c>
      <c r="E793">
        <v>45774</v>
      </c>
      <c r="F793">
        <v>39873</v>
      </c>
      <c r="G793">
        <v>26609</v>
      </c>
      <c r="H793" t="s">
        <v>11</v>
      </c>
      <c r="I793" t="str" cm="1">
        <f t="array" ref="I793">_xlfn.IFS(G793=0,"Not Paid",G793=F793,"Fully Paid",G793&lt;F793,"Partially Paid")</f>
        <v>Partially Paid</v>
      </c>
      <c r="J793" t="str">
        <f t="shared" si="12"/>
        <v>NO</v>
      </c>
    </row>
    <row r="794" spans="1:10" x14ac:dyDescent="0.35">
      <c r="A794">
        <v>2793</v>
      </c>
      <c r="B794" t="s">
        <v>825</v>
      </c>
      <c r="C794" t="s">
        <v>13</v>
      </c>
      <c r="D794" t="s">
        <v>10</v>
      </c>
      <c r="E794">
        <v>45853</v>
      </c>
      <c r="F794">
        <v>33050</v>
      </c>
      <c r="G794">
        <v>29874</v>
      </c>
      <c r="H794" t="s">
        <v>43</v>
      </c>
      <c r="I794" t="str" cm="1">
        <f t="array" ref="I794">_xlfn.IFS(G794=0,"Not Paid",G794=F794,"Fully Paid",G794&lt;F794,"Partially Paid")</f>
        <v>Partially Paid</v>
      </c>
      <c r="J794" t="str">
        <f t="shared" si="12"/>
        <v>NO</v>
      </c>
    </row>
    <row r="795" spans="1:10" x14ac:dyDescent="0.35">
      <c r="A795">
        <v>2794</v>
      </c>
      <c r="B795" t="s">
        <v>826</v>
      </c>
      <c r="C795" t="s">
        <v>45</v>
      </c>
      <c r="D795" t="s">
        <v>27</v>
      </c>
      <c r="E795">
        <v>45984</v>
      </c>
      <c r="F795">
        <v>20680</v>
      </c>
      <c r="G795">
        <v>19429</v>
      </c>
      <c r="H795" t="s">
        <v>29</v>
      </c>
      <c r="I795" t="str" cm="1">
        <f t="array" ref="I795">_xlfn.IFS(G795=0,"Not Paid",G795=F795,"Fully Paid",G795&lt;F795,"Partially Paid")</f>
        <v>Partially Paid</v>
      </c>
      <c r="J795" t="str">
        <f t="shared" si="12"/>
        <v>NO</v>
      </c>
    </row>
    <row r="796" spans="1:10" x14ac:dyDescent="0.35">
      <c r="A796">
        <v>2795</v>
      </c>
      <c r="B796" t="s">
        <v>827</v>
      </c>
      <c r="C796" t="s">
        <v>33</v>
      </c>
      <c r="D796" t="s">
        <v>10</v>
      </c>
      <c r="E796">
        <v>45743</v>
      </c>
      <c r="F796">
        <v>38908</v>
      </c>
      <c r="G796">
        <v>33542</v>
      </c>
      <c r="H796" t="s">
        <v>19</v>
      </c>
      <c r="I796" t="str" cm="1">
        <f t="array" ref="I796">_xlfn.IFS(G796=0,"Not Paid",G796=F796,"Fully Paid",G796&lt;F796,"Partially Paid")</f>
        <v>Partially Paid</v>
      </c>
      <c r="J796" t="str">
        <f t="shared" si="12"/>
        <v>NO</v>
      </c>
    </row>
    <row r="797" spans="1:10" x14ac:dyDescent="0.35">
      <c r="A797">
        <v>2796</v>
      </c>
      <c r="B797" t="s">
        <v>828</v>
      </c>
      <c r="C797" t="s">
        <v>13</v>
      </c>
      <c r="D797" t="s">
        <v>18</v>
      </c>
      <c r="E797">
        <v>45946</v>
      </c>
      <c r="F797">
        <v>38504</v>
      </c>
      <c r="G797">
        <v>27565</v>
      </c>
      <c r="H797" t="s">
        <v>22</v>
      </c>
      <c r="I797" t="str" cm="1">
        <f t="array" ref="I797">_xlfn.IFS(G797=0,"Not Paid",G797=F797,"Fully Paid",G797&lt;F797,"Partially Paid")</f>
        <v>Partially Paid</v>
      </c>
      <c r="J797" t="str">
        <f t="shared" si="12"/>
        <v>NO</v>
      </c>
    </row>
    <row r="798" spans="1:10" x14ac:dyDescent="0.35">
      <c r="A798">
        <v>2797</v>
      </c>
      <c r="B798" t="s">
        <v>829</v>
      </c>
      <c r="C798" t="s">
        <v>13</v>
      </c>
      <c r="D798" t="s">
        <v>21</v>
      </c>
      <c r="E798">
        <v>45738</v>
      </c>
      <c r="F798">
        <v>41644</v>
      </c>
      <c r="G798">
        <v>40127</v>
      </c>
      <c r="H798" t="s">
        <v>19</v>
      </c>
      <c r="I798" t="str" cm="1">
        <f t="array" ref="I798">_xlfn.IFS(G798=0,"Not Paid",G798=F798,"Fully Paid",G798&lt;F798,"Partially Paid")</f>
        <v>Partially Paid</v>
      </c>
      <c r="J798" t="str">
        <f t="shared" si="12"/>
        <v>NO</v>
      </c>
    </row>
    <row r="799" spans="1:10" x14ac:dyDescent="0.35">
      <c r="A799">
        <v>2798</v>
      </c>
      <c r="B799" t="s">
        <v>830</v>
      </c>
      <c r="C799" t="s">
        <v>17</v>
      </c>
      <c r="D799" t="s">
        <v>37</v>
      </c>
      <c r="E799">
        <v>45809</v>
      </c>
      <c r="F799">
        <v>57125</v>
      </c>
      <c r="G799">
        <v>50899</v>
      </c>
      <c r="H799" t="s">
        <v>67</v>
      </c>
      <c r="I799" t="str" cm="1">
        <f t="array" ref="I799">_xlfn.IFS(G799=0,"Not Paid",G799=F799,"Fully Paid",G799&lt;F799,"Partially Paid")</f>
        <v>Partially Paid</v>
      </c>
      <c r="J799" t="str">
        <f t="shared" si="12"/>
        <v>YES</v>
      </c>
    </row>
    <row r="800" spans="1:10" x14ac:dyDescent="0.35">
      <c r="A800">
        <v>2799</v>
      </c>
      <c r="B800" t="s">
        <v>831</v>
      </c>
      <c r="C800" t="s">
        <v>9</v>
      </c>
      <c r="D800" t="s">
        <v>14</v>
      </c>
      <c r="E800">
        <v>45718</v>
      </c>
      <c r="F800">
        <v>21363</v>
      </c>
      <c r="G800">
        <v>16058</v>
      </c>
      <c r="H800" t="s">
        <v>19</v>
      </c>
      <c r="I800" t="str" cm="1">
        <f t="array" ref="I800">_xlfn.IFS(G800=0,"Not Paid",G800=F800,"Fully Paid",G800&lt;F800,"Partially Paid")</f>
        <v>Partially Paid</v>
      </c>
      <c r="J800" t="str">
        <f t="shared" si="12"/>
        <v>NO</v>
      </c>
    </row>
    <row r="801" spans="1:10" x14ac:dyDescent="0.35">
      <c r="A801">
        <v>2800</v>
      </c>
      <c r="B801" t="s">
        <v>832</v>
      </c>
      <c r="C801" t="s">
        <v>56</v>
      </c>
      <c r="D801" t="s">
        <v>18</v>
      </c>
      <c r="E801">
        <v>45718</v>
      </c>
      <c r="F801">
        <v>55060</v>
      </c>
      <c r="G801">
        <v>40473</v>
      </c>
      <c r="H801" t="s">
        <v>19</v>
      </c>
      <c r="I801" t="str" cm="1">
        <f t="array" ref="I801">_xlfn.IFS(G801=0,"Not Paid",G801=F801,"Fully Paid",G801&lt;F801,"Partially Paid")</f>
        <v>Partially Paid</v>
      </c>
      <c r="J801" t="str">
        <f t="shared" si="12"/>
        <v>YES</v>
      </c>
    </row>
    <row r="802" spans="1:10" x14ac:dyDescent="0.35">
      <c r="A802">
        <v>2801</v>
      </c>
      <c r="B802" t="s">
        <v>833</v>
      </c>
      <c r="C802" t="s">
        <v>9</v>
      </c>
      <c r="D802" t="s">
        <v>37</v>
      </c>
      <c r="E802">
        <v>46011</v>
      </c>
      <c r="F802">
        <v>21538</v>
      </c>
      <c r="G802">
        <v>11968</v>
      </c>
      <c r="H802" t="s">
        <v>25</v>
      </c>
      <c r="I802" t="str" cm="1">
        <f t="array" ref="I802">_xlfn.IFS(G802=0,"Not Paid",G802=F802,"Fully Paid",G802&lt;F802,"Partially Paid")</f>
        <v>Partially Paid</v>
      </c>
      <c r="J802" t="str">
        <f t="shared" si="12"/>
        <v>NO</v>
      </c>
    </row>
    <row r="803" spans="1:10" x14ac:dyDescent="0.35">
      <c r="A803">
        <v>2802</v>
      </c>
      <c r="B803" t="s">
        <v>834</v>
      </c>
      <c r="C803" t="s">
        <v>56</v>
      </c>
      <c r="D803" t="s">
        <v>18</v>
      </c>
      <c r="E803">
        <v>45685</v>
      </c>
      <c r="F803">
        <v>56176</v>
      </c>
      <c r="G803">
        <v>50307</v>
      </c>
      <c r="H803" t="s">
        <v>15</v>
      </c>
      <c r="I803" t="str" cm="1">
        <f t="array" ref="I803">_xlfn.IFS(G803=0,"Not Paid",G803=F803,"Fully Paid",G803&lt;F803,"Partially Paid")</f>
        <v>Partially Paid</v>
      </c>
      <c r="J803" t="str">
        <f t="shared" si="12"/>
        <v>YES</v>
      </c>
    </row>
    <row r="804" spans="1:10" x14ac:dyDescent="0.35">
      <c r="A804">
        <v>2803</v>
      </c>
      <c r="B804" t="s">
        <v>835</v>
      </c>
      <c r="C804" t="s">
        <v>24</v>
      </c>
      <c r="D804" t="s">
        <v>18</v>
      </c>
      <c r="E804">
        <v>45700</v>
      </c>
      <c r="F804">
        <v>45675</v>
      </c>
      <c r="G804">
        <v>37636</v>
      </c>
      <c r="H804" t="s">
        <v>77</v>
      </c>
      <c r="I804" t="str" cm="1">
        <f t="array" ref="I804">_xlfn.IFS(G804=0,"Not Paid",G804=F804,"Fully Paid",G804&lt;F804,"Partially Paid")</f>
        <v>Partially Paid</v>
      </c>
      <c r="J804" t="str">
        <f t="shared" si="12"/>
        <v>NO</v>
      </c>
    </row>
    <row r="805" spans="1:10" x14ac:dyDescent="0.35">
      <c r="A805">
        <v>2804</v>
      </c>
      <c r="B805" t="s">
        <v>836</v>
      </c>
      <c r="C805" t="s">
        <v>17</v>
      </c>
      <c r="D805" t="s">
        <v>14</v>
      </c>
      <c r="E805">
        <v>45826</v>
      </c>
      <c r="F805">
        <v>38287</v>
      </c>
      <c r="G805">
        <v>24280</v>
      </c>
      <c r="H805" t="s">
        <v>67</v>
      </c>
      <c r="I805" t="str" cm="1">
        <f t="array" ref="I805">_xlfn.IFS(G805=0,"Not Paid",G805=F805,"Fully Paid",G805&lt;F805,"Partially Paid")</f>
        <v>Partially Paid</v>
      </c>
      <c r="J805" t="str">
        <f t="shared" si="12"/>
        <v>NO</v>
      </c>
    </row>
    <row r="806" spans="1:10" x14ac:dyDescent="0.35">
      <c r="A806">
        <v>2805</v>
      </c>
      <c r="B806" t="s">
        <v>837</v>
      </c>
      <c r="C806" t="s">
        <v>13</v>
      </c>
      <c r="D806" t="s">
        <v>21</v>
      </c>
      <c r="E806">
        <v>45743</v>
      </c>
      <c r="F806">
        <v>20174</v>
      </c>
      <c r="G806">
        <v>5844</v>
      </c>
      <c r="H806" t="s">
        <v>19</v>
      </c>
      <c r="I806" t="str" cm="1">
        <f t="array" ref="I806">_xlfn.IFS(G806=0,"Not Paid",G806=F806,"Fully Paid",G806&lt;F806,"Partially Paid")</f>
        <v>Partially Paid</v>
      </c>
      <c r="J806" t="str">
        <f t="shared" si="12"/>
        <v>NO</v>
      </c>
    </row>
    <row r="807" spans="1:10" x14ac:dyDescent="0.35">
      <c r="A807">
        <v>2806</v>
      </c>
      <c r="B807" t="s">
        <v>838</v>
      </c>
      <c r="C807" t="s">
        <v>45</v>
      </c>
      <c r="D807" t="s">
        <v>10</v>
      </c>
      <c r="E807">
        <v>45834</v>
      </c>
      <c r="F807">
        <v>46732</v>
      </c>
      <c r="G807">
        <v>41841</v>
      </c>
      <c r="H807" t="s">
        <v>67</v>
      </c>
      <c r="I807" t="str" cm="1">
        <f t="array" ref="I807">_xlfn.IFS(G807=0,"Not Paid",G807=F807,"Fully Paid",G807&lt;F807,"Partially Paid")</f>
        <v>Partially Paid</v>
      </c>
      <c r="J807" t="str">
        <f t="shared" si="12"/>
        <v>NO</v>
      </c>
    </row>
    <row r="808" spans="1:10" x14ac:dyDescent="0.35">
      <c r="A808">
        <v>2807</v>
      </c>
      <c r="B808" t="s">
        <v>839</v>
      </c>
      <c r="C808" t="s">
        <v>56</v>
      </c>
      <c r="D808" t="s">
        <v>27</v>
      </c>
      <c r="E808">
        <v>45674</v>
      </c>
      <c r="F808">
        <v>54998</v>
      </c>
      <c r="G808">
        <v>50006</v>
      </c>
      <c r="H808" t="s">
        <v>15</v>
      </c>
      <c r="I808" t="str" cm="1">
        <f t="array" ref="I808">_xlfn.IFS(G808=0,"Not Paid",G808=F808,"Fully Paid",G808&lt;F808,"Partially Paid")</f>
        <v>Partially Paid</v>
      </c>
      <c r="J808" t="str">
        <f t="shared" si="12"/>
        <v>YES</v>
      </c>
    </row>
    <row r="809" spans="1:10" x14ac:dyDescent="0.35">
      <c r="A809">
        <v>2808</v>
      </c>
      <c r="B809" t="s">
        <v>840</v>
      </c>
      <c r="C809" t="s">
        <v>9</v>
      </c>
      <c r="D809" t="s">
        <v>21</v>
      </c>
      <c r="E809">
        <v>45755</v>
      </c>
      <c r="F809">
        <v>57055</v>
      </c>
      <c r="G809">
        <v>55094</v>
      </c>
      <c r="H809" t="s">
        <v>11</v>
      </c>
      <c r="I809" t="str" cm="1">
        <f t="array" ref="I809">_xlfn.IFS(G809=0,"Not Paid",G809=F809,"Fully Paid",G809&lt;F809,"Partially Paid")</f>
        <v>Partially Paid</v>
      </c>
      <c r="J809" t="str">
        <f t="shared" si="12"/>
        <v>YES</v>
      </c>
    </row>
    <row r="810" spans="1:10" x14ac:dyDescent="0.35">
      <c r="A810">
        <v>2809</v>
      </c>
      <c r="B810" t="s">
        <v>841</v>
      </c>
      <c r="C810" t="s">
        <v>13</v>
      </c>
      <c r="D810" t="s">
        <v>27</v>
      </c>
      <c r="E810">
        <v>45855</v>
      </c>
      <c r="F810">
        <v>32112</v>
      </c>
      <c r="G810">
        <v>19615</v>
      </c>
      <c r="H810" t="s">
        <v>43</v>
      </c>
      <c r="I810" t="str" cm="1">
        <f t="array" ref="I810">_xlfn.IFS(G810=0,"Not Paid",G810=F810,"Fully Paid",G810&lt;F810,"Partially Paid")</f>
        <v>Partially Paid</v>
      </c>
      <c r="J810" t="str">
        <f t="shared" si="12"/>
        <v>NO</v>
      </c>
    </row>
    <row r="811" spans="1:10" x14ac:dyDescent="0.35">
      <c r="A811">
        <v>2810</v>
      </c>
      <c r="B811" t="s">
        <v>842</v>
      </c>
      <c r="C811" t="s">
        <v>56</v>
      </c>
      <c r="D811" t="s">
        <v>14</v>
      </c>
      <c r="E811">
        <v>45755</v>
      </c>
      <c r="F811">
        <v>59874</v>
      </c>
      <c r="G811">
        <v>57011</v>
      </c>
      <c r="H811" t="s">
        <v>11</v>
      </c>
      <c r="I811" t="str" cm="1">
        <f t="array" ref="I811">_xlfn.IFS(G811=0,"Not Paid",G811=F811,"Fully Paid",G811&lt;F811,"Partially Paid")</f>
        <v>Partially Paid</v>
      </c>
      <c r="J811" t="str">
        <f t="shared" si="12"/>
        <v>YES</v>
      </c>
    </row>
    <row r="812" spans="1:10" x14ac:dyDescent="0.35">
      <c r="A812">
        <v>2811</v>
      </c>
      <c r="B812" t="s">
        <v>843</v>
      </c>
      <c r="C812" t="s">
        <v>56</v>
      </c>
      <c r="D812" t="s">
        <v>14</v>
      </c>
      <c r="E812">
        <v>45722</v>
      </c>
      <c r="F812">
        <v>29689</v>
      </c>
      <c r="G812">
        <v>18841</v>
      </c>
      <c r="H812" t="s">
        <v>19</v>
      </c>
      <c r="I812" t="str" cm="1">
        <f t="array" ref="I812">_xlfn.IFS(G812=0,"Not Paid",G812=F812,"Fully Paid",G812&lt;F812,"Partially Paid")</f>
        <v>Partially Paid</v>
      </c>
      <c r="J812" t="str">
        <f t="shared" si="12"/>
        <v>NO</v>
      </c>
    </row>
    <row r="813" spans="1:10" x14ac:dyDescent="0.35">
      <c r="A813">
        <v>2812</v>
      </c>
      <c r="B813" t="s">
        <v>844</v>
      </c>
      <c r="C813" t="s">
        <v>56</v>
      </c>
      <c r="D813" t="s">
        <v>14</v>
      </c>
      <c r="E813">
        <v>45987</v>
      </c>
      <c r="F813">
        <v>39555</v>
      </c>
      <c r="G813">
        <v>28869</v>
      </c>
      <c r="H813" t="s">
        <v>29</v>
      </c>
      <c r="I813" t="str" cm="1">
        <f t="array" ref="I813">_xlfn.IFS(G813=0,"Not Paid",G813=F813,"Fully Paid",G813&lt;F813,"Partially Paid")</f>
        <v>Partially Paid</v>
      </c>
      <c r="J813" t="str">
        <f t="shared" si="12"/>
        <v>NO</v>
      </c>
    </row>
    <row r="814" spans="1:10" x14ac:dyDescent="0.35">
      <c r="A814">
        <v>2813</v>
      </c>
      <c r="B814" t="s">
        <v>845</v>
      </c>
      <c r="C814" t="s">
        <v>45</v>
      </c>
      <c r="D814" t="s">
        <v>37</v>
      </c>
      <c r="E814">
        <v>45998</v>
      </c>
      <c r="F814">
        <v>53919</v>
      </c>
      <c r="G814">
        <v>47316</v>
      </c>
      <c r="H814" t="s">
        <v>25</v>
      </c>
      <c r="I814" t="str" cm="1">
        <f t="array" ref="I814">_xlfn.IFS(G814=0,"Not Paid",G814=F814,"Fully Paid",G814&lt;F814,"Partially Paid")</f>
        <v>Partially Paid</v>
      </c>
      <c r="J814" t="str">
        <f t="shared" si="12"/>
        <v>YES</v>
      </c>
    </row>
    <row r="815" spans="1:10" x14ac:dyDescent="0.35">
      <c r="A815">
        <v>2814</v>
      </c>
      <c r="B815" t="s">
        <v>846</v>
      </c>
      <c r="C815" t="s">
        <v>17</v>
      </c>
      <c r="D815" t="s">
        <v>27</v>
      </c>
      <c r="E815">
        <v>45662</v>
      </c>
      <c r="F815">
        <v>27619</v>
      </c>
      <c r="G815">
        <v>14364</v>
      </c>
      <c r="H815" t="s">
        <v>15</v>
      </c>
      <c r="I815" t="str" cm="1">
        <f t="array" ref="I815">_xlfn.IFS(G815=0,"Not Paid",G815=F815,"Fully Paid",G815&lt;F815,"Partially Paid")</f>
        <v>Partially Paid</v>
      </c>
      <c r="J815" t="str">
        <f t="shared" si="12"/>
        <v>NO</v>
      </c>
    </row>
    <row r="816" spans="1:10" x14ac:dyDescent="0.35">
      <c r="A816">
        <v>2815</v>
      </c>
      <c r="B816" t="s">
        <v>847</v>
      </c>
      <c r="C816" t="s">
        <v>45</v>
      </c>
      <c r="D816" t="s">
        <v>21</v>
      </c>
      <c r="E816">
        <v>45659</v>
      </c>
      <c r="F816">
        <v>26033</v>
      </c>
      <c r="G816">
        <v>21466</v>
      </c>
      <c r="H816" t="s">
        <v>15</v>
      </c>
      <c r="I816" t="str" cm="1">
        <f t="array" ref="I816">_xlfn.IFS(G816=0,"Not Paid",G816=F816,"Fully Paid",G816&lt;F816,"Partially Paid")</f>
        <v>Partially Paid</v>
      </c>
      <c r="J816" t="str">
        <f t="shared" si="12"/>
        <v>NO</v>
      </c>
    </row>
    <row r="817" spans="1:10" x14ac:dyDescent="0.35">
      <c r="A817">
        <v>2816</v>
      </c>
      <c r="B817" t="s">
        <v>848</v>
      </c>
      <c r="C817" t="s">
        <v>33</v>
      </c>
      <c r="D817" t="s">
        <v>21</v>
      </c>
      <c r="E817">
        <v>45679</v>
      </c>
      <c r="F817">
        <v>24946</v>
      </c>
      <c r="G817">
        <v>18433</v>
      </c>
      <c r="H817" t="s">
        <v>15</v>
      </c>
      <c r="I817" t="str" cm="1">
        <f t="array" ref="I817">_xlfn.IFS(G817=0,"Not Paid",G817=F817,"Fully Paid",G817&lt;F817,"Partially Paid")</f>
        <v>Partially Paid</v>
      </c>
      <c r="J817" t="str">
        <f t="shared" si="12"/>
        <v>NO</v>
      </c>
    </row>
    <row r="818" spans="1:10" x14ac:dyDescent="0.35">
      <c r="A818">
        <v>2817</v>
      </c>
      <c r="B818" t="s">
        <v>849</v>
      </c>
      <c r="C818" t="s">
        <v>13</v>
      </c>
      <c r="D818" t="s">
        <v>18</v>
      </c>
      <c r="E818">
        <v>45769</v>
      </c>
      <c r="F818">
        <v>44618</v>
      </c>
      <c r="G818">
        <v>40613</v>
      </c>
      <c r="H818" t="s">
        <v>11</v>
      </c>
      <c r="I818" t="str" cm="1">
        <f t="array" ref="I818">_xlfn.IFS(G818=0,"Not Paid",G818=F818,"Fully Paid",G818&lt;F818,"Partially Paid")</f>
        <v>Partially Paid</v>
      </c>
      <c r="J818" t="str">
        <f t="shared" si="12"/>
        <v>NO</v>
      </c>
    </row>
    <row r="819" spans="1:10" x14ac:dyDescent="0.35">
      <c r="A819">
        <v>2818</v>
      </c>
      <c r="B819" t="s">
        <v>850</v>
      </c>
      <c r="C819" t="s">
        <v>17</v>
      </c>
      <c r="D819" t="s">
        <v>18</v>
      </c>
      <c r="E819">
        <v>45714</v>
      </c>
      <c r="F819">
        <v>54675</v>
      </c>
      <c r="G819">
        <v>42920</v>
      </c>
      <c r="H819" t="s">
        <v>77</v>
      </c>
      <c r="I819" t="str" cm="1">
        <f t="array" ref="I819">_xlfn.IFS(G819=0,"Not Paid",G819=F819,"Fully Paid",G819&lt;F819,"Partially Paid")</f>
        <v>Partially Paid</v>
      </c>
      <c r="J819" t="str">
        <f t="shared" si="12"/>
        <v>YES</v>
      </c>
    </row>
    <row r="820" spans="1:10" x14ac:dyDescent="0.35">
      <c r="A820">
        <v>2819</v>
      </c>
      <c r="B820" t="s">
        <v>851</v>
      </c>
      <c r="C820" t="s">
        <v>17</v>
      </c>
      <c r="D820" t="s">
        <v>18</v>
      </c>
      <c r="E820">
        <v>45723</v>
      </c>
      <c r="F820">
        <v>56258</v>
      </c>
      <c r="G820">
        <v>47144</v>
      </c>
      <c r="H820" t="s">
        <v>19</v>
      </c>
      <c r="I820" t="str" cm="1">
        <f t="array" ref="I820">_xlfn.IFS(G820=0,"Not Paid",G820=F820,"Fully Paid",G820&lt;F820,"Partially Paid")</f>
        <v>Partially Paid</v>
      </c>
      <c r="J820" t="str">
        <f t="shared" si="12"/>
        <v>YES</v>
      </c>
    </row>
    <row r="821" spans="1:10" x14ac:dyDescent="0.35">
      <c r="A821">
        <v>2820</v>
      </c>
      <c r="B821" t="s">
        <v>852</v>
      </c>
      <c r="C821" t="s">
        <v>17</v>
      </c>
      <c r="D821" t="s">
        <v>14</v>
      </c>
      <c r="E821">
        <v>45987</v>
      </c>
      <c r="F821">
        <v>38919</v>
      </c>
      <c r="G821">
        <v>26495</v>
      </c>
      <c r="H821" t="s">
        <v>29</v>
      </c>
      <c r="I821" t="str" cm="1">
        <f t="array" ref="I821">_xlfn.IFS(G821=0,"Not Paid",G821=F821,"Fully Paid",G821&lt;F821,"Partially Paid")</f>
        <v>Partially Paid</v>
      </c>
      <c r="J821" t="str">
        <f t="shared" si="12"/>
        <v>NO</v>
      </c>
    </row>
    <row r="822" spans="1:10" x14ac:dyDescent="0.35">
      <c r="A822">
        <v>2821</v>
      </c>
      <c r="B822" t="s">
        <v>853</v>
      </c>
      <c r="C822" t="s">
        <v>9</v>
      </c>
      <c r="D822" t="s">
        <v>21</v>
      </c>
      <c r="E822">
        <v>45755</v>
      </c>
      <c r="F822">
        <v>24173</v>
      </c>
      <c r="G822">
        <v>11519</v>
      </c>
      <c r="H822" t="s">
        <v>11</v>
      </c>
      <c r="I822" t="str" cm="1">
        <f t="array" ref="I822">_xlfn.IFS(G822=0,"Not Paid",G822=F822,"Fully Paid",G822&lt;F822,"Partially Paid")</f>
        <v>Partially Paid</v>
      </c>
      <c r="J822" t="str">
        <f t="shared" si="12"/>
        <v>NO</v>
      </c>
    </row>
    <row r="823" spans="1:10" x14ac:dyDescent="0.35">
      <c r="A823">
        <v>2822</v>
      </c>
      <c r="B823" t="s">
        <v>854</v>
      </c>
      <c r="C823" t="s">
        <v>17</v>
      </c>
      <c r="D823" t="s">
        <v>27</v>
      </c>
      <c r="E823">
        <v>45801</v>
      </c>
      <c r="F823">
        <v>46400</v>
      </c>
      <c r="G823">
        <v>35249</v>
      </c>
      <c r="H823" t="s">
        <v>31</v>
      </c>
      <c r="I823" t="str" cm="1">
        <f t="array" ref="I823">_xlfn.IFS(G823=0,"Not Paid",G823=F823,"Fully Paid",G823&lt;F823,"Partially Paid")</f>
        <v>Partially Paid</v>
      </c>
      <c r="J823" t="str">
        <f t="shared" si="12"/>
        <v>NO</v>
      </c>
    </row>
    <row r="824" spans="1:10" x14ac:dyDescent="0.35">
      <c r="A824">
        <v>2823</v>
      </c>
      <c r="B824" t="s">
        <v>855</v>
      </c>
      <c r="C824" t="s">
        <v>45</v>
      </c>
      <c r="D824" t="s">
        <v>14</v>
      </c>
      <c r="E824">
        <v>45782</v>
      </c>
      <c r="F824">
        <v>24769</v>
      </c>
      <c r="G824">
        <v>24586</v>
      </c>
      <c r="H824" t="s">
        <v>31</v>
      </c>
      <c r="I824" t="str" cm="1">
        <f t="array" ref="I824">_xlfn.IFS(G824=0,"Not Paid",G824=F824,"Fully Paid",G824&lt;F824,"Partially Paid")</f>
        <v>Partially Paid</v>
      </c>
      <c r="J824" t="str">
        <f t="shared" si="12"/>
        <v>NO</v>
      </c>
    </row>
    <row r="825" spans="1:10" x14ac:dyDescent="0.35">
      <c r="A825">
        <v>2824</v>
      </c>
      <c r="B825" t="s">
        <v>856</v>
      </c>
      <c r="C825" t="s">
        <v>17</v>
      </c>
      <c r="D825" t="s">
        <v>37</v>
      </c>
      <c r="E825">
        <v>45824</v>
      </c>
      <c r="F825">
        <v>57564</v>
      </c>
      <c r="G825">
        <v>49809</v>
      </c>
      <c r="H825" t="s">
        <v>67</v>
      </c>
      <c r="I825" t="str" cm="1">
        <f t="array" ref="I825">_xlfn.IFS(G825=0,"Not Paid",G825=F825,"Fully Paid",G825&lt;F825,"Partially Paid")</f>
        <v>Partially Paid</v>
      </c>
      <c r="J825" t="str">
        <f t="shared" si="12"/>
        <v>YES</v>
      </c>
    </row>
    <row r="826" spans="1:10" x14ac:dyDescent="0.35">
      <c r="A826">
        <v>2825</v>
      </c>
      <c r="B826" t="s">
        <v>857</v>
      </c>
      <c r="C826" t="s">
        <v>24</v>
      </c>
      <c r="D826" t="s">
        <v>18</v>
      </c>
      <c r="E826">
        <v>45743</v>
      </c>
      <c r="F826">
        <v>34211</v>
      </c>
      <c r="G826">
        <v>30853</v>
      </c>
      <c r="H826" t="s">
        <v>19</v>
      </c>
      <c r="I826" t="str" cm="1">
        <f t="array" ref="I826">_xlfn.IFS(G826=0,"Not Paid",G826=F826,"Fully Paid",G826&lt;F826,"Partially Paid")</f>
        <v>Partially Paid</v>
      </c>
      <c r="J826" t="str">
        <f t="shared" si="12"/>
        <v>NO</v>
      </c>
    </row>
    <row r="827" spans="1:10" x14ac:dyDescent="0.35">
      <c r="A827">
        <v>2826</v>
      </c>
      <c r="B827" t="s">
        <v>858</v>
      </c>
      <c r="C827" t="s">
        <v>13</v>
      </c>
      <c r="D827" t="s">
        <v>14</v>
      </c>
      <c r="E827">
        <v>45733</v>
      </c>
      <c r="F827">
        <v>43255</v>
      </c>
      <c r="G827">
        <v>36640</v>
      </c>
      <c r="H827" t="s">
        <v>19</v>
      </c>
      <c r="I827" t="str" cm="1">
        <f t="array" ref="I827">_xlfn.IFS(G827=0,"Not Paid",G827=F827,"Fully Paid",G827&lt;F827,"Partially Paid")</f>
        <v>Partially Paid</v>
      </c>
      <c r="J827" t="str">
        <f t="shared" si="12"/>
        <v>NO</v>
      </c>
    </row>
    <row r="828" spans="1:10" x14ac:dyDescent="0.35">
      <c r="A828">
        <v>2827</v>
      </c>
      <c r="B828" t="s">
        <v>859</v>
      </c>
      <c r="C828" t="s">
        <v>17</v>
      </c>
      <c r="D828" t="s">
        <v>14</v>
      </c>
      <c r="E828">
        <v>46001</v>
      </c>
      <c r="F828">
        <v>47962</v>
      </c>
      <c r="G828">
        <v>38372</v>
      </c>
      <c r="H828" t="s">
        <v>25</v>
      </c>
      <c r="I828" t="str" cm="1">
        <f t="array" ref="I828">_xlfn.IFS(G828=0,"Not Paid",G828=F828,"Fully Paid",G828&lt;F828,"Partially Paid")</f>
        <v>Partially Paid</v>
      </c>
      <c r="J828" t="str">
        <f t="shared" si="12"/>
        <v>NO</v>
      </c>
    </row>
    <row r="829" spans="1:10" x14ac:dyDescent="0.35">
      <c r="A829">
        <v>2828</v>
      </c>
      <c r="B829" t="s">
        <v>860</v>
      </c>
      <c r="C829" t="s">
        <v>13</v>
      </c>
      <c r="D829" t="s">
        <v>37</v>
      </c>
      <c r="E829">
        <v>45951</v>
      </c>
      <c r="F829">
        <v>39356</v>
      </c>
      <c r="G829">
        <v>32559</v>
      </c>
      <c r="H829" t="s">
        <v>22</v>
      </c>
      <c r="I829" t="str" cm="1">
        <f t="array" ref="I829">_xlfn.IFS(G829=0,"Not Paid",G829=F829,"Fully Paid",G829&lt;F829,"Partially Paid")</f>
        <v>Partially Paid</v>
      </c>
      <c r="J829" t="str">
        <f t="shared" si="12"/>
        <v>NO</v>
      </c>
    </row>
    <row r="830" spans="1:10" x14ac:dyDescent="0.35">
      <c r="A830">
        <v>2829</v>
      </c>
      <c r="B830" t="s">
        <v>861</v>
      </c>
      <c r="C830" t="s">
        <v>24</v>
      </c>
      <c r="D830" t="s">
        <v>10</v>
      </c>
      <c r="E830">
        <v>45716</v>
      </c>
      <c r="F830">
        <v>40306</v>
      </c>
      <c r="G830">
        <v>29318</v>
      </c>
      <c r="H830" t="s">
        <v>77</v>
      </c>
      <c r="I830" t="str" cm="1">
        <f t="array" ref="I830">_xlfn.IFS(G830=0,"Not Paid",G830=F830,"Fully Paid",G830&lt;F830,"Partially Paid")</f>
        <v>Partially Paid</v>
      </c>
      <c r="J830" t="str">
        <f t="shared" si="12"/>
        <v>NO</v>
      </c>
    </row>
    <row r="831" spans="1:10" x14ac:dyDescent="0.35">
      <c r="A831">
        <v>2830</v>
      </c>
      <c r="B831" t="s">
        <v>862</v>
      </c>
      <c r="C831" t="s">
        <v>24</v>
      </c>
      <c r="D831" t="s">
        <v>21</v>
      </c>
      <c r="E831">
        <v>45795</v>
      </c>
      <c r="F831">
        <v>24997</v>
      </c>
      <c r="G831">
        <v>16269</v>
      </c>
      <c r="H831" t="s">
        <v>31</v>
      </c>
      <c r="I831" t="str" cm="1">
        <f t="array" ref="I831">_xlfn.IFS(G831=0,"Not Paid",G831=F831,"Fully Paid",G831&lt;F831,"Partially Paid")</f>
        <v>Partially Paid</v>
      </c>
      <c r="J831" t="str">
        <f t="shared" si="12"/>
        <v>NO</v>
      </c>
    </row>
    <row r="832" spans="1:10" x14ac:dyDescent="0.35">
      <c r="A832">
        <v>2831</v>
      </c>
      <c r="B832" t="s">
        <v>863</v>
      </c>
      <c r="C832" t="s">
        <v>13</v>
      </c>
      <c r="D832" t="s">
        <v>27</v>
      </c>
      <c r="E832">
        <v>45756</v>
      </c>
      <c r="F832">
        <v>37376</v>
      </c>
      <c r="G832">
        <v>29698</v>
      </c>
      <c r="H832" t="s">
        <v>11</v>
      </c>
      <c r="I832" t="str" cm="1">
        <f t="array" ref="I832">_xlfn.IFS(G832=0,"Not Paid",G832=F832,"Fully Paid",G832&lt;F832,"Partially Paid")</f>
        <v>Partially Paid</v>
      </c>
      <c r="J832" t="str">
        <f t="shared" si="12"/>
        <v>NO</v>
      </c>
    </row>
    <row r="833" spans="1:10" x14ac:dyDescent="0.35">
      <c r="A833">
        <v>2832</v>
      </c>
      <c r="B833" t="s">
        <v>864</v>
      </c>
      <c r="C833" t="s">
        <v>56</v>
      </c>
      <c r="D833" t="s">
        <v>10</v>
      </c>
      <c r="E833">
        <v>45849</v>
      </c>
      <c r="F833">
        <v>58055</v>
      </c>
      <c r="G833">
        <v>52357</v>
      </c>
      <c r="H833" t="s">
        <v>43</v>
      </c>
      <c r="I833" t="str" cm="1">
        <f t="array" ref="I833">_xlfn.IFS(G833=0,"Not Paid",G833=F833,"Fully Paid",G833&lt;F833,"Partially Paid")</f>
        <v>Partially Paid</v>
      </c>
      <c r="J833" t="str">
        <f t="shared" si="12"/>
        <v>YES</v>
      </c>
    </row>
    <row r="834" spans="1:10" x14ac:dyDescent="0.35">
      <c r="A834">
        <v>2833</v>
      </c>
      <c r="B834" t="s">
        <v>865</v>
      </c>
      <c r="C834" t="s">
        <v>33</v>
      </c>
      <c r="D834" t="s">
        <v>18</v>
      </c>
      <c r="E834">
        <v>45900</v>
      </c>
      <c r="F834">
        <v>30578</v>
      </c>
      <c r="G834">
        <v>29305</v>
      </c>
      <c r="H834" t="s">
        <v>38</v>
      </c>
      <c r="I834" t="str" cm="1">
        <f t="array" ref="I834">_xlfn.IFS(G834=0,"Not Paid",G834=F834,"Fully Paid",G834&lt;F834,"Partially Paid")</f>
        <v>Partially Paid</v>
      </c>
      <c r="J834" t="str">
        <f t="shared" si="12"/>
        <v>NO</v>
      </c>
    </row>
    <row r="835" spans="1:10" x14ac:dyDescent="0.35">
      <c r="A835">
        <v>2834</v>
      </c>
      <c r="B835" t="s">
        <v>866</v>
      </c>
      <c r="C835" t="s">
        <v>9</v>
      </c>
      <c r="D835" t="s">
        <v>14</v>
      </c>
      <c r="E835">
        <v>45976</v>
      </c>
      <c r="F835">
        <v>38624</v>
      </c>
      <c r="G835">
        <v>27465</v>
      </c>
      <c r="H835" t="s">
        <v>29</v>
      </c>
      <c r="I835" t="str" cm="1">
        <f t="array" ref="I835">_xlfn.IFS(G835=0,"Not Paid",G835=F835,"Fully Paid",G835&lt;F835,"Partially Paid")</f>
        <v>Partially Paid</v>
      </c>
      <c r="J835" t="str">
        <f t="shared" ref="J835:J898" si="13">IF(F835&gt;50000,"YES","NO")</f>
        <v>NO</v>
      </c>
    </row>
    <row r="836" spans="1:10" x14ac:dyDescent="0.35">
      <c r="A836">
        <v>2835</v>
      </c>
      <c r="B836" t="s">
        <v>867</v>
      </c>
      <c r="C836" t="s">
        <v>56</v>
      </c>
      <c r="D836" t="s">
        <v>37</v>
      </c>
      <c r="E836">
        <v>45706</v>
      </c>
      <c r="F836">
        <v>59194</v>
      </c>
      <c r="G836">
        <v>52541</v>
      </c>
      <c r="H836" t="s">
        <v>77</v>
      </c>
      <c r="I836" t="str" cm="1">
        <f t="array" ref="I836">_xlfn.IFS(G836=0,"Not Paid",G836=F836,"Fully Paid",G836&lt;F836,"Partially Paid")</f>
        <v>Partially Paid</v>
      </c>
      <c r="J836" t="str">
        <f t="shared" si="13"/>
        <v>YES</v>
      </c>
    </row>
    <row r="837" spans="1:10" x14ac:dyDescent="0.35">
      <c r="A837">
        <v>2836</v>
      </c>
      <c r="B837" t="s">
        <v>868</v>
      </c>
      <c r="C837" t="s">
        <v>56</v>
      </c>
      <c r="D837" t="s">
        <v>37</v>
      </c>
      <c r="E837">
        <v>45689</v>
      </c>
      <c r="F837">
        <v>20389</v>
      </c>
      <c r="G837">
        <v>5424</v>
      </c>
      <c r="H837" t="s">
        <v>77</v>
      </c>
      <c r="I837" t="str" cm="1">
        <f t="array" ref="I837">_xlfn.IFS(G837=0,"Not Paid",G837=F837,"Fully Paid",G837&lt;F837,"Partially Paid")</f>
        <v>Partially Paid</v>
      </c>
      <c r="J837" t="str">
        <f t="shared" si="13"/>
        <v>NO</v>
      </c>
    </row>
    <row r="838" spans="1:10" x14ac:dyDescent="0.35">
      <c r="A838">
        <v>2837</v>
      </c>
      <c r="B838" t="s">
        <v>869</v>
      </c>
      <c r="C838" t="s">
        <v>45</v>
      </c>
      <c r="D838" t="s">
        <v>21</v>
      </c>
      <c r="E838">
        <v>45934</v>
      </c>
      <c r="F838">
        <v>53767</v>
      </c>
      <c r="G838">
        <v>42526</v>
      </c>
      <c r="H838" t="s">
        <v>22</v>
      </c>
      <c r="I838" t="str" cm="1">
        <f t="array" ref="I838">_xlfn.IFS(G838=0,"Not Paid",G838=F838,"Fully Paid",G838&lt;F838,"Partially Paid")</f>
        <v>Partially Paid</v>
      </c>
      <c r="J838" t="str">
        <f t="shared" si="13"/>
        <v>YES</v>
      </c>
    </row>
    <row r="839" spans="1:10" x14ac:dyDescent="0.35">
      <c r="A839">
        <v>2838</v>
      </c>
      <c r="B839" t="s">
        <v>870</v>
      </c>
      <c r="C839" t="s">
        <v>9</v>
      </c>
      <c r="D839" t="s">
        <v>10</v>
      </c>
      <c r="E839">
        <v>45677</v>
      </c>
      <c r="F839">
        <v>21855</v>
      </c>
      <c r="G839">
        <v>20759</v>
      </c>
      <c r="H839" t="s">
        <v>15</v>
      </c>
      <c r="I839" t="str" cm="1">
        <f t="array" ref="I839">_xlfn.IFS(G839=0,"Not Paid",G839=F839,"Fully Paid",G839&lt;F839,"Partially Paid")</f>
        <v>Partially Paid</v>
      </c>
      <c r="J839" t="str">
        <f t="shared" si="13"/>
        <v>NO</v>
      </c>
    </row>
    <row r="840" spans="1:10" x14ac:dyDescent="0.35">
      <c r="A840">
        <v>2839</v>
      </c>
      <c r="B840" t="s">
        <v>871</v>
      </c>
      <c r="C840" t="s">
        <v>9</v>
      </c>
      <c r="D840" t="s">
        <v>21</v>
      </c>
      <c r="E840">
        <v>45811</v>
      </c>
      <c r="F840">
        <v>33794</v>
      </c>
      <c r="G840">
        <v>24297</v>
      </c>
      <c r="H840" t="s">
        <v>67</v>
      </c>
      <c r="I840" t="str" cm="1">
        <f t="array" ref="I840">_xlfn.IFS(G840=0,"Not Paid",G840=F840,"Fully Paid",G840&lt;F840,"Partially Paid")</f>
        <v>Partially Paid</v>
      </c>
      <c r="J840" t="str">
        <f t="shared" si="13"/>
        <v>NO</v>
      </c>
    </row>
    <row r="841" spans="1:10" x14ac:dyDescent="0.35">
      <c r="A841">
        <v>2840</v>
      </c>
      <c r="B841" t="s">
        <v>872</v>
      </c>
      <c r="C841" t="s">
        <v>56</v>
      </c>
      <c r="D841" t="s">
        <v>14</v>
      </c>
      <c r="E841">
        <v>45725</v>
      </c>
      <c r="F841">
        <v>55531</v>
      </c>
      <c r="G841">
        <v>46424</v>
      </c>
      <c r="H841" t="s">
        <v>19</v>
      </c>
      <c r="I841" t="str" cm="1">
        <f t="array" ref="I841">_xlfn.IFS(G841=0,"Not Paid",G841=F841,"Fully Paid",G841&lt;F841,"Partially Paid")</f>
        <v>Partially Paid</v>
      </c>
      <c r="J841" t="str">
        <f t="shared" si="13"/>
        <v>YES</v>
      </c>
    </row>
    <row r="842" spans="1:10" x14ac:dyDescent="0.35">
      <c r="A842">
        <v>2841</v>
      </c>
      <c r="B842" t="s">
        <v>873</v>
      </c>
      <c r="C842" t="s">
        <v>17</v>
      </c>
      <c r="D842" t="s">
        <v>21</v>
      </c>
      <c r="E842">
        <v>45871</v>
      </c>
      <c r="F842">
        <v>24986</v>
      </c>
      <c r="G842">
        <v>13713</v>
      </c>
      <c r="H842" t="s">
        <v>38</v>
      </c>
      <c r="I842" t="str" cm="1">
        <f t="array" ref="I842">_xlfn.IFS(G842=0,"Not Paid",G842=F842,"Fully Paid",G842&lt;F842,"Partially Paid")</f>
        <v>Partially Paid</v>
      </c>
      <c r="J842" t="str">
        <f t="shared" si="13"/>
        <v>NO</v>
      </c>
    </row>
    <row r="843" spans="1:10" x14ac:dyDescent="0.35">
      <c r="A843">
        <v>2842</v>
      </c>
      <c r="B843" t="s">
        <v>874</v>
      </c>
      <c r="C843" t="s">
        <v>45</v>
      </c>
      <c r="D843" t="s">
        <v>27</v>
      </c>
      <c r="E843">
        <v>45800</v>
      </c>
      <c r="F843">
        <v>52298</v>
      </c>
      <c r="G843">
        <v>44296</v>
      </c>
      <c r="H843" t="s">
        <v>31</v>
      </c>
      <c r="I843" t="str" cm="1">
        <f t="array" ref="I843">_xlfn.IFS(G843=0,"Not Paid",G843=F843,"Fully Paid",G843&lt;F843,"Partially Paid")</f>
        <v>Partially Paid</v>
      </c>
      <c r="J843" t="str">
        <f t="shared" si="13"/>
        <v>YES</v>
      </c>
    </row>
    <row r="844" spans="1:10" x14ac:dyDescent="0.35">
      <c r="A844">
        <v>2843</v>
      </c>
      <c r="B844" t="s">
        <v>875</v>
      </c>
      <c r="C844" t="s">
        <v>45</v>
      </c>
      <c r="D844" t="s">
        <v>37</v>
      </c>
      <c r="E844">
        <v>45889</v>
      </c>
      <c r="F844">
        <v>21481</v>
      </c>
      <c r="G844">
        <v>17234</v>
      </c>
      <c r="H844" t="s">
        <v>38</v>
      </c>
      <c r="I844" t="str" cm="1">
        <f t="array" ref="I844">_xlfn.IFS(G844=0,"Not Paid",G844=F844,"Fully Paid",G844&lt;F844,"Partially Paid")</f>
        <v>Partially Paid</v>
      </c>
      <c r="J844" t="str">
        <f t="shared" si="13"/>
        <v>NO</v>
      </c>
    </row>
    <row r="845" spans="1:10" x14ac:dyDescent="0.35">
      <c r="A845">
        <v>2844</v>
      </c>
      <c r="B845" t="s">
        <v>876</v>
      </c>
      <c r="C845" t="s">
        <v>24</v>
      </c>
      <c r="D845" t="s">
        <v>37</v>
      </c>
      <c r="E845">
        <v>45870</v>
      </c>
      <c r="F845">
        <v>23731</v>
      </c>
      <c r="G845">
        <v>14511</v>
      </c>
      <c r="H845" t="s">
        <v>38</v>
      </c>
      <c r="I845" t="str" cm="1">
        <f t="array" ref="I845">_xlfn.IFS(G845=0,"Not Paid",G845=F845,"Fully Paid",G845&lt;F845,"Partially Paid")</f>
        <v>Partially Paid</v>
      </c>
      <c r="J845" t="str">
        <f t="shared" si="13"/>
        <v>NO</v>
      </c>
    </row>
    <row r="846" spans="1:10" x14ac:dyDescent="0.35">
      <c r="A846">
        <v>2845</v>
      </c>
      <c r="B846" t="s">
        <v>877</v>
      </c>
      <c r="C846" t="s">
        <v>9</v>
      </c>
      <c r="D846" t="s">
        <v>18</v>
      </c>
      <c r="E846">
        <v>45736</v>
      </c>
      <c r="F846">
        <v>36835</v>
      </c>
      <c r="G846">
        <v>31521</v>
      </c>
      <c r="H846" t="s">
        <v>19</v>
      </c>
      <c r="I846" t="str" cm="1">
        <f t="array" ref="I846">_xlfn.IFS(G846=0,"Not Paid",G846=F846,"Fully Paid",G846&lt;F846,"Partially Paid")</f>
        <v>Partially Paid</v>
      </c>
      <c r="J846" t="str">
        <f t="shared" si="13"/>
        <v>NO</v>
      </c>
    </row>
    <row r="847" spans="1:10" x14ac:dyDescent="0.35">
      <c r="A847">
        <v>2846</v>
      </c>
      <c r="B847" t="s">
        <v>878</v>
      </c>
      <c r="C847" t="s">
        <v>56</v>
      </c>
      <c r="D847" t="s">
        <v>18</v>
      </c>
      <c r="E847">
        <v>45871</v>
      </c>
      <c r="F847">
        <v>47798</v>
      </c>
      <c r="G847">
        <v>37629</v>
      </c>
      <c r="H847" t="s">
        <v>38</v>
      </c>
      <c r="I847" t="str" cm="1">
        <f t="array" ref="I847">_xlfn.IFS(G847=0,"Not Paid",G847=F847,"Fully Paid",G847&lt;F847,"Partially Paid")</f>
        <v>Partially Paid</v>
      </c>
      <c r="J847" t="str">
        <f t="shared" si="13"/>
        <v>NO</v>
      </c>
    </row>
    <row r="848" spans="1:10" x14ac:dyDescent="0.35">
      <c r="A848">
        <v>2847</v>
      </c>
      <c r="B848" t="s">
        <v>879</v>
      </c>
      <c r="C848" t="s">
        <v>24</v>
      </c>
      <c r="D848" t="s">
        <v>14</v>
      </c>
      <c r="E848">
        <v>45773</v>
      </c>
      <c r="F848">
        <v>46113</v>
      </c>
      <c r="G848">
        <v>42759</v>
      </c>
      <c r="H848" t="s">
        <v>11</v>
      </c>
      <c r="I848" t="str" cm="1">
        <f t="array" ref="I848">_xlfn.IFS(G848=0,"Not Paid",G848=F848,"Fully Paid",G848&lt;F848,"Partially Paid")</f>
        <v>Partially Paid</v>
      </c>
      <c r="J848" t="str">
        <f t="shared" si="13"/>
        <v>NO</v>
      </c>
    </row>
    <row r="849" spans="1:10" x14ac:dyDescent="0.35">
      <c r="A849">
        <v>2848</v>
      </c>
      <c r="B849" t="s">
        <v>880</v>
      </c>
      <c r="C849" t="s">
        <v>13</v>
      </c>
      <c r="D849" t="s">
        <v>27</v>
      </c>
      <c r="E849">
        <v>45749</v>
      </c>
      <c r="F849">
        <v>39477</v>
      </c>
      <c r="G849">
        <v>28774</v>
      </c>
      <c r="H849" t="s">
        <v>11</v>
      </c>
      <c r="I849" t="str" cm="1">
        <f t="array" ref="I849">_xlfn.IFS(G849=0,"Not Paid",G849=F849,"Fully Paid",G849&lt;F849,"Partially Paid")</f>
        <v>Partially Paid</v>
      </c>
      <c r="J849" t="str">
        <f t="shared" si="13"/>
        <v>NO</v>
      </c>
    </row>
    <row r="850" spans="1:10" x14ac:dyDescent="0.35">
      <c r="A850">
        <v>2849</v>
      </c>
      <c r="B850" t="s">
        <v>881</v>
      </c>
      <c r="C850" t="s">
        <v>33</v>
      </c>
      <c r="D850" t="s">
        <v>10</v>
      </c>
      <c r="E850">
        <v>45927</v>
      </c>
      <c r="F850">
        <v>37266</v>
      </c>
      <c r="G850">
        <v>36996</v>
      </c>
      <c r="H850" t="s">
        <v>53</v>
      </c>
      <c r="I850" t="str" cm="1">
        <f t="array" ref="I850">_xlfn.IFS(G850=0,"Not Paid",G850=F850,"Fully Paid",G850&lt;F850,"Partially Paid")</f>
        <v>Partially Paid</v>
      </c>
      <c r="J850" t="str">
        <f t="shared" si="13"/>
        <v>NO</v>
      </c>
    </row>
    <row r="851" spans="1:10" x14ac:dyDescent="0.35">
      <c r="A851">
        <v>2850</v>
      </c>
      <c r="B851" t="s">
        <v>882</v>
      </c>
      <c r="C851" t="s">
        <v>45</v>
      </c>
      <c r="D851" t="s">
        <v>21</v>
      </c>
      <c r="E851">
        <v>45825</v>
      </c>
      <c r="F851">
        <v>40792</v>
      </c>
      <c r="G851">
        <v>39606</v>
      </c>
      <c r="H851" t="s">
        <v>67</v>
      </c>
      <c r="I851" t="str" cm="1">
        <f t="array" ref="I851">_xlfn.IFS(G851=0,"Not Paid",G851=F851,"Fully Paid",G851&lt;F851,"Partially Paid")</f>
        <v>Partially Paid</v>
      </c>
      <c r="J851" t="str">
        <f t="shared" si="13"/>
        <v>NO</v>
      </c>
    </row>
    <row r="852" spans="1:10" x14ac:dyDescent="0.35">
      <c r="A852">
        <v>2851</v>
      </c>
      <c r="B852" t="s">
        <v>883</v>
      </c>
      <c r="C852" t="s">
        <v>13</v>
      </c>
      <c r="D852" t="s">
        <v>14</v>
      </c>
      <c r="E852">
        <v>45715</v>
      </c>
      <c r="F852">
        <v>40452</v>
      </c>
      <c r="G852">
        <v>27705</v>
      </c>
      <c r="H852" t="s">
        <v>77</v>
      </c>
      <c r="I852" t="str" cm="1">
        <f t="array" ref="I852">_xlfn.IFS(G852=0,"Not Paid",G852=F852,"Fully Paid",G852&lt;F852,"Partially Paid")</f>
        <v>Partially Paid</v>
      </c>
      <c r="J852" t="str">
        <f t="shared" si="13"/>
        <v>NO</v>
      </c>
    </row>
    <row r="853" spans="1:10" x14ac:dyDescent="0.35">
      <c r="A853">
        <v>2852</v>
      </c>
      <c r="B853" t="s">
        <v>884</v>
      </c>
      <c r="C853" t="s">
        <v>13</v>
      </c>
      <c r="D853" t="s">
        <v>18</v>
      </c>
      <c r="E853">
        <v>45941</v>
      </c>
      <c r="F853">
        <v>31889</v>
      </c>
      <c r="G853">
        <v>19497</v>
      </c>
      <c r="H853" t="s">
        <v>22</v>
      </c>
      <c r="I853" t="str" cm="1">
        <f t="array" ref="I853">_xlfn.IFS(G853=0,"Not Paid",G853=F853,"Fully Paid",G853&lt;F853,"Partially Paid")</f>
        <v>Partially Paid</v>
      </c>
      <c r="J853" t="str">
        <f t="shared" si="13"/>
        <v>NO</v>
      </c>
    </row>
    <row r="854" spans="1:10" x14ac:dyDescent="0.35">
      <c r="A854">
        <v>2853</v>
      </c>
      <c r="B854" t="s">
        <v>885</v>
      </c>
      <c r="C854" t="s">
        <v>17</v>
      </c>
      <c r="D854" t="s">
        <v>21</v>
      </c>
      <c r="E854">
        <v>45683</v>
      </c>
      <c r="F854">
        <v>44335</v>
      </c>
      <c r="G854">
        <v>32379</v>
      </c>
      <c r="H854" t="s">
        <v>15</v>
      </c>
      <c r="I854" t="str" cm="1">
        <f t="array" ref="I854">_xlfn.IFS(G854=0,"Not Paid",G854=F854,"Fully Paid",G854&lt;F854,"Partially Paid")</f>
        <v>Partially Paid</v>
      </c>
      <c r="J854" t="str">
        <f t="shared" si="13"/>
        <v>NO</v>
      </c>
    </row>
    <row r="855" spans="1:10" x14ac:dyDescent="0.35">
      <c r="A855">
        <v>2854</v>
      </c>
      <c r="B855" t="s">
        <v>886</v>
      </c>
      <c r="C855" t="s">
        <v>33</v>
      </c>
      <c r="D855" t="s">
        <v>18</v>
      </c>
      <c r="E855">
        <v>45723</v>
      </c>
      <c r="F855">
        <v>31254</v>
      </c>
      <c r="G855">
        <v>17256</v>
      </c>
      <c r="H855" t="s">
        <v>19</v>
      </c>
      <c r="I855" t="str" cm="1">
        <f t="array" ref="I855">_xlfn.IFS(G855=0,"Not Paid",G855=F855,"Fully Paid",G855&lt;F855,"Partially Paid")</f>
        <v>Partially Paid</v>
      </c>
      <c r="J855" t="str">
        <f t="shared" si="13"/>
        <v>NO</v>
      </c>
    </row>
    <row r="856" spans="1:10" x14ac:dyDescent="0.35">
      <c r="A856">
        <v>2855</v>
      </c>
      <c r="B856" t="s">
        <v>887</v>
      </c>
      <c r="C856" t="s">
        <v>13</v>
      </c>
      <c r="D856" t="s">
        <v>21</v>
      </c>
      <c r="E856">
        <v>45905</v>
      </c>
      <c r="F856">
        <v>41074</v>
      </c>
      <c r="G856">
        <v>34769</v>
      </c>
      <c r="H856" t="s">
        <v>53</v>
      </c>
      <c r="I856" t="str" cm="1">
        <f t="array" ref="I856">_xlfn.IFS(G856=0,"Not Paid",G856=F856,"Fully Paid",G856&lt;F856,"Partially Paid")</f>
        <v>Partially Paid</v>
      </c>
      <c r="J856" t="str">
        <f t="shared" si="13"/>
        <v>NO</v>
      </c>
    </row>
    <row r="857" spans="1:10" x14ac:dyDescent="0.35">
      <c r="A857">
        <v>2856</v>
      </c>
      <c r="B857" t="s">
        <v>888</v>
      </c>
      <c r="C857" t="s">
        <v>13</v>
      </c>
      <c r="D857" t="s">
        <v>10</v>
      </c>
      <c r="E857">
        <v>45911</v>
      </c>
      <c r="F857">
        <v>31442</v>
      </c>
      <c r="G857">
        <v>29044</v>
      </c>
      <c r="H857" t="s">
        <v>53</v>
      </c>
      <c r="I857" t="str" cm="1">
        <f t="array" ref="I857">_xlfn.IFS(G857=0,"Not Paid",G857=F857,"Fully Paid",G857&lt;F857,"Partially Paid")</f>
        <v>Partially Paid</v>
      </c>
      <c r="J857" t="str">
        <f t="shared" si="13"/>
        <v>NO</v>
      </c>
    </row>
    <row r="858" spans="1:10" x14ac:dyDescent="0.35">
      <c r="A858">
        <v>2857</v>
      </c>
      <c r="B858" t="s">
        <v>889</v>
      </c>
      <c r="C858" t="s">
        <v>33</v>
      </c>
      <c r="D858" t="s">
        <v>14</v>
      </c>
      <c r="E858">
        <v>45701</v>
      </c>
      <c r="F858">
        <v>57327</v>
      </c>
      <c r="G858">
        <v>44606</v>
      </c>
      <c r="H858" t="s">
        <v>77</v>
      </c>
      <c r="I858" t="str" cm="1">
        <f t="array" ref="I858">_xlfn.IFS(G858=0,"Not Paid",G858=F858,"Fully Paid",G858&lt;F858,"Partially Paid")</f>
        <v>Partially Paid</v>
      </c>
      <c r="J858" t="str">
        <f t="shared" si="13"/>
        <v>YES</v>
      </c>
    </row>
    <row r="859" spans="1:10" x14ac:dyDescent="0.35">
      <c r="A859">
        <v>2858</v>
      </c>
      <c r="B859" t="s">
        <v>890</v>
      </c>
      <c r="C859" t="s">
        <v>33</v>
      </c>
      <c r="D859" t="s">
        <v>21</v>
      </c>
      <c r="E859">
        <v>45754</v>
      </c>
      <c r="F859">
        <v>36199</v>
      </c>
      <c r="G859">
        <v>29204</v>
      </c>
      <c r="H859" t="s">
        <v>11</v>
      </c>
      <c r="I859" t="str" cm="1">
        <f t="array" ref="I859">_xlfn.IFS(G859=0,"Not Paid",G859=F859,"Fully Paid",G859&lt;F859,"Partially Paid")</f>
        <v>Partially Paid</v>
      </c>
      <c r="J859" t="str">
        <f t="shared" si="13"/>
        <v>NO</v>
      </c>
    </row>
    <row r="860" spans="1:10" x14ac:dyDescent="0.35">
      <c r="A860">
        <v>2859</v>
      </c>
      <c r="B860" t="s">
        <v>891</v>
      </c>
      <c r="C860" t="s">
        <v>13</v>
      </c>
      <c r="D860" t="s">
        <v>27</v>
      </c>
      <c r="E860">
        <v>45699</v>
      </c>
      <c r="F860">
        <v>27291</v>
      </c>
      <c r="G860">
        <v>14864</v>
      </c>
      <c r="H860" t="s">
        <v>77</v>
      </c>
      <c r="I860" t="str" cm="1">
        <f t="array" ref="I860">_xlfn.IFS(G860=0,"Not Paid",G860=F860,"Fully Paid",G860&lt;F860,"Partially Paid")</f>
        <v>Partially Paid</v>
      </c>
      <c r="J860" t="str">
        <f t="shared" si="13"/>
        <v>NO</v>
      </c>
    </row>
    <row r="861" spans="1:10" x14ac:dyDescent="0.35">
      <c r="A861">
        <v>2860</v>
      </c>
      <c r="B861" t="s">
        <v>892</v>
      </c>
      <c r="C861" t="s">
        <v>33</v>
      </c>
      <c r="D861" t="s">
        <v>37</v>
      </c>
      <c r="E861">
        <v>45884</v>
      </c>
      <c r="F861">
        <v>20112</v>
      </c>
      <c r="G861">
        <v>6330</v>
      </c>
      <c r="H861" t="s">
        <v>38</v>
      </c>
      <c r="I861" t="str" cm="1">
        <f t="array" ref="I861">_xlfn.IFS(G861=0,"Not Paid",G861=F861,"Fully Paid",G861&lt;F861,"Partially Paid")</f>
        <v>Partially Paid</v>
      </c>
      <c r="J861" t="str">
        <f t="shared" si="13"/>
        <v>NO</v>
      </c>
    </row>
    <row r="862" spans="1:10" x14ac:dyDescent="0.35">
      <c r="A862">
        <v>2861</v>
      </c>
      <c r="B862" t="s">
        <v>893</v>
      </c>
      <c r="C862" t="s">
        <v>13</v>
      </c>
      <c r="D862" t="s">
        <v>27</v>
      </c>
      <c r="E862">
        <v>45919</v>
      </c>
      <c r="F862">
        <v>41515</v>
      </c>
      <c r="G862">
        <v>34216</v>
      </c>
      <c r="H862" t="s">
        <v>53</v>
      </c>
      <c r="I862" t="str" cm="1">
        <f t="array" ref="I862">_xlfn.IFS(G862=0,"Not Paid",G862=F862,"Fully Paid",G862&lt;F862,"Partially Paid")</f>
        <v>Partially Paid</v>
      </c>
      <c r="J862" t="str">
        <f t="shared" si="13"/>
        <v>NO</v>
      </c>
    </row>
    <row r="863" spans="1:10" x14ac:dyDescent="0.35">
      <c r="A863">
        <v>2862</v>
      </c>
      <c r="B863" t="s">
        <v>894</v>
      </c>
      <c r="C863" t="s">
        <v>13</v>
      </c>
      <c r="D863" t="s">
        <v>27</v>
      </c>
      <c r="E863">
        <v>45824</v>
      </c>
      <c r="F863">
        <v>39581</v>
      </c>
      <c r="G863">
        <v>35399</v>
      </c>
      <c r="H863" t="s">
        <v>67</v>
      </c>
      <c r="I863" t="str" cm="1">
        <f t="array" ref="I863">_xlfn.IFS(G863=0,"Not Paid",G863=F863,"Fully Paid",G863&lt;F863,"Partially Paid")</f>
        <v>Partially Paid</v>
      </c>
      <c r="J863" t="str">
        <f t="shared" si="13"/>
        <v>NO</v>
      </c>
    </row>
    <row r="864" spans="1:10" x14ac:dyDescent="0.35">
      <c r="A864">
        <v>2863</v>
      </c>
      <c r="B864" t="s">
        <v>895</v>
      </c>
      <c r="C864" t="s">
        <v>17</v>
      </c>
      <c r="D864" t="s">
        <v>37</v>
      </c>
      <c r="E864">
        <v>45936</v>
      </c>
      <c r="F864">
        <v>46500</v>
      </c>
      <c r="G864">
        <v>36597</v>
      </c>
      <c r="H864" t="s">
        <v>22</v>
      </c>
      <c r="I864" t="str" cm="1">
        <f t="array" ref="I864">_xlfn.IFS(G864=0,"Not Paid",G864=F864,"Fully Paid",G864&lt;F864,"Partially Paid")</f>
        <v>Partially Paid</v>
      </c>
      <c r="J864" t="str">
        <f t="shared" si="13"/>
        <v>NO</v>
      </c>
    </row>
    <row r="865" spans="1:10" x14ac:dyDescent="0.35">
      <c r="A865">
        <v>2864</v>
      </c>
      <c r="B865" t="s">
        <v>896</v>
      </c>
      <c r="C865" t="s">
        <v>56</v>
      </c>
      <c r="D865" t="s">
        <v>27</v>
      </c>
      <c r="E865">
        <v>45746</v>
      </c>
      <c r="F865">
        <v>52026</v>
      </c>
      <c r="G865">
        <v>49796</v>
      </c>
      <c r="H865" t="s">
        <v>19</v>
      </c>
      <c r="I865" t="str" cm="1">
        <f t="array" ref="I865">_xlfn.IFS(G865=0,"Not Paid",G865=F865,"Fully Paid",G865&lt;F865,"Partially Paid")</f>
        <v>Partially Paid</v>
      </c>
      <c r="J865" t="str">
        <f t="shared" si="13"/>
        <v>YES</v>
      </c>
    </row>
    <row r="866" spans="1:10" x14ac:dyDescent="0.35">
      <c r="A866">
        <v>2865</v>
      </c>
      <c r="B866" t="s">
        <v>897</v>
      </c>
      <c r="C866" t="s">
        <v>13</v>
      </c>
      <c r="D866" t="s">
        <v>21</v>
      </c>
      <c r="E866">
        <v>45835</v>
      </c>
      <c r="F866">
        <v>36523</v>
      </c>
      <c r="G866">
        <v>30012</v>
      </c>
      <c r="H866" t="s">
        <v>67</v>
      </c>
      <c r="I866" t="str" cm="1">
        <f t="array" ref="I866">_xlfn.IFS(G866=0,"Not Paid",G866=F866,"Fully Paid",G866&lt;F866,"Partially Paid")</f>
        <v>Partially Paid</v>
      </c>
      <c r="J866" t="str">
        <f t="shared" si="13"/>
        <v>NO</v>
      </c>
    </row>
    <row r="867" spans="1:10" x14ac:dyDescent="0.35">
      <c r="A867">
        <v>2866</v>
      </c>
      <c r="B867" t="s">
        <v>898</v>
      </c>
      <c r="C867" t="s">
        <v>24</v>
      </c>
      <c r="D867" t="s">
        <v>21</v>
      </c>
      <c r="E867">
        <v>45854</v>
      </c>
      <c r="F867">
        <v>21424</v>
      </c>
      <c r="G867">
        <v>21296</v>
      </c>
      <c r="H867" t="s">
        <v>43</v>
      </c>
      <c r="I867" t="str" cm="1">
        <f t="array" ref="I867">_xlfn.IFS(G867=0,"Not Paid",G867=F867,"Fully Paid",G867&lt;F867,"Partially Paid")</f>
        <v>Partially Paid</v>
      </c>
      <c r="J867" t="str">
        <f t="shared" si="13"/>
        <v>NO</v>
      </c>
    </row>
    <row r="868" spans="1:10" x14ac:dyDescent="0.35">
      <c r="A868">
        <v>2867</v>
      </c>
      <c r="B868" t="s">
        <v>899</v>
      </c>
      <c r="C868" t="s">
        <v>45</v>
      </c>
      <c r="D868" t="s">
        <v>21</v>
      </c>
      <c r="E868">
        <v>45964</v>
      </c>
      <c r="F868">
        <v>39552</v>
      </c>
      <c r="G868">
        <v>30091</v>
      </c>
      <c r="H868" t="s">
        <v>29</v>
      </c>
      <c r="I868" t="str" cm="1">
        <f t="array" ref="I868">_xlfn.IFS(G868=0,"Not Paid",G868=F868,"Fully Paid",G868&lt;F868,"Partially Paid")</f>
        <v>Partially Paid</v>
      </c>
      <c r="J868" t="str">
        <f t="shared" si="13"/>
        <v>NO</v>
      </c>
    </row>
    <row r="869" spans="1:10" x14ac:dyDescent="0.35">
      <c r="A869">
        <v>2868</v>
      </c>
      <c r="B869" t="s">
        <v>900</v>
      </c>
      <c r="C869" t="s">
        <v>9</v>
      </c>
      <c r="D869" t="s">
        <v>37</v>
      </c>
      <c r="E869">
        <v>45924</v>
      </c>
      <c r="F869">
        <v>30808</v>
      </c>
      <c r="G869">
        <v>27136</v>
      </c>
      <c r="H869" t="s">
        <v>53</v>
      </c>
      <c r="I869" t="str" cm="1">
        <f t="array" ref="I869">_xlfn.IFS(G869=0,"Not Paid",G869=F869,"Fully Paid",G869&lt;F869,"Partially Paid")</f>
        <v>Partially Paid</v>
      </c>
      <c r="J869" t="str">
        <f t="shared" si="13"/>
        <v>NO</v>
      </c>
    </row>
    <row r="870" spans="1:10" x14ac:dyDescent="0.35">
      <c r="A870">
        <v>2869</v>
      </c>
      <c r="B870" t="s">
        <v>901</v>
      </c>
      <c r="C870" t="s">
        <v>56</v>
      </c>
      <c r="D870" t="s">
        <v>27</v>
      </c>
      <c r="E870">
        <v>45925</v>
      </c>
      <c r="F870">
        <v>58811</v>
      </c>
      <c r="G870">
        <v>49018</v>
      </c>
      <c r="H870" t="s">
        <v>53</v>
      </c>
      <c r="I870" t="str" cm="1">
        <f t="array" ref="I870">_xlfn.IFS(G870=0,"Not Paid",G870=F870,"Fully Paid",G870&lt;F870,"Partially Paid")</f>
        <v>Partially Paid</v>
      </c>
      <c r="J870" t="str">
        <f t="shared" si="13"/>
        <v>YES</v>
      </c>
    </row>
    <row r="871" spans="1:10" x14ac:dyDescent="0.35">
      <c r="A871">
        <v>2870</v>
      </c>
      <c r="B871" t="s">
        <v>902</v>
      </c>
      <c r="C871" t="s">
        <v>56</v>
      </c>
      <c r="D871" t="s">
        <v>37</v>
      </c>
      <c r="E871">
        <v>45731</v>
      </c>
      <c r="F871">
        <v>26989</v>
      </c>
      <c r="G871">
        <v>22224</v>
      </c>
      <c r="H871" t="s">
        <v>19</v>
      </c>
      <c r="I871" t="str" cm="1">
        <f t="array" ref="I871">_xlfn.IFS(G871=0,"Not Paid",G871=F871,"Fully Paid",G871&lt;F871,"Partially Paid")</f>
        <v>Partially Paid</v>
      </c>
      <c r="J871" t="str">
        <f t="shared" si="13"/>
        <v>NO</v>
      </c>
    </row>
    <row r="872" spans="1:10" x14ac:dyDescent="0.35">
      <c r="A872">
        <v>2871</v>
      </c>
      <c r="B872" t="s">
        <v>903</v>
      </c>
      <c r="C872" t="s">
        <v>56</v>
      </c>
      <c r="D872" t="s">
        <v>21</v>
      </c>
      <c r="E872">
        <v>45665</v>
      </c>
      <c r="F872">
        <v>43620</v>
      </c>
      <c r="G872">
        <v>39650</v>
      </c>
      <c r="H872" t="s">
        <v>15</v>
      </c>
      <c r="I872" t="str" cm="1">
        <f t="array" ref="I872">_xlfn.IFS(G872=0,"Not Paid",G872=F872,"Fully Paid",G872&lt;F872,"Partially Paid")</f>
        <v>Partially Paid</v>
      </c>
      <c r="J872" t="str">
        <f t="shared" si="13"/>
        <v>NO</v>
      </c>
    </row>
    <row r="873" spans="1:10" x14ac:dyDescent="0.35">
      <c r="A873">
        <v>2872</v>
      </c>
      <c r="B873" t="s">
        <v>904</v>
      </c>
      <c r="C873" t="s">
        <v>17</v>
      </c>
      <c r="D873" t="s">
        <v>27</v>
      </c>
      <c r="E873">
        <v>45954</v>
      </c>
      <c r="F873">
        <v>59029</v>
      </c>
      <c r="G873">
        <v>51484</v>
      </c>
      <c r="H873" t="s">
        <v>22</v>
      </c>
      <c r="I873" t="str" cm="1">
        <f t="array" ref="I873">_xlfn.IFS(G873=0,"Not Paid",G873=F873,"Fully Paid",G873&lt;F873,"Partially Paid")</f>
        <v>Partially Paid</v>
      </c>
      <c r="J873" t="str">
        <f t="shared" si="13"/>
        <v>YES</v>
      </c>
    </row>
    <row r="874" spans="1:10" x14ac:dyDescent="0.35">
      <c r="A874">
        <v>2873</v>
      </c>
      <c r="B874" t="s">
        <v>905</v>
      </c>
      <c r="C874" t="s">
        <v>13</v>
      </c>
      <c r="D874" t="s">
        <v>27</v>
      </c>
      <c r="E874">
        <v>45821</v>
      </c>
      <c r="F874">
        <v>20887</v>
      </c>
      <c r="G874">
        <v>8451</v>
      </c>
      <c r="H874" t="s">
        <v>67</v>
      </c>
      <c r="I874" t="str" cm="1">
        <f t="array" ref="I874">_xlfn.IFS(G874=0,"Not Paid",G874=F874,"Fully Paid",G874&lt;F874,"Partially Paid")</f>
        <v>Partially Paid</v>
      </c>
      <c r="J874" t="str">
        <f t="shared" si="13"/>
        <v>NO</v>
      </c>
    </row>
    <row r="875" spans="1:10" x14ac:dyDescent="0.35">
      <c r="A875">
        <v>2874</v>
      </c>
      <c r="B875" t="s">
        <v>906</v>
      </c>
      <c r="C875" t="s">
        <v>17</v>
      </c>
      <c r="D875" t="s">
        <v>18</v>
      </c>
      <c r="E875">
        <v>45742</v>
      </c>
      <c r="F875">
        <v>51802</v>
      </c>
      <c r="G875">
        <v>38530</v>
      </c>
      <c r="H875" t="s">
        <v>19</v>
      </c>
      <c r="I875" t="str" cm="1">
        <f t="array" ref="I875">_xlfn.IFS(G875=0,"Not Paid",G875=F875,"Fully Paid",G875&lt;F875,"Partially Paid")</f>
        <v>Partially Paid</v>
      </c>
      <c r="J875" t="str">
        <f t="shared" si="13"/>
        <v>YES</v>
      </c>
    </row>
    <row r="876" spans="1:10" x14ac:dyDescent="0.35">
      <c r="A876">
        <v>2875</v>
      </c>
      <c r="B876" t="s">
        <v>907</v>
      </c>
      <c r="C876" t="s">
        <v>13</v>
      </c>
      <c r="D876" t="s">
        <v>18</v>
      </c>
      <c r="E876">
        <v>45729</v>
      </c>
      <c r="F876">
        <v>39488</v>
      </c>
      <c r="G876">
        <v>26349</v>
      </c>
      <c r="H876" t="s">
        <v>19</v>
      </c>
      <c r="I876" t="str" cm="1">
        <f t="array" ref="I876">_xlfn.IFS(G876=0,"Not Paid",G876=F876,"Fully Paid",G876&lt;F876,"Partially Paid")</f>
        <v>Partially Paid</v>
      </c>
      <c r="J876" t="str">
        <f t="shared" si="13"/>
        <v>NO</v>
      </c>
    </row>
    <row r="877" spans="1:10" x14ac:dyDescent="0.35">
      <c r="A877">
        <v>2876</v>
      </c>
      <c r="B877" t="s">
        <v>908</v>
      </c>
      <c r="C877" t="s">
        <v>17</v>
      </c>
      <c r="D877" t="s">
        <v>10</v>
      </c>
      <c r="E877">
        <v>45712</v>
      </c>
      <c r="F877">
        <v>50013</v>
      </c>
      <c r="G877">
        <v>44461</v>
      </c>
      <c r="H877" t="s">
        <v>77</v>
      </c>
      <c r="I877" t="str" cm="1">
        <f t="array" ref="I877">_xlfn.IFS(G877=0,"Not Paid",G877=F877,"Fully Paid",G877&lt;F877,"Partially Paid")</f>
        <v>Partially Paid</v>
      </c>
      <c r="J877" t="str">
        <f t="shared" si="13"/>
        <v>YES</v>
      </c>
    </row>
    <row r="878" spans="1:10" x14ac:dyDescent="0.35">
      <c r="A878">
        <v>2877</v>
      </c>
      <c r="B878" t="s">
        <v>909</v>
      </c>
      <c r="C878" t="s">
        <v>17</v>
      </c>
      <c r="D878" t="s">
        <v>14</v>
      </c>
      <c r="E878">
        <v>45704</v>
      </c>
      <c r="F878">
        <v>36402</v>
      </c>
      <c r="G878">
        <v>35775</v>
      </c>
      <c r="H878" t="s">
        <v>77</v>
      </c>
      <c r="I878" t="str" cm="1">
        <f t="array" ref="I878">_xlfn.IFS(G878=0,"Not Paid",G878=F878,"Fully Paid",G878&lt;F878,"Partially Paid")</f>
        <v>Partially Paid</v>
      </c>
      <c r="J878" t="str">
        <f t="shared" si="13"/>
        <v>NO</v>
      </c>
    </row>
    <row r="879" spans="1:10" x14ac:dyDescent="0.35">
      <c r="A879">
        <v>2878</v>
      </c>
      <c r="B879" t="s">
        <v>910</v>
      </c>
      <c r="C879" t="s">
        <v>45</v>
      </c>
      <c r="D879" t="s">
        <v>18</v>
      </c>
      <c r="E879">
        <v>45895</v>
      </c>
      <c r="F879">
        <v>41205</v>
      </c>
      <c r="G879">
        <v>29216</v>
      </c>
      <c r="H879" t="s">
        <v>38</v>
      </c>
      <c r="I879" t="str" cm="1">
        <f t="array" ref="I879">_xlfn.IFS(G879=0,"Not Paid",G879=F879,"Fully Paid",G879&lt;F879,"Partially Paid")</f>
        <v>Partially Paid</v>
      </c>
      <c r="J879" t="str">
        <f t="shared" si="13"/>
        <v>NO</v>
      </c>
    </row>
    <row r="880" spans="1:10" x14ac:dyDescent="0.35">
      <c r="A880">
        <v>2879</v>
      </c>
      <c r="B880" t="s">
        <v>911</v>
      </c>
      <c r="C880" t="s">
        <v>24</v>
      </c>
      <c r="D880" t="s">
        <v>37</v>
      </c>
      <c r="E880">
        <v>45761</v>
      </c>
      <c r="F880">
        <v>46049</v>
      </c>
      <c r="G880">
        <v>32269</v>
      </c>
      <c r="H880" t="s">
        <v>11</v>
      </c>
      <c r="I880" t="str" cm="1">
        <f t="array" ref="I880">_xlfn.IFS(G880=0,"Not Paid",G880=F880,"Fully Paid",G880&lt;F880,"Partially Paid")</f>
        <v>Partially Paid</v>
      </c>
      <c r="J880" t="str">
        <f t="shared" si="13"/>
        <v>NO</v>
      </c>
    </row>
    <row r="881" spans="1:10" x14ac:dyDescent="0.35">
      <c r="A881">
        <v>2880</v>
      </c>
      <c r="B881" t="s">
        <v>912</v>
      </c>
      <c r="C881" t="s">
        <v>17</v>
      </c>
      <c r="D881" t="s">
        <v>18</v>
      </c>
      <c r="E881">
        <v>45867</v>
      </c>
      <c r="F881">
        <v>32253</v>
      </c>
      <c r="G881">
        <v>25664</v>
      </c>
      <c r="H881" t="s">
        <v>43</v>
      </c>
      <c r="I881" t="str" cm="1">
        <f t="array" ref="I881">_xlfn.IFS(G881=0,"Not Paid",G881=F881,"Fully Paid",G881&lt;F881,"Partially Paid")</f>
        <v>Partially Paid</v>
      </c>
      <c r="J881" t="str">
        <f t="shared" si="13"/>
        <v>NO</v>
      </c>
    </row>
    <row r="882" spans="1:10" x14ac:dyDescent="0.35">
      <c r="A882">
        <v>2881</v>
      </c>
      <c r="B882" t="s">
        <v>913</v>
      </c>
      <c r="C882" t="s">
        <v>45</v>
      </c>
      <c r="D882" t="s">
        <v>10</v>
      </c>
      <c r="E882">
        <v>45699</v>
      </c>
      <c r="F882">
        <v>38990</v>
      </c>
      <c r="G882">
        <v>36946</v>
      </c>
      <c r="H882" t="s">
        <v>77</v>
      </c>
      <c r="I882" t="str" cm="1">
        <f t="array" ref="I882">_xlfn.IFS(G882=0,"Not Paid",G882=F882,"Fully Paid",G882&lt;F882,"Partially Paid")</f>
        <v>Partially Paid</v>
      </c>
      <c r="J882" t="str">
        <f t="shared" si="13"/>
        <v>NO</v>
      </c>
    </row>
    <row r="883" spans="1:10" x14ac:dyDescent="0.35">
      <c r="A883">
        <v>2882</v>
      </c>
      <c r="B883" t="s">
        <v>914</v>
      </c>
      <c r="C883" t="s">
        <v>33</v>
      </c>
      <c r="D883" t="s">
        <v>27</v>
      </c>
      <c r="E883">
        <v>45973</v>
      </c>
      <c r="F883">
        <v>27846</v>
      </c>
      <c r="G883">
        <v>16102</v>
      </c>
      <c r="H883" t="s">
        <v>29</v>
      </c>
      <c r="I883" t="str" cm="1">
        <f t="array" ref="I883">_xlfn.IFS(G883=0,"Not Paid",G883=F883,"Fully Paid",G883&lt;F883,"Partially Paid")</f>
        <v>Partially Paid</v>
      </c>
      <c r="J883" t="str">
        <f t="shared" si="13"/>
        <v>NO</v>
      </c>
    </row>
    <row r="884" spans="1:10" x14ac:dyDescent="0.35">
      <c r="A884">
        <v>2883</v>
      </c>
      <c r="B884" t="s">
        <v>915</v>
      </c>
      <c r="C884" t="s">
        <v>24</v>
      </c>
      <c r="D884" t="s">
        <v>10</v>
      </c>
      <c r="E884">
        <v>45925</v>
      </c>
      <c r="F884">
        <v>45027</v>
      </c>
      <c r="G884">
        <v>31856</v>
      </c>
      <c r="H884" t="s">
        <v>53</v>
      </c>
      <c r="I884" t="str" cm="1">
        <f t="array" ref="I884">_xlfn.IFS(G884=0,"Not Paid",G884=F884,"Fully Paid",G884&lt;F884,"Partially Paid")</f>
        <v>Partially Paid</v>
      </c>
      <c r="J884" t="str">
        <f t="shared" si="13"/>
        <v>NO</v>
      </c>
    </row>
    <row r="885" spans="1:10" x14ac:dyDescent="0.35">
      <c r="A885">
        <v>2884</v>
      </c>
      <c r="B885" t="s">
        <v>916</v>
      </c>
      <c r="C885" t="s">
        <v>17</v>
      </c>
      <c r="D885" t="s">
        <v>27</v>
      </c>
      <c r="E885">
        <v>45920</v>
      </c>
      <c r="F885">
        <v>59200</v>
      </c>
      <c r="G885">
        <v>56859</v>
      </c>
      <c r="H885" t="s">
        <v>53</v>
      </c>
      <c r="I885" t="str" cm="1">
        <f t="array" ref="I885">_xlfn.IFS(G885=0,"Not Paid",G885=F885,"Fully Paid",G885&lt;F885,"Partially Paid")</f>
        <v>Partially Paid</v>
      </c>
      <c r="J885" t="str">
        <f t="shared" si="13"/>
        <v>YES</v>
      </c>
    </row>
    <row r="886" spans="1:10" x14ac:dyDescent="0.35">
      <c r="A886">
        <v>2885</v>
      </c>
      <c r="B886" t="s">
        <v>917</v>
      </c>
      <c r="C886" t="s">
        <v>9</v>
      </c>
      <c r="D886" t="s">
        <v>27</v>
      </c>
      <c r="E886">
        <v>45993</v>
      </c>
      <c r="F886">
        <v>23765</v>
      </c>
      <c r="G886">
        <v>17881</v>
      </c>
      <c r="H886" t="s">
        <v>25</v>
      </c>
      <c r="I886" t="str" cm="1">
        <f t="array" ref="I886">_xlfn.IFS(G886=0,"Not Paid",G886=F886,"Fully Paid",G886&lt;F886,"Partially Paid")</f>
        <v>Partially Paid</v>
      </c>
      <c r="J886" t="str">
        <f t="shared" si="13"/>
        <v>NO</v>
      </c>
    </row>
    <row r="887" spans="1:10" x14ac:dyDescent="0.35">
      <c r="A887">
        <v>2886</v>
      </c>
      <c r="B887" t="s">
        <v>918</v>
      </c>
      <c r="C887" t="s">
        <v>56</v>
      </c>
      <c r="D887" t="s">
        <v>14</v>
      </c>
      <c r="E887">
        <v>46022</v>
      </c>
      <c r="F887">
        <v>35950</v>
      </c>
      <c r="G887">
        <v>24544</v>
      </c>
      <c r="H887" t="s">
        <v>25</v>
      </c>
      <c r="I887" t="str" cm="1">
        <f t="array" ref="I887">_xlfn.IFS(G887=0,"Not Paid",G887=F887,"Fully Paid",G887&lt;F887,"Partially Paid")</f>
        <v>Partially Paid</v>
      </c>
      <c r="J887" t="str">
        <f t="shared" si="13"/>
        <v>NO</v>
      </c>
    </row>
    <row r="888" spans="1:10" x14ac:dyDescent="0.35">
      <c r="A888">
        <v>2887</v>
      </c>
      <c r="B888" t="s">
        <v>919</v>
      </c>
      <c r="C888" t="s">
        <v>33</v>
      </c>
      <c r="D888" t="s">
        <v>18</v>
      </c>
      <c r="E888">
        <v>45916</v>
      </c>
      <c r="F888">
        <v>29741</v>
      </c>
      <c r="G888">
        <v>21556</v>
      </c>
      <c r="H888" t="s">
        <v>53</v>
      </c>
      <c r="I888" t="str" cm="1">
        <f t="array" ref="I888">_xlfn.IFS(G888=0,"Not Paid",G888=F888,"Fully Paid",G888&lt;F888,"Partially Paid")</f>
        <v>Partially Paid</v>
      </c>
      <c r="J888" t="str">
        <f t="shared" si="13"/>
        <v>NO</v>
      </c>
    </row>
    <row r="889" spans="1:10" x14ac:dyDescent="0.35">
      <c r="A889">
        <v>2888</v>
      </c>
      <c r="B889" t="s">
        <v>920</v>
      </c>
      <c r="C889" t="s">
        <v>33</v>
      </c>
      <c r="D889" t="s">
        <v>37</v>
      </c>
      <c r="E889">
        <v>45940</v>
      </c>
      <c r="F889">
        <v>42742</v>
      </c>
      <c r="G889">
        <v>42493</v>
      </c>
      <c r="H889" t="s">
        <v>22</v>
      </c>
      <c r="I889" t="str" cm="1">
        <f t="array" ref="I889">_xlfn.IFS(G889=0,"Not Paid",G889=F889,"Fully Paid",G889&lt;F889,"Partially Paid")</f>
        <v>Partially Paid</v>
      </c>
      <c r="J889" t="str">
        <f t="shared" si="13"/>
        <v>NO</v>
      </c>
    </row>
    <row r="890" spans="1:10" x14ac:dyDescent="0.35">
      <c r="A890">
        <v>2889</v>
      </c>
      <c r="B890" t="s">
        <v>921</v>
      </c>
      <c r="C890" t="s">
        <v>45</v>
      </c>
      <c r="D890" t="s">
        <v>37</v>
      </c>
      <c r="E890">
        <v>45771</v>
      </c>
      <c r="F890">
        <v>44703</v>
      </c>
      <c r="G890">
        <v>41778</v>
      </c>
      <c r="H890" t="s">
        <v>11</v>
      </c>
      <c r="I890" t="str" cm="1">
        <f t="array" ref="I890">_xlfn.IFS(G890=0,"Not Paid",G890=F890,"Fully Paid",G890&lt;F890,"Partially Paid")</f>
        <v>Partially Paid</v>
      </c>
      <c r="J890" t="str">
        <f t="shared" si="13"/>
        <v>NO</v>
      </c>
    </row>
    <row r="891" spans="1:10" x14ac:dyDescent="0.35">
      <c r="A891">
        <v>2890</v>
      </c>
      <c r="B891" t="s">
        <v>922</v>
      </c>
      <c r="C891" t="s">
        <v>33</v>
      </c>
      <c r="D891" t="s">
        <v>21</v>
      </c>
      <c r="E891">
        <v>46020</v>
      </c>
      <c r="F891">
        <v>58709</v>
      </c>
      <c r="G891">
        <v>53666</v>
      </c>
      <c r="H891" t="s">
        <v>25</v>
      </c>
      <c r="I891" t="str" cm="1">
        <f t="array" ref="I891">_xlfn.IFS(G891=0,"Not Paid",G891=F891,"Fully Paid",G891&lt;F891,"Partially Paid")</f>
        <v>Partially Paid</v>
      </c>
      <c r="J891" t="str">
        <f t="shared" si="13"/>
        <v>YES</v>
      </c>
    </row>
    <row r="892" spans="1:10" x14ac:dyDescent="0.35">
      <c r="A892">
        <v>2891</v>
      </c>
      <c r="B892" t="s">
        <v>923</v>
      </c>
      <c r="C892" t="s">
        <v>24</v>
      </c>
      <c r="D892" t="s">
        <v>27</v>
      </c>
      <c r="E892">
        <v>45697</v>
      </c>
      <c r="F892">
        <v>57623</v>
      </c>
      <c r="G892">
        <v>56649</v>
      </c>
      <c r="H892" t="s">
        <v>77</v>
      </c>
      <c r="I892" t="str" cm="1">
        <f t="array" ref="I892">_xlfn.IFS(G892=0,"Not Paid",G892=F892,"Fully Paid",G892&lt;F892,"Partially Paid")</f>
        <v>Partially Paid</v>
      </c>
      <c r="J892" t="str">
        <f t="shared" si="13"/>
        <v>YES</v>
      </c>
    </row>
    <row r="893" spans="1:10" x14ac:dyDescent="0.35">
      <c r="A893">
        <v>2892</v>
      </c>
      <c r="B893" t="s">
        <v>924</v>
      </c>
      <c r="C893" t="s">
        <v>17</v>
      </c>
      <c r="D893" t="s">
        <v>37</v>
      </c>
      <c r="E893">
        <v>45877</v>
      </c>
      <c r="F893">
        <v>42931</v>
      </c>
      <c r="G893">
        <v>33414</v>
      </c>
      <c r="H893" t="s">
        <v>38</v>
      </c>
      <c r="I893" t="str" cm="1">
        <f t="array" ref="I893">_xlfn.IFS(G893=0,"Not Paid",G893=F893,"Fully Paid",G893&lt;F893,"Partially Paid")</f>
        <v>Partially Paid</v>
      </c>
      <c r="J893" t="str">
        <f t="shared" si="13"/>
        <v>NO</v>
      </c>
    </row>
    <row r="894" spans="1:10" x14ac:dyDescent="0.35">
      <c r="A894">
        <v>2893</v>
      </c>
      <c r="B894" t="s">
        <v>925</v>
      </c>
      <c r="C894" t="s">
        <v>17</v>
      </c>
      <c r="D894" t="s">
        <v>14</v>
      </c>
      <c r="E894">
        <v>45786</v>
      </c>
      <c r="F894">
        <v>43580</v>
      </c>
      <c r="G894">
        <v>36388</v>
      </c>
      <c r="H894" t="s">
        <v>31</v>
      </c>
      <c r="I894" t="str" cm="1">
        <f t="array" ref="I894">_xlfn.IFS(G894=0,"Not Paid",G894=F894,"Fully Paid",G894&lt;F894,"Partially Paid")</f>
        <v>Partially Paid</v>
      </c>
      <c r="J894" t="str">
        <f t="shared" si="13"/>
        <v>NO</v>
      </c>
    </row>
    <row r="895" spans="1:10" x14ac:dyDescent="0.35">
      <c r="A895">
        <v>2894</v>
      </c>
      <c r="B895" t="s">
        <v>926</v>
      </c>
      <c r="C895" t="s">
        <v>9</v>
      </c>
      <c r="D895" t="s">
        <v>27</v>
      </c>
      <c r="E895">
        <v>45665</v>
      </c>
      <c r="F895">
        <v>35166</v>
      </c>
      <c r="G895">
        <v>25991</v>
      </c>
      <c r="H895" t="s">
        <v>15</v>
      </c>
      <c r="I895" t="str" cm="1">
        <f t="array" ref="I895">_xlfn.IFS(G895=0,"Not Paid",G895=F895,"Fully Paid",G895&lt;F895,"Partially Paid")</f>
        <v>Partially Paid</v>
      </c>
      <c r="J895" t="str">
        <f t="shared" si="13"/>
        <v>NO</v>
      </c>
    </row>
    <row r="896" spans="1:10" x14ac:dyDescent="0.35">
      <c r="A896">
        <v>2895</v>
      </c>
      <c r="B896" t="s">
        <v>927</v>
      </c>
      <c r="C896" t="s">
        <v>56</v>
      </c>
      <c r="D896" t="s">
        <v>14</v>
      </c>
      <c r="E896">
        <v>45758</v>
      </c>
      <c r="F896">
        <v>49240</v>
      </c>
      <c r="G896">
        <v>40160</v>
      </c>
      <c r="H896" t="s">
        <v>11</v>
      </c>
      <c r="I896" t="str" cm="1">
        <f t="array" ref="I896">_xlfn.IFS(G896=0,"Not Paid",G896=F896,"Fully Paid",G896&lt;F896,"Partially Paid")</f>
        <v>Partially Paid</v>
      </c>
      <c r="J896" t="str">
        <f t="shared" si="13"/>
        <v>NO</v>
      </c>
    </row>
    <row r="897" spans="1:10" x14ac:dyDescent="0.35">
      <c r="A897">
        <v>2896</v>
      </c>
      <c r="B897" t="s">
        <v>928</v>
      </c>
      <c r="C897" t="s">
        <v>45</v>
      </c>
      <c r="D897" t="s">
        <v>37</v>
      </c>
      <c r="E897">
        <v>45833</v>
      </c>
      <c r="F897">
        <v>45991</v>
      </c>
      <c r="G897">
        <v>34862</v>
      </c>
      <c r="H897" t="s">
        <v>67</v>
      </c>
      <c r="I897" t="str" cm="1">
        <f t="array" ref="I897">_xlfn.IFS(G897=0,"Not Paid",G897=F897,"Fully Paid",G897&lt;F897,"Partially Paid")</f>
        <v>Partially Paid</v>
      </c>
      <c r="J897" t="str">
        <f t="shared" si="13"/>
        <v>NO</v>
      </c>
    </row>
    <row r="898" spans="1:10" x14ac:dyDescent="0.35">
      <c r="A898">
        <v>2897</v>
      </c>
      <c r="B898" t="s">
        <v>929</v>
      </c>
      <c r="C898" t="s">
        <v>56</v>
      </c>
      <c r="D898" t="s">
        <v>37</v>
      </c>
      <c r="E898">
        <v>45764</v>
      </c>
      <c r="F898">
        <v>58556</v>
      </c>
      <c r="G898">
        <v>48247</v>
      </c>
      <c r="H898" t="s">
        <v>11</v>
      </c>
      <c r="I898" t="str" cm="1">
        <f t="array" ref="I898">_xlfn.IFS(G898=0,"Not Paid",G898=F898,"Fully Paid",G898&lt;F898,"Partially Paid")</f>
        <v>Partially Paid</v>
      </c>
      <c r="J898" t="str">
        <f t="shared" si="13"/>
        <v>YES</v>
      </c>
    </row>
    <row r="899" spans="1:10" x14ac:dyDescent="0.35">
      <c r="A899">
        <v>2898</v>
      </c>
      <c r="B899" t="s">
        <v>930</v>
      </c>
      <c r="C899" t="s">
        <v>33</v>
      </c>
      <c r="D899" t="s">
        <v>21</v>
      </c>
      <c r="E899">
        <v>45758</v>
      </c>
      <c r="F899">
        <v>52969</v>
      </c>
      <c r="G899">
        <v>50297</v>
      </c>
      <c r="H899" t="s">
        <v>11</v>
      </c>
      <c r="I899" t="str" cm="1">
        <f t="array" ref="I899">_xlfn.IFS(G899=0,"Not Paid",G899=F899,"Fully Paid",G899&lt;F899,"Partially Paid")</f>
        <v>Partially Paid</v>
      </c>
      <c r="J899" t="str">
        <f t="shared" ref="J899:J962" si="14">IF(F899&gt;50000,"YES","NO")</f>
        <v>YES</v>
      </c>
    </row>
    <row r="900" spans="1:10" x14ac:dyDescent="0.35">
      <c r="A900">
        <v>2899</v>
      </c>
      <c r="B900" t="s">
        <v>931</v>
      </c>
      <c r="C900" t="s">
        <v>9</v>
      </c>
      <c r="D900" t="s">
        <v>37</v>
      </c>
      <c r="E900">
        <v>45917</v>
      </c>
      <c r="F900">
        <v>30561</v>
      </c>
      <c r="G900">
        <v>17399</v>
      </c>
      <c r="H900" t="s">
        <v>53</v>
      </c>
      <c r="I900" t="str" cm="1">
        <f t="array" ref="I900">_xlfn.IFS(G900=0,"Not Paid",G900=F900,"Fully Paid",G900&lt;F900,"Partially Paid")</f>
        <v>Partially Paid</v>
      </c>
      <c r="J900" t="str">
        <f t="shared" si="14"/>
        <v>NO</v>
      </c>
    </row>
    <row r="901" spans="1:10" x14ac:dyDescent="0.35">
      <c r="A901">
        <v>2900</v>
      </c>
      <c r="B901" t="s">
        <v>932</v>
      </c>
      <c r="C901" t="s">
        <v>56</v>
      </c>
      <c r="D901" t="s">
        <v>27</v>
      </c>
      <c r="E901">
        <v>45903</v>
      </c>
      <c r="F901">
        <v>36901</v>
      </c>
      <c r="G901">
        <v>29622</v>
      </c>
      <c r="H901" t="s">
        <v>53</v>
      </c>
      <c r="I901" t="str" cm="1">
        <f t="array" ref="I901">_xlfn.IFS(G901=0,"Not Paid",G901=F901,"Fully Paid",G901&lt;F901,"Partially Paid")</f>
        <v>Partially Paid</v>
      </c>
      <c r="J901" t="str">
        <f t="shared" si="14"/>
        <v>NO</v>
      </c>
    </row>
    <row r="902" spans="1:10" x14ac:dyDescent="0.35">
      <c r="A902">
        <v>2901</v>
      </c>
      <c r="B902" t="s">
        <v>933</v>
      </c>
      <c r="C902" t="s">
        <v>24</v>
      </c>
      <c r="D902" t="s">
        <v>27</v>
      </c>
      <c r="E902">
        <v>45932</v>
      </c>
      <c r="F902">
        <v>50020</v>
      </c>
      <c r="G902">
        <v>42489</v>
      </c>
      <c r="H902" t="s">
        <v>22</v>
      </c>
      <c r="I902" t="str" cm="1">
        <f t="array" ref="I902">_xlfn.IFS(G902=0,"Not Paid",G902=F902,"Fully Paid",G902&lt;F902,"Partially Paid")</f>
        <v>Partially Paid</v>
      </c>
      <c r="J902" t="str">
        <f t="shared" si="14"/>
        <v>YES</v>
      </c>
    </row>
    <row r="903" spans="1:10" x14ac:dyDescent="0.35">
      <c r="A903">
        <v>2902</v>
      </c>
      <c r="B903" t="s">
        <v>934</v>
      </c>
      <c r="C903" t="s">
        <v>17</v>
      </c>
      <c r="D903" t="s">
        <v>27</v>
      </c>
      <c r="E903">
        <v>45689</v>
      </c>
      <c r="F903">
        <v>45917</v>
      </c>
      <c r="G903">
        <v>36399</v>
      </c>
      <c r="H903" t="s">
        <v>77</v>
      </c>
      <c r="I903" t="str" cm="1">
        <f t="array" ref="I903">_xlfn.IFS(G903=0,"Not Paid",G903=F903,"Fully Paid",G903&lt;F903,"Partially Paid")</f>
        <v>Partially Paid</v>
      </c>
      <c r="J903" t="str">
        <f t="shared" si="14"/>
        <v>NO</v>
      </c>
    </row>
    <row r="904" spans="1:10" x14ac:dyDescent="0.35">
      <c r="A904">
        <v>2903</v>
      </c>
      <c r="B904" t="s">
        <v>935</v>
      </c>
      <c r="C904" t="s">
        <v>33</v>
      </c>
      <c r="D904" t="s">
        <v>21</v>
      </c>
      <c r="E904">
        <v>45794</v>
      </c>
      <c r="F904">
        <v>21988</v>
      </c>
      <c r="G904">
        <v>13326</v>
      </c>
      <c r="H904" t="s">
        <v>31</v>
      </c>
      <c r="I904" t="str" cm="1">
        <f t="array" ref="I904">_xlfn.IFS(G904=0,"Not Paid",G904=F904,"Fully Paid",G904&lt;F904,"Partially Paid")</f>
        <v>Partially Paid</v>
      </c>
      <c r="J904" t="str">
        <f t="shared" si="14"/>
        <v>NO</v>
      </c>
    </row>
    <row r="905" spans="1:10" x14ac:dyDescent="0.35">
      <c r="A905">
        <v>2904</v>
      </c>
      <c r="B905" t="s">
        <v>936</v>
      </c>
      <c r="C905" t="s">
        <v>9</v>
      </c>
      <c r="D905" t="s">
        <v>21</v>
      </c>
      <c r="E905">
        <v>45669</v>
      </c>
      <c r="F905">
        <v>34256</v>
      </c>
      <c r="G905">
        <v>32269</v>
      </c>
      <c r="H905" t="s">
        <v>15</v>
      </c>
      <c r="I905" t="str" cm="1">
        <f t="array" ref="I905">_xlfn.IFS(G905=0,"Not Paid",G905=F905,"Fully Paid",G905&lt;F905,"Partially Paid")</f>
        <v>Partially Paid</v>
      </c>
      <c r="J905" t="str">
        <f t="shared" si="14"/>
        <v>NO</v>
      </c>
    </row>
    <row r="906" spans="1:10" x14ac:dyDescent="0.35">
      <c r="A906">
        <v>2905</v>
      </c>
      <c r="B906" t="s">
        <v>937</v>
      </c>
      <c r="C906" t="s">
        <v>56</v>
      </c>
      <c r="D906" t="s">
        <v>37</v>
      </c>
      <c r="E906">
        <v>45959</v>
      </c>
      <c r="F906">
        <v>42192</v>
      </c>
      <c r="G906">
        <v>42102</v>
      </c>
      <c r="H906" t="s">
        <v>22</v>
      </c>
      <c r="I906" t="str" cm="1">
        <f t="array" ref="I906">_xlfn.IFS(G906=0,"Not Paid",G906=F906,"Fully Paid",G906&lt;F906,"Partially Paid")</f>
        <v>Partially Paid</v>
      </c>
      <c r="J906" t="str">
        <f t="shared" si="14"/>
        <v>NO</v>
      </c>
    </row>
    <row r="907" spans="1:10" x14ac:dyDescent="0.35">
      <c r="A907">
        <v>2906</v>
      </c>
      <c r="B907" t="s">
        <v>938</v>
      </c>
      <c r="C907" t="s">
        <v>45</v>
      </c>
      <c r="D907" t="s">
        <v>10</v>
      </c>
      <c r="E907">
        <v>45673</v>
      </c>
      <c r="F907">
        <v>48230</v>
      </c>
      <c r="G907">
        <v>39509</v>
      </c>
      <c r="H907" t="s">
        <v>15</v>
      </c>
      <c r="I907" t="str" cm="1">
        <f t="array" ref="I907">_xlfn.IFS(G907=0,"Not Paid",G907=F907,"Fully Paid",G907&lt;F907,"Partially Paid")</f>
        <v>Partially Paid</v>
      </c>
      <c r="J907" t="str">
        <f t="shared" si="14"/>
        <v>NO</v>
      </c>
    </row>
    <row r="908" spans="1:10" x14ac:dyDescent="0.35">
      <c r="A908">
        <v>2907</v>
      </c>
      <c r="B908" t="s">
        <v>939</v>
      </c>
      <c r="C908" t="s">
        <v>24</v>
      </c>
      <c r="D908" t="s">
        <v>10</v>
      </c>
      <c r="E908">
        <v>45786</v>
      </c>
      <c r="F908">
        <v>59930</v>
      </c>
      <c r="G908">
        <v>46982</v>
      </c>
      <c r="H908" t="s">
        <v>31</v>
      </c>
      <c r="I908" t="str" cm="1">
        <f t="array" ref="I908">_xlfn.IFS(G908=0,"Not Paid",G908=F908,"Fully Paid",G908&lt;F908,"Partially Paid")</f>
        <v>Partially Paid</v>
      </c>
      <c r="J908" t="str">
        <f t="shared" si="14"/>
        <v>YES</v>
      </c>
    </row>
    <row r="909" spans="1:10" x14ac:dyDescent="0.35">
      <c r="A909">
        <v>2908</v>
      </c>
      <c r="B909" t="s">
        <v>940</v>
      </c>
      <c r="C909" t="s">
        <v>24</v>
      </c>
      <c r="D909" t="s">
        <v>21</v>
      </c>
      <c r="E909">
        <v>45720</v>
      </c>
      <c r="F909">
        <v>42625</v>
      </c>
      <c r="G909">
        <v>38566</v>
      </c>
      <c r="H909" t="s">
        <v>19</v>
      </c>
      <c r="I909" t="str" cm="1">
        <f t="array" ref="I909">_xlfn.IFS(G909=0,"Not Paid",G909=F909,"Fully Paid",G909&lt;F909,"Partially Paid")</f>
        <v>Partially Paid</v>
      </c>
      <c r="J909" t="str">
        <f t="shared" si="14"/>
        <v>NO</v>
      </c>
    </row>
    <row r="910" spans="1:10" x14ac:dyDescent="0.35">
      <c r="A910">
        <v>2909</v>
      </c>
      <c r="B910" t="s">
        <v>941</v>
      </c>
      <c r="C910" t="s">
        <v>56</v>
      </c>
      <c r="D910" t="s">
        <v>37</v>
      </c>
      <c r="E910">
        <v>45766</v>
      </c>
      <c r="F910">
        <v>52088</v>
      </c>
      <c r="G910">
        <v>39062</v>
      </c>
      <c r="H910" t="s">
        <v>11</v>
      </c>
      <c r="I910" t="str" cm="1">
        <f t="array" ref="I910">_xlfn.IFS(G910=0,"Not Paid",G910=F910,"Fully Paid",G910&lt;F910,"Partially Paid")</f>
        <v>Partially Paid</v>
      </c>
      <c r="J910" t="str">
        <f t="shared" si="14"/>
        <v>YES</v>
      </c>
    </row>
    <row r="911" spans="1:10" x14ac:dyDescent="0.35">
      <c r="A911">
        <v>2910</v>
      </c>
      <c r="B911" t="s">
        <v>942</v>
      </c>
      <c r="C911" t="s">
        <v>17</v>
      </c>
      <c r="D911" t="s">
        <v>10</v>
      </c>
      <c r="E911">
        <v>45678</v>
      </c>
      <c r="F911">
        <v>34114</v>
      </c>
      <c r="G911">
        <v>31341</v>
      </c>
      <c r="H911" t="s">
        <v>15</v>
      </c>
      <c r="I911" t="str" cm="1">
        <f t="array" ref="I911">_xlfn.IFS(G911=0,"Not Paid",G911=F911,"Fully Paid",G911&lt;F911,"Partially Paid")</f>
        <v>Partially Paid</v>
      </c>
      <c r="J911" t="str">
        <f t="shared" si="14"/>
        <v>NO</v>
      </c>
    </row>
    <row r="912" spans="1:10" x14ac:dyDescent="0.35">
      <c r="A912">
        <v>2911</v>
      </c>
      <c r="B912" t="s">
        <v>943</v>
      </c>
      <c r="C912" t="s">
        <v>56</v>
      </c>
      <c r="D912" t="s">
        <v>37</v>
      </c>
      <c r="E912">
        <v>45815</v>
      </c>
      <c r="F912">
        <v>58401</v>
      </c>
      <c r="G912">
        <v>45242</v>
      </c>
      <c r="H912" t="s">
        <v>67</v>
      </c>
      <c r="I912" t="str" cm="1">
        <f t="array" ref="I912">_xlfn.IFS(G912=0,"Not Paid",G912=F912,"Fully Paid",G912&lt;F912,"Partially Paid")</f>
        <v>Partially Paid</v>
      </c>
      <c r="J912" t="str">
        <f t="shared" si="14"/>
        <v>YES</v>
      </c>
    </row>
    <row r="913" spans="1:10" x14ac:dyDescent="0.35">
      <c r="A913">
        <v>2912</v>
      </c>
      <c r="B913" t="s">
        <v>944</v>
      </c>
      <c r="C913" t="s">
        <v>33</v>
      </c>
      <c r="D913" t="s">
        <v>37</v>
      </c>
      <c r="E913">
        <v>45926</v>
      </c>
      <c r="F913">
        <v>25755</v>
      </c>
      <c r="G913">
        <v>15877</v>
      </c>
      <c r="H913" t="s">
        <v>53</v>
      </c>
      <c r="I913" t="str" cm="1">
        <f t="array" ref="I913">_xlfn.IFS(G913=0,"Not Paid",G913=F913,"Fully Paid",G913&lt;F913,"Partially Paid")</f>
        <v>Partially Paid</v>
      </c>
      <c r="J913" t="str">
        <f t="shared" si="14"/>
        <v>NO</v>
      </c>
    </row>
    <row r="914" spans="1:10" x14ac:dyDescent="0.35">
      <c r="A914">
        <v>2913</v>
      </c>
      <c r="B914" t="s">
        <v>945</v>
      </c>
      <c r="C914" t="s">
        <v>56</v>
      </c>
      <c r="D914" t="s">
        <v>37</v>
      </c>
      <c r="E914">
        <v>45819</v>
      </c>
      <c r="F914">
        <v>30825</v>
      </c>
      <c r="G914">
        <v>22442</v>
      </c>
      <c r="H914" t="s">
        <v>67</v>
      </c>
      <c r="I914" t="str" cm="1">
        <f t="array" ref="I914">_xlfn.IFS(G914=0,"Not Paid",G914=F914,"Fully Paid",G914&lt;F914,"Partially Paid")</f>
        <v>Partially Paid</v>
      </c>
      <c r="J914" t="str">
        <f t="shared" si="14"/>
        <v>NO</v>
      </c>
    </row>
    <row r="915" spans="1:10" x14ac:dyDescent="0.35">
      <c r="A915">
        <v>2914</v>
      </c>
      <c r="B915" t="s">
        <v>946</v>
      </c>
      <c r="C915" t="s">
        <v>24</v>
      </c>
      <c r="D915" t="s">
        <v>18</v>
      </c>
      <c r="E915">
        <v>45917</v>
      </c>
      <c r="F915">
        <v>42693</v>
      </c>
      <c r="G915">
        <v>32515</v>
      </c>
      <c r="H915" t="s">
        <v>53</v>
      </c>
      <c r="I915" t="str" cm="1">
        <f t="array" ref="I915">_xlfn.IFS(G915=0,"Not Paid",G915=F915,"Fully Paid",G915&lt;F915,"Partially Paid")</f>
        <v>Partially Paid</v>
      </c>
      <c r="J915" t="str">
        <f t="shared" si="14"/>
        <v>NO</v>
      </c>
    </row>
    <row r="916" spans="1:10" x14ac:dyDescent="0.35">
      <c r="A916">
        <v>2915</v>
      </c>
      <c r="B916" t="s">
        <v>947</v>
      </c>
      <c r="C916" t="s">
        <v>9</v>
      </c>
      <c r="D916" t="s">
        <v>27</v>
      </c>
      <c r="E916">
        <v>45759</v>
      </c>
      <c r="F916">
        <v>24117</v>
      </c>
      <c r="G916">
        <v>12302</v>
      </c>
      <c r="H916" t="s">
        <v>11</v>
      </c>
      <c r="I916" t="str" cm="1">
        <f t="array" ref="I916">_xlfn.IFS(G916=0,"Not Paid",G916=F916,"Fully Paid",G916&lt;F916,"Partially Paid")</f>
        <v>Partially Paid</v>
      </c>
      <c r="J916" t="str">
        <f t="shared" si="14"/>
        <v>NO</v>
      </c>
    </row>
    <row r="917" spans="1:10" x14ac:dyDescent="0.35">
      <c r="A917">
        <v>2916</v>
      </c>
      <c r="B917" t="s">
        <v>948</v>
      </c>
      <c r="C917" t="s">
        <v>56</v>
      </c>
      <c r="D917" t="s">
        <v>37</v>
      </c>
      <c r="E917">
        <v>45880</v>
      </c>
      <c r="F917">
        <v>44729</v>
      </c>
      <c r="G917">
        <v>37320</v>
      </c>
      <c r="H917" t="s">
        <v>38</v>
      </c>
      <c r="I917" t="str" cm="1">
        <f t="array" ref="I917">_xlfn.IFS(G917=0,"Not Paid",G917=F917,"Fully Paid",G917&lt;F917,"Partially Paid")</f>
        <v>Partially Paid</v>
      </c>
      <c r="J917" t="str">
        <f t="shared" si="14"/>
        <v>NO</v>
      </c>
    </row>
    <row r="918" spans="1:10" x14ac:dyDescent="0.35">
      <c r="A918">
        <v>2917</v>
      </c>
      <c r="B918" t="s">
        <v>949</v>
      </c>
      <c r="C918" t="s">
        <v>17</v>
      </c>
      <c r="D918" t="s">
        <v>18</v>
      </c>
      <c r="E918">
        <v>45716</v>
      </c>
      <c r="F918">
        <v>52182</v>
      </c>
      <c r="G918">
        <v>41805</v>
      </c>
      <c r="H918" t="s">
        <v>77</v>
      </c>
      <c r="I918" t="str" cm="1">
        <f t="array" ref="I918">_xlfn.IFS(G918=0,"Not Paid",G918=F918,"Fully Paid",G918&lt;F918,"Partially Paid")</f>
        <v>Partially Paid</v>
      </c>
      <c r="J918" t="str">
        <f t="shared" si="14"/>
        <v>YES</v>
      </c>
    </row>
    <row r="919" spans="1:10" x14ac:dyDescent="0.35">
      <c r="A919">
        <v>2918</v>
      </c>
      <c r="B919" t="s">
        <v>950</v>
      </c>
      <c r="C919" t="s">
        <v>9</v>
      </c>
      <c r="D919" t="s">
        <v>21</v>
      </c>
      <c r="E919">
        <v>45904</v>
      </c>
      <c r="F919">
        <v>48890</v>
      </c>
      <c r="G919">
        <v>44450</v>
      </c>
      <c r="H919" t="s">
        <v>53</v>
      </c>
      <c r="I919" t="str" cm="1">
        <f t="array" ref="I919">_xlfn.IFS(G919=0,"Not Paid",G919=F919,"Fully Paid",G919&lt;F919,"Partially Paid")</f>
        <v>Partially Paid</v>
      </c>
      <c r="J919" t="str">
        <f t="shared" si="14"/>
        <v>NO</v>
      </c>
    </row>
    <row r="920" spans="1:10" x14ac:dyDescent="0.35">
      <c r="A920">
        <v>2919</v>
      </c>
      <c r="B920" t="s">
        <v>951</v>
      </c>
      <c r="C920" t="s">
        <v>45</v>
      </c>
      <c r="D920" t="s">
        <v>10</v>
      </c>
      <c r="E920">
        <v>45785</v>
      </c>
      <c r="F920">
        <v>49340</v>
      </c>
      <c r="G920">
        <v>41993</v>
      </c>
      <c r="H920" t="s">
        <v>31</v>
      </c>
      <c r="I920" t="str" cm="1">
        <f t="array" ref="I920">_xlfn.IFS(G920=0,"Not Paid",G920=F920,"Fully Paid",G920&lt;F920,"Partially Paid")</f>
        <v>Partially Paid</v>
      </c>
      <c r="J920" t="str">
        <f t="shared" si="14"/>
        <v>NO</v>
      </c>
    </row>
    <row r="921" spans="1:10" x14ac:dyDescent="0.35">
      <c r="A921">
        <v>2920</v>
      </c>
      <c r="B921" t="s">
        <v>952</v>
      </c>
      <c r="C921" t="s">
        <v>13</v>
      </c>
      <c r="D921" t="s">
        <v>27</v>
      </c>
      <c r="E921">
        <v>45940</v>
      </c>
      <c r="F921">
        <v>21518</v>
      </c>
      <c r="G921">
        <v>20510</v>
      </c>
      <c r="H921" t="s">
        <v>22</v>
      </c>
      <c r="I921" t="str" cm="1">
        <f t="array" ref="I921">_xlfn.IFS(G921=0,"Not Paid",G921=F921,"Fully Paid",G921&lt;F921,"Partially Paid")</f>
        <v>Partially Paid</v>
      </c>
      <c r="J921" t="str">
        <f t="shared" si="14"/>
        <v>NO</v>
      </c>
    </row>
    <row r="922" spans="1:10" x14ac:dyDescent="0.35">
      <c r="A922">
        <v>2921</v>
      </c>
      <c r="B922" t="s">
        <v>953</v>
      </c>
      <c r="C922" t="s">
        <v>56</v>
      </c>
      <c r="D922" t="s">
        <v>10</v>
      </c>
      <c r="E922">
        <v>45982</v>
      </c>
      <c r="F922">
        <v>50949</v>
      </c>
      <c r="G922">
        <v>47166</v>
      </c>
      <c r="H922" t="s">
        <v>29</v>
      </c>
      <c r="I922" t="str" cm="1">
        <f t="array" ref="I922">_xlfn.IFS(G922=0,"Not Paid",G922=F922,"Fully Paid",G922&lt;F922,"Partially Paid")</f>
        <v>Partially Paid</v>
      </c>
      <c r="J922" t="str">
        <f t="shared" si="14"/>
        <v>YES</v>
      </c>
    </row>
    <row r="923" spans="1:10" x14ac:dyDescent="0.35">
      <c r="A923">
        <v>2922</v>
      </c>
      <c r="B923" t="s">
        <v>954</v>
      </c>
      <c r="C923" t="s">
        <v>17</v>
      </c>
      <c r="D923" t="s">
        <v>27</v>
      </c>
      <c r="E923">
        <v>45682</v>
      </c>
      <c r="F923">
        <v>42547</v>
      </c>
      <c r="G923">
        <v>35901</v>
      </c>
      <c r="H923" t="s">
        <v>15</v>
      </c>
      <c r="I923" t="str" cm="1">
        <f t="array" ref="I923">_xlfn.IFS(G923=0,"Not Paid",G923=F923,"Fully Paid",G923&lt;F923,"Partially Paid")</f>
        <v>Partially Paid</v>
      </c>
      <c r="J923" t="str">
        <f t="shared" si="14"/>
        <v>NO</v>
      </c>
    </row>
    <row r="924" spans="1:10" x14ac:dyDescent="0.35">
      <c r="A924">
        <v>2923</v>
      </c>
      <c r="B924" t="s">
        <v>955</v>
      </c>
      <c r="C924" t="s">
        <v>9</v>
      </c>
      <c r="D924" t="s">
        <v>10</v>
      </c>
      <c r="E924">
        <v>45788</v>
      </c>
      <c r="F924">
        <v>36346</v>
      </c>
      <c r="G924">
        <v>32048</v>
      </c>
      <c r="H924" t="s">
        <v>31</v>
      </c>
      <c r="I924" t="str" cm="1">
        <f t="array" ref="I924">_xlfn.IFS(G924=0,"Not Paid",G924=F924,"Fully Paid",G924&lt;F924,"Partially Paid")</f>
        <v>Partially Paid</v>
      </c>
      <c r="J924" t="str">
        <f t="shared" si="14"/>
        <v>NO</v>
      </c>
    </row>
    <row r="925" spans="1:10" x14ac:dyDescent="0.35">
      <c r="A925">
        <v>2924</v>
      </c>
      <c r="B925" t="s">
        <v>956</v>
      </c>
      <c r="C925" t="s">
        <v>17</v>
      </c>
      <c r="D925" t="s">
        <v>27</v>
      </c>
      <c r="E925">
        <v>46010</v>
      </c>
      <c r="F925">
        <v>22600</v>
      </c>
      <c r="G925">
        <v>17932</v>
      </c>
      <c r="H925" t="s">
        <v>25</v>
      </c>
      <c r="I925" t="str" cm="1">
        <f t="array" ref="I925">_xlfn.IFS(G925=0,"Not Paid",G925=F925,"Fully Paid",G925&lt;F925,"Partially Paid")</f>
        <v>Partially Paid</v>
      </c>
      <c r="J925" t="str">
        <f t="shared" si="14"/>
        <v>NO</v>
      </c>
    </row>
    <row r="926" spans="1:10" x14ac:dyDescent="0.35">
      <c r="A926">
        <v>2925</v>
      </c>
      <c r="B926" t="s">
        <v>957</v>
      </c>
      <c r="C926" t="s">
        <v>45</v>
      </c>
      <c r="D926" t="s">
        <v>10</v>
      </c>
      <c r="E926">
        <v>45853</v>
      </c>
      <c r="F926">
        <v>49267</v>
      </c>
      <c r="G926">
        <v>44980</v>
      </c>
      <c r="H926" t="s">
        <v>43</v>
      </c>
      <c r="I926" t="str" cm="1">
        <f t="array" ref="I926">_xlfn.IFS(G926=0,"Not Paid",G926=F926,"Fully Paid",G926&lt;F926,"Partially Paid")</f>
        <v>Partially Paid</v>
      </c>
      <c r="J926" t="str">
        <f t="shared" si="14"/>
        <v>NO</v>
      </c>
    </row>
    <row r="927" spans="1:10" x14ac:dyDescent="0.35">
      <c r="A927">
        <v>2926</v>
      </c>
      <c r="B927" t="s">
        <v>958</v>
      </c>
      <c r="C927" t="s">
        <v>24</v>
      </c>
      <c r="D927" t="s">
        <v>10</v>
      </c>
      <c r="E927">
        <v>45938</v>
      </c>
      <c r="F927">
        <v>56322</v>
      </c>
      <c r="G927">
        <v>54270</v>
      </c>
      <c r="H927" t="s">
        <v>22</v>
      </c>
      <c r="I927" t="str" cm="1">
        <f t="array" ref="I927">_xlfn.IFS(G927=0,"Not Paid",G927=F927,"Fully Paid",G927&lt;F927,"Partially Paid")</f>
        <v>Partially Paid</v>
      </c>
      <c r="J927" t="str">
        <f t="shared" si="14"/>
        <v>YES</v>
      </c>
    </row>
    <row r="928" spans="1:10" x14ac:dyDescent="0.35">
      <c r="A928">
        <v>2927</v>
      </c>
      <c r="B928" t="s">
        <v>959</v>
      </c>
      <c r="C928" t="s">
        <v>17</v>
      </c>
      <c r="D928" t="s">
        <v>10</v>
      </c>
      <c r="E928">
        <v>45811</v>
      </c>
      <c r="F928">
        <v>46990</v>
      </c>
      <c r="G928">
        <v>40981</v>
      </c>
      <c r="H928" t="s">
        <v>67</v>
      </c>
      <c r="I928" t="str" cm="1">
        <f t="array" ref="I928">_xlfn.IFS(G928=0,"Not Paid",G928=F928,"Fully Paid",G928&lt;F928,"Partially Paid")</f>
        <v>Partially Paid</v>
      </c>
      <c r="J928" t="str">
        <f t="shared" si="14"/>
        <v>NO</v>
      </c>
    </row>
    <row r="929" spans="1:10" x14ac:dyDescent="0.35">
      <c r="A929">
        <v>2928</v>
      </c>
      <c r="B929" t="s">
        <v>960</v>
      </c>
      <c r="C929" t="s">
        <v>9</v>
      </c>
      <c r="D929" t="s">
        <v>10</v>
      </c>
      <c r="E929">
        <v>45790</v>
      </c>
      <c r="F929">
        <v>36193</v>
      </c>
      <c r="G929">
        <v>24693</v>
      </c>
      <c r="H929" t="s">
        <v>31</v>
      </c>
      <c r="I929" t="str" cm="1">
        <f t="array" ref="I929">_xlfn.IFS(G929=0,"Not Paid",G929=F929,"Fully Paid",G929&lt;F929,"Partially Paid")</f>
        <v>Partially Paid</v>
      </c>
      <c r="J929" t="str">
        <f t="shared" si="14"/>
        <v>NO</v>
      </c>
    </row>
    <row r="930" spans="1:10" x14ac:dyDescent="0.35">
      <c r="A930">
        <v>2929</v>
      </c>
      <c r="B930" t="s">
        <v>961</v>
      </c>
      <c r="C930" t="s">
        <v>17</v>
      </c>
      <c r="D930" t="s">
        <v>21</v>
      </c>
      <c r="E930">
        <v>45884</v>
      </c>
      <c r="F930">
        <v>50109</v>
      </c>
      <c r="G930">
        <v>48393</v>
      </c>
      <c r="H930" t="s">
        <v>38</v>
      </c>
      <c r="I930" t="str" cm="1">
        <f t="array" ref="I930">_xlfn.IFS(G930=0,"Not Paid",G930=F930,"Fully Paid",G930&lt;F930,"Partially Paid")</f>
        <v>Partially Paid</v>
      </c>
      <c r="J930" t="str">
        <f t="shared" si="14"/>
        <v>YES</v>
      </c>
    </row>
    <row r="931" spans="1:10" x14ac:dyDescent="0.35">
      <c r="A931">
        <v>2930</v>
      </c>
      <c r="B931" t="s">
        <v>962</v>
      </c>
      <c r="C931" t="s">
        <v>17</v>
      </c>
      <c r="D931" t="s">
        <v>37</v>
      </c>
      <c r="E931">
        <v>45846</v>
      </c>
      <c r="F931">
        <v>39233</v>
      </c>
      <c r="G931">
        <v>38923</v>
      </c>
      <c r="H931" t="s">
        <v>43</v>
      </c>
      <c r="I931" t="str" cm="1">
        <f t="array" ref="I931">_xlfn.IFS(G931=0,"Not Paid",G931=F931,"Fully Paid",G931&lt;F931,"Partially Paid")</f>
        <v>Partially Paid</v>
      </c>
      <c r="J931" t="str">
        <f t="shared" si="14"/>
        <v>NO</v>
      </c>
    </row>
    <row r="932" spans="1:10" x14ac:dyDescent="0.35">
      <c r="A932">
        <v>2931</v>
      </c>
      <c r="B932" t="s">
        <v>963</v>
      </c>
      <c r="C932" t="s">
        <v>17</v>
      </c>
      <c r="D932" t="s">
        <v>14</v>
      </c>
      <c r="E932">
        <v>45922</v>
      </c>
      <c r="F932">
        <v>36194</v>
      </c>
      <c r="G932">
        <v>21310</v>
      </c>
      <c r="H932" t="s">
        <v>53</v>
      </c>
      <c r="I932" t="str" cm="1">
        <f t="array" ref="I932">_xlfn.IFS(G932=0,"Not Paid",G932=F932,"Fully Paid",G932&lt;F932,"Partially Paid")</f>
        <v>Partially Paid</v>
      </c>
      <c r="J932" t="str">
        <f t="shared" si="14"/>
        <v>NO</v>
      </c>
    </row>
    <row r="933" spans="1:10" x14ac:dyDescent="0.35">
      <c r="A933">
        <v>2932</v>
      </c>
      <c r="B933" t="s">
        <v>964</v>
      </c>
      <c r="C933" t="s">
        <v>33</v>
      </c>
      <c r="D933" t="s">
        <v>18</v>
      </c>
      <c r="E933">
        <v>45791</v>
      </c>
      <c r="F933">
        <v>54510</v>
      </c>
      <c r="G933">
        <v>40119</v>
      </c>
      <c r="H933" t="s">
        <v>31</v>
      </c>
      <c r="I933" t="str" cm="1">
        <f t="array" ref="I933">_xlfn.IFS(G933=0,"Not Paid",G933=F933,"Fully Paid",G933&lt;F933,"Partially Paid")</f>
        <v>Partially Paid</v>
      </c>
      <c r="J933" t="str">
        <f t="shared" si="14"/>
        <v>YES</v>
      </c>
    </row>
    <row r="934" spans="1:10" x14ac:dyDescent="0.35">
      <c r="A934">
        <v>2933</v>
      </c>
      <c r="B934" t="s">
        <v>965</v>
      </c>
      <c r="C934" t="s">
        <v>33</v>
      </c>
      <c r="D934" t="s">
        <v>14</v>
      </c>
      <c r="E934">
        <v>45868</v>
      </c>
      <c r="F934">
        <v>21306</v>
      </c>
      <c r="G934">
        <v>16768</v>
      </c>
      <c r="H934" t="s">
        <v>43</v>
      </c>
      <c r="I934" t="str" cm="1">
        <f t="array" ref="I934">_xlfn.IFS(G934=0,"Not Paid",G934=F934,"Fully Paid",G934&lt;F934,"Partially Paid")</f>
        <v>Partially Paid</v>
      </c>
      <c r="J934" t="str">
        <f t="shared" si="14"/>
        <v>NO</v>
      </c>
    </row>
    <row r="935" spans="1:10" x14ac:dyDescent="0.35">
      <c r="A935">
        <v>2934</v>
      </c>
      <c r="B935" t="s">
        <v>966</v>
      </c>
      <c r="C935" t="s">
        <v>24</v>
      </c>
      <c r="D935" t="s">
        <v>14</v>
      </c>
      <c r="E935">
        <v>45717</v>
      </c>
      <c r="F935">
        <v>23849</v>
      </c>
      <c r="G935">
        <v>22589</v>
      </c>
      <c r="H935" t="s">
        <v>19</v>
      </c>
      <c r="I935" t="str" cm="1">
        <f t="array" ref="I935">_xlfn.IFS(G935=0,"Not Paid",G935=F935,"Fully Paid",G935&lt;F935,"Partially Paid")</f>
        <v>Partially Paid</v>
      </c>
      <c r="J935" t="str">
        <f t="shared" si="14"/>
        <v>NO</v>
      </c>
    </row>
    <row r="936" spans="1:10" x14ac:dyDescent="0.35">
      <c r="A936">
        <v>2935</v>
      </c>
      <c r="B936" t="s">
        <v>967</v>
      </c>
      <c r="C936" t="s">
        <v>56</v>
      </c>
      <c r="D936" t="s">
        <v>27</v>
      </c>
      <c r="E936">
        <v>46021</v>
      </c>
      <c r="F936">
        <v>32360</v>
      </c>
      <c r="G936">
        <v>19203</v>
      </c>
      <c r="H936" t="s">
        <v>25</v>
      </c>
      <c r="I936" t="str" cm="1">
        <f t="array" ref="I936">_xlfn.IFS(G936=0,"Not Paid",G936=F936,"Fully Paid",G936&lt;F936,"Partially Paid")</f>
        <v>Partially Paid</v>
      </c>
      <c r="J936" t="str">
        <f t="shared" si="14"/>
        <v>NO</v>
      </c>
    </row>
    <row r="937" spans="1:10" x14ac:dyDescent="0.35">
      <c r="A937">
        <v>2936</v>
      </c>
      <c r="B937" t="s">
        <v>968</v>
      </c>
      <c r="C937" t="s">
        <v>17</v>
      </c>
      <c r="D937" t="s">
        <v>37</v>
      </c>
      <c r="E937">
        <v>46021</v>
      </c>
      <c r="F937">
        <v>49231</v>
      </c>
      <c r="G937">
        <v>45299</v>
      </c>
      <c r="H937" t="s">
        <v>25</v>
      </c>
      <c r="I937" t="str" cm="1">
        <f t="array" ref="I937">_xlfn.IFS(G937=0,"Not Paid",G937=F937,"Fully Paid",G937&lt;F937,"Partially Paid")</f>
        <v>Partially Paid</v>
      </c>
      <c r="J937" t="str">
        <f t="shared" si="14"/>
        <v>NO</v>
      </c>
    </row>
    <row r="938" spans="1:10" x14ac:dyDescent="0.35">
      <c r="A938">
        <v>2937</v>
      </c>
      <c r="B938" t="s">
        <v>969</v>
      </c>
      <c r="C938" t="s">
        <v>45</v>
      </c>
      <c r="D938" t="s">
        <v>27</v>
      </c>
      <c r="E938">
        <v>45870</v>
      </c>
      <c r="F938">
        <v>56963</v>
      </c>
      <c r="G938">
        <v>45503</v>
      </c>
      <c r="H938" t="s">
        <v>38</v>
      </c>
      <c r="I938" t="str" cm="1">
        <f t="array" ref="I938">_xlfn.IFS(G938=0,"Not Paid",G938=F938,"Fully Paid",G938&lt;F938,"Partially Paid")</f>
        <v>Partially Paid</v>
      </c>
      <c r="J938" t="str">
        <f t="shared" si="14"/>
        <v>YES</v>
      </c>
    </row>
    <row r="939" spans="1:10" x14ac:dyDescent="0.35">
      <c r="A939">
        <v>2938</v>
      </c>
      <c r="B939" t="s">
        <v>970</v>
      </c>
      <c r="C939" t="s">
        <v>56</v>
      </c>
      <c r="D939" t="s">
        <v>37</v>
      </c>
      <c r="E939">
        <v>45873</v>
      </c>
      <c r="F939">
        <v>38689</v>
      </c>
      <c r="G939">
        <v>38105</v>
      </c>
      <c r="H939" t="s">
        <v>38</v>
      </c>
      <c r="I939" t="str" cm="1">
        <f t="array" ref="I939">_xlfn.IFS(G939=0,"Not Paid",G939=F939,"Fully Paid",G939&lt;F939,"Partially Paid")</f>
        <v>Partially Paid</v>
      </c>
      <c r="J939" t="str">
        <f t="shared" si="14"/>
        <v>NO</v>
      </c>
    </row>
    <row r="940" spans="1:10" x14ac:dyDescent="0.35">
      <c r="A940">
        <v>2939</v>
      </c>
      <c r="B940" t="s">
        <v>971</v>
      </c>
      <c r="C940" t="s">
        <v>45</v>
      </c>
      <c r="D940" t="s">
        <v>37</v>
      </c>
      <c r="E940">
        <v>45883</v>
      </c>
      <c r="F940">
        <v>49084</v>
      </c>
      <c r="G940">
        <v>35202</v>
      </c>
      <c r="H940" t="s">
        <v>38</v>
      </c>
      <c r="I940" t="str" cm="1">
        <f t="array" ref="I940">_xlfn.IFS(G940=0,"Not Paid",G940=F940,"Fully Paid",G940&lt;F940,"Partially Paid")</f>
        <v>Partially Paid</v>
      </c>
      <c r="J940" t="str">
        <f t="shared" si="14"/>
        <v>NO</v>
      </c>
    </row>
    <row r="941" spans="1:10" x14ac:dyDescent="0.35">
      <c r="A941">
        <v>2940</v>
      </c>
      <c r="B941" t="s">
        <v>972</v>
      </c>
      <c r="C941" t="s">
        <v>56</v>
      </c>
      <c r="D941" t="s">
        <v>10</v>
      </c>
      <c r="E941">
        <v>45788</v>
      </c>
      <c r="F941">
        <v>29280</v>
      </c>
      <c r="G941">
        <v>18289</v>
      </c>
      <c r="H941" t="s">
        <v>31</v>
      </c>
      <c r="I941" t="str" cm="1">
        <f t="array" ref="I941">_xlfn.IFS(G941=0,"Not Paid",G941=F941,"Fully Paid",G941&lt;F941,"Partially Paid")</f>
        <v>Partially Paid</v>
      </c>
      <c r="J941" t="str">
        <f t="shared" si="14"/>
        <v>NO</v>
      </c>
    </row>
    <row r="942" spans="1:10" x14ac:dyDescent="0.35">
      <c r="A942">
        <v>2941</v>
      </c>
      <c r="B942" t="s">
        <v>973</v>
      </c>
      <c r="C942" t="s">
        <v>24</v>
      </c>
      <c r="D942" t="s">
        <v>21</v>
      </c>
      <c r="E942">
        <v>45733</v>
      </c>
      <c r="F942">
        <v>22642</v>
      </c>
      <c r="G942">
        <v>8817</v>
      </c>
      <c r="H942" t="s">
        <v>19</v>
      </c>
      <c r="I942" t="str" cm="1">
        <f t="array" ref="I942">_xlfn.IFS(G942=0,"Not Paid",G942=F942,"Fully Paid",G942&lt;F942,"Partially Paid")</f>
        <v>Partially Paid</v>
      </c>
      <c r="J942" t="str">
        <f t="shared" si="14"/>
        <v>NO</v>
      </c>
    </row>
    <row r="943" spans="1:10" x14ac:dyDescent="0.35">
      <c r="A943">
        <v>2942</v>
      </c>
      <c r="B943" t="s">
        <v>974</v>
      </c>
      <c r="C943" t="s">
        <v>17</v>
      </c>
      <c r="D943" t="s">
        <v>10</v>
      </c>
      <c r="E943">
        <v>45943</v>
      </c>
      <c r="F943">
        <v>34296</v>
      </c>
      <c r="G943">
        <v>26680</v>
      </c>
      <c r="H943" t="s">
        <v>22</v>
      </c>
      <c r="I943" t="str" cm="1">
        <f t="array" ref="I943">_xlfn.IFS(G943=0,"Not Paid",G943=F943,"Fully Paid",G943&lt;F943,"Partially Paid")</f>
        <v>Partially Paid</v>
      </c>
      <c r="J943" t="str">
        <f t="shared" si="14"/>
        <v>NO</v>
      </c>
    </row>
    <row r="944" spans="1:10" x14ac:dyDescent="0.35">
      <c r="A944">
        <v>2943</v>
      </c>
      <c r="B944" t="s">
        <v>975</v>
      </c>
      <c r="C944" t="s">
        <v>17</v>
      </c>
      <c r="D944" t="s">
        <v>21</v>
      </c>
      <c r="E944">
        <v>45934</v>
      </c>
      <c r="F944">
        <v>35438</v>
      </c>
      <c r="G944">
        <v>26887</v>
      </c>
      <c r="H944" t="s">
        <v>22</v>
      </c>
      <c r="I944" t="str" cm="1">
        <f t="array" ref="I944">_xlfn.IFS(G944=0,"Not Paid",G944=F944,"Fully Paid",G944&lt;F944,"Partially Paid")</f>
        <v>Partially Paid</v>
      </c>
      <c r="J944" t="str">
        <f t="shared" si="14"/>
        <v>NO</v>
      </c>
    </row>
    <row r="945" spans="1:10" x14ac:dyDescent="0.35">
      <c r="A945">
        <v>2944</v>
      </c>
      <c r="B945" t="s">
        <v>976</v>
      </c>
      <c r="C945" t="s">
        <v>13</v>
      </c>
      <c r="D945" t="s">
        <v>27</v>
      </c>
      <c r="E945">
        <v>45813</v>
      </c>
      <c r="F945">
        <v>57525</v>
      </c>
      <c r="G945">
        <v>43514</v>
      </c>
      <c r="H945" t="s">
        <v>67</v>
      </c>
      <c r="I945" t="str" cm="1">
        <f t="array" ref="I945">_xlfn.IFS(G945=0,"Not Paid",G945=F945,"Fully Paid",G945&lt;F945,"Partially Paid")</f>
        <v>Partially Paid</v>
      </c>
      <c r="J945" t="str">
        <f t="shared" si="14"/>
        <v>YES</v>
      </c>
    </row>
    <row r="946" spans="1:10" x14ac:dyDescent="0.35">
      <c r="A946">
        <v>2945</v>
      </c>
      <c r="B946" t="s">
        <v>977</v>
      </c>
      <c r="C946" t="s">
        <v>45</v>
      </c>
      <c r="D946" t="s">
        <v>21</v>
      </c>
      <c r="E946">
        <v>45905</v>
      </c>
      <c r="F946">
        <v>22994</v>
      </c>
      <c r="G946">
        <v>20128</v>
      </c>
      <c r="H946" t="s">
        <v>53</v>
      </c>
      <c r="I946" t="str" cm="1">
        <f t="array" ref="I946">_xlfn.IFS(G946=0,"Not Paid",G946=F946,"Fully Paid",G946&lt;F946,"Partially Paid")</f>
        <v>Partially Paid</v>
      </c>
      <c r="J946" t="str">
        <f t="shared" si="14"/>
        <v>NO</v>
      </c>
    </row>
    <row r="947" spans="1:10" x14ac:dyDescent="0.35">
      <c r="A947">
        <v>2946</v>
      </c>
      <c r="B947" t="s">
        <v>978</v>
      </c>
      <c r="C947" t="s">
        <v>56</v>
      </c>
      <c r="D947" t="s">
        <v>27</v>
      </c>
      <c r="E947">
        <v>45875</v>
      </c>
      <c r="F947">
        <v>54039</v>
      </c>
      <c r="G947">
        <v>39674</v>
      </c>
      <c r="H947" t="s">
        <v>38</v>
      </c>
      <c r="I947" t="str" cm="1">
        <f t="array" ref="I947">_xlfn.IFS(G947=0,"Not Paid",G947=F947,"Fully Paid",G947&lt;F947,"Partially Paid")</f>
        <v>Partially Paid</v>
      </c>
      <c r="J947" t="str">
        <f t="shared" si="14"/>
        <v>YES</v>
      </c>
    </row>
    <row r="948" spans="1:10" x14ac:dyDescent="0.35">
      <c r="A948">
        <v>2947</v>
      </c>
      <c r="B948" t="s">
        <v>979</v>
      </c>
      <c r="C948" t="s">
        <v>56</v>
      </c>
      <c r="D948" t="s">
        <v>14</v>
      </c>
      <c r="E948">
        <v>45847</v>
      </c>
      <c r="F948">
        <v>21813</v>
      </c>
      <c r="G948">
        <v>15915</v>
      </c>
      <c r="H948" t="s">
        <v>43</v>
      </c>
      <c r="I948" t="str" cm="1">
        <f t="array" ref="I948">_xlfn.IFS(G948=0,"Not Paid",G948=F948,"Fully Paid",G948&lt;F948,"Partially Paid")</f>
        <v>Partially Paid</v>
      </c>
      <c r="J948" t="str">
        <f t="shared" si="14"/>
        <v>NO</v>
      </c>
    </row>
    <row r="949" spans="1:10" x14ac:dyDescent="0.35">
      <c r="A949">
        <v>2948</v>
      </c>
      <c r="B949" t="s">
        <v>980</v>
      </c>
      <c r="C949" t="s">
        <v>33</v>
      </c>
      <c r="D949" t="s">
        <v>14</v>
      </c>
      <c r="E949">
        <v>45820</v>
      </c>
      <c r="F949">
        <v>47491</v>
      </c>
      <c r="G949">
        <v>45480</v>
      </c>
      <c r="H949" t="s">
        <v>67</v>
      </c>
      <c r="I949" t="str" cm="1">
        <f t="array" ref="I949">_xlfn.IFS(G949=0,"Not Paid",G949=F949,"Fully Paid",G949&lt;F949,"Partially Paid")</f>
        <v>Partially Paid</v>
      </c>
      <c r="J949" t="str">
        <f t="shared" si="14"/>
        <v>NO</v>
      </c>
    </row>
    <row r="950" spans="1:10" x14ac:dyDescent="0.35">
      <c r="A950">
        <v>2949</v>
      </c>
      <c r="B950" t="s">
        <v>981</v>
      </c>
      <c r="C950" t="s">
        <v>13</v>
      </c>
      <c r="D950" t="s">
        <v>21</v>
      </c>
      <c r="E950">
        <v>45837</v>
      </c>
      <c r="F950">
        <v>38845</v>
      </c>
      <c r="G950">
        <v>32594</v>
      </c>
      <c r="H950" t="s">
        <v>67</v>
      </c>
      <c r="I950" t="str" cm="1">
        <f t="array" ref="I950">_xlfn.IFS(G950=0,"Not Paid",G950=F950,"Fully Paid",G950&lt;F950,"Partially Paid")</f>
        <v>Partially Paid</v>
      </c>
      <c r="J950" t="str">
        <f t="shared" si="14"/>
        <v>NO</v>
      </c>
    </row>
    <row r="951" spans="1:10" x14ac:dyDescent="0.35">
      <c r="A951">
        <v>2950</v>
      </c>
      <c r="B951" t="s">
        <v>982</v>
      </c>
      <c r="C951" t="s">
        <v>9</v>
      </c>
      <c r="D951" t="s">
        <v>21</v>
      </c>
      <c r="E951">
        <v>45691</v>
      </c>
      <c r="F951">
        <v>57164</v>
      </c>
      <c r="G951">
        <v>52225</v>
      </c>
      <c r="H951" t="s">
        <v>77</v>
      </c>
      <c r="I951" t="str" cm="1">
        <f t="array" ref="I951">_xlfn.IFS(G951=0,"Not Paid",G951=F951,"Fully Paid",G951&lt;F951,"Partially Paid")</f>
        <v>Partially Paid</v>
      </c>
      <c r="J951" t="str">
        <f t="shared" si="14"/>
        <v>YES</v>
      </c>
    </row>
    <row r="952" spans="1:10" x14ac:dyDescent="0.35">
      <c r="A952">
        <v>2951</v>
      </c>
      <c r="B952" t="s">
        <v>983</v>
      </c>
      <c r="C952" t="s">
        <v>9</v>
      </c>
      <c r="D952" t="s">
        <v>27</v>
      </c>
      <c r="E952">
        <v>45698</v>
      </c>
      <c r="F952">
        <v>33318</v>
      </c>
      <c r="G952">
        <v>29312</v>
      </c>
      <c r="H952" t="s">
        <v>77</v>
      </c>
      <c r="I952" t="str" cm="1">
        <f t="array" ref="I952">_xlfn.IFS(G952=0,"Not Paid",G952=F952,"Fully Paid",G952&lt;F952,"Partially Paid")</f>
        <v>Partially Paid</v>
      </c>
      <c r="J952" t="str">
        <f t="shared" si="14"/>
        <v>NO</v>
      </c>
    </row>
    <row r="953" spans="1:10" x14ac:dyDescent="0.35">
      <c r="A953">
        <v>2952</v>
      </c>
      <c r="B953" t="s">
        <v>984</v>
      </c>
      <c r="C953" t="s">
        <v>33</v>
      </c>
      <c r="D953" t="s">
        <v>10</v>
      </c>
      <c r="E953">
        <v>45964</v>
      </c>
      <c r="F953">
        <v>37200</v>
      </c>
      <c r="G953">
        <v>35575</v>
      </c>
      <c r="H953" t="s">
        <v>29</v>
      </c>
      <c r="I953" t="str" cm="1">
        <f t="array" ref="I953">_xlfn.IFS(G953=0,"Not Paid",G953=F953,"Fully Paid",G953&lt;F953,"Partially Paid")</f>
        <v>Partially Paid</v>
      </c>
      <c r="J953" t="str">
        <f t="shared" si="14"/>
        <v>NO</v>
      </c>
    </row>
    <row r="954" spans="1:10" x14ac:dyDescent="0.35">
      <c r="A954">
        <v>2953</v>
      </c>
      <c r="B954" t="s">
        <v>985</v>
      </c>
      <c r="C954" t="s">
        <v>33</v>
      </c>
      <c r="D954" t="s">
        <v>27</v>
      </c>
      <c r="E954">
        <v>45995</v>
      </c>
      <c r="F954">
        <v>20082</v>
      </c>
      <c r="G954">
        <v>9126</v>
      </c>
      <c r="H954" t="s">
        <v>25</v>
      </c>
      <c r="I954" t="str" cm="1">
        <f t="array" ref="I954">_xlfn.IFS(G954=0,"Not Paid",G954=F954,"Fully Paid",G954&lt;F954,"Partially Paid")</f>
        <v>Partially Paid</v>
      </c>
      <c r="J954" t="str">
        <f t="shared" si="14"/>
        <v>NO</v>
      </c>
    </row>
    <row r="955" spans="1:10" x14ac:dyDescent="0.35">
      <c r="A955">
        <v>2954</v>
      </c>
      <c r="B955" t="s">
        <v>986</v>
      </c>
      <c r="C955" t="s">
        <v>33</v>
      </c>
      <c r="D955" t="s">
        <v>10</v>
      </c>
      <c r="E955">
        <v>45971</v>
      </c>
      <c r="F955">
        <v>21920</v>
      </c>
      <c r="G955">
        <v>21030</v>
      </c>
      <c r="H955" t="s">
        <v>29</v>
      </c>
      <c r="I955" t="str" cm="1">
        <f t="array" ref="I955">_xlfn.IFS(G955=0,"Not Paid",G955=F955,"Fully Paid",G955&lt;F955,"Partially Paid")</f>
        <v>Partially Paid</v>
      </c>
      <c r="J955" t="str">
        <f t="shared" si="14"/>
        <v>NO</v>
      </c>
    </row>
    <row r="956" spans="1:10" x14ac:dyDescent="0.35">
      <c r="A956">
        <v>2955</v>
      </c>
      <c r="B956" t="s">
        <v>987</v>
      </c>
      <c r="C956" t="s">
        <v>45</v>
      </c>
      <c r="D956" t="s">
        <v>14</v>
      </c>
      <c r="E956">
        <v>45732</v>
      </c>
      <c r="F956">
        <v>31683</v>
      </c>
      <c r="G956">
        <v>17404</v>
      </c>
      <c r="H956" t="s">
        <v>19</v>
      </c>
      <c r="I956" t="str" cm="1">
        <f t="array" ref="I956">_xlfn.IFS(G956=0,"Not Paid",G956=F956,"Fully Paid",G956&lt;F956,"Partially Paid")</f>
        <v>Partially Paid</v>
      </c>
      <c r="J956" t="str">
        <f t="shared" si="14"/>
        <v>NO</v>
      </c>
    </row>
    <row r="957" spans="1:10" x14ac:dyDescent="0.35">
      <c r="A957">
        <v>2956</v>
      </c>
      <c r="B957" t="s">
        <v>988</v>
      </c>
      <c r="C957" t="s">
        <v>45</v>
      </c>
      <c r="D957" t="s">
        <v>37</v>
      </c>
      <c r="E957">
        <v>45936</v>
      </c>
      <c r="F957">
        <v>31336</v>
      </c>
      <c r="G957">
        <v>25258</v>
      </c>
      <c r="H957" t="s">
        <v>22</v>
      </c>
      <c r="I957" t="str" cm="1">
        <f t="array" ref="I957">_xlfn.IFS(G957=0,"Not Paid",G957=F957,"Fully Paid",G957&lt;F957,"Partially Paid")</f>
        <v>Partially Paid</v>
      </c>
      <c r="J957" t="str">
        <f t="shared" si="14"/>
        <v>NO</v>
      </c>
    </row>
    <row r="958" spans="1:10" x14ac:dyDescent="0.35">
      <c r="A958">
        <v>2957</v>
      </c>
      <c r="B958" t="s">
        <v>989</v>
      </c>
      <c r="C958" t="s">
        <v>24</v>
      </c>
      <c r="D958" t="s">
        <v>21</v>
      </c>
      <c r="E958">
        <v>45833</v>
      </c>
      <c r="F958">
        <v>35596</v>
      </c>
      <c r="G958">
        <v>22349</v>
      </c>
      <c r="H958" t="s">
        <v>67</v>
      </c>
      <c r="I958" t="str" cm="1">
        <f t="array" ref="I958">_xlfn.IFS(G958=0,"Not Paid",G958=F958,"Fully Paid",G958&lt;F958,"Partially Paid")</f>
        <v>Partially Paid</v>
      </c>
      <c r="J958" t="str">
        <f t="shared" si="14"/>
        <v>NO</v>
      </c>
    </row>
    <row r="959" spans="1:10" x14ac:dyDescent="0.35">
      <c r="A959">
        <v>2958</v>
      </c>
      <c r="B959" t="s">
        <v>990</v>
      </c>
      <c r="C959" t="s">
        <v>24</v>
      </c>
      <c r="D959" t="s">
        <v>10</v>
      </c>
      <c r="E959">
        <v>45807</v>
      </c>
      <c r="F959">
        <v>22093</v>
      </c>
      <c r="G959">
        <v>8337</v>
      </c>
      <c r="H959" t="s">
        <v>31</v>
      </c>
      <c r="I959" t="str" cm="1">
        <f t="array" ref="I959">_xlfn.IFS(G959=0,"Not Paid",G959=F959,"Fully Paid",G959&lt;F959,"Partially Paid")</f>
        <v>Partially Paid</v>
      </c>
      <c r="J959" t="str">
        <f t="shared" si="14"/>
        <v>NO</v>
      </c>
    </row>
    <row r="960" spans="1:10" x14ac:dyDescent="0.35">
      <c r="A960">
        <v>2959</v>
      </c>
      <c r="B960" t="s">
        <v>991</v>
      </c>
      <c r="C960" t="s">
        <v>33</v>
      </c>
      <c r="D960" t="s">
        <v>27</v>
      </c>
      <c r="E960">
        <v>45930</v>
      </c>
      <c r="F960">
        <v>32905</v>
      </c>
      <c r="G960">
        <v>25869</v>
      </c>
      <c r="H960" t="s">
        <v>53</v>
      </c>
      <c r="I960" t="str" cm="1">
        <f t="array" ref="I960">_xlfn.IFS(G960=0,"Not Paid",G960=F960,"Fully Paid",G960&lt;F960,"Partially Paid")</f>
        <v>Partially Paid</v>
      </c>
      <c r="J960" t="str">
        <f t="shared" si="14"/>
        <v>NO</v>
      </c>
    </row>
    <row r="961" spans="1:10" x14ac:dyDescent="0.35">
      <c r="A961">
        <v>2960</v>
      </c>
      <c r="B961" t="s">
        <v>992</v>
      </c>
      <c r="C961" t="s">
        <v>13</v>
      </c>
      <c r="D961" t="s">
        <v>14</v>
      </c>
      <c r="E961">
        <v>45982</v>
      </c>
      <c r="F961">
        <v>44351</v>
      </c>
      <c r="G961">
        <v>30602</v>
      </c>
      <c r="H961" t="s">
        <v>29</v>
      </c>
      <c r="I961" t="str" cm="1">
        <f t="array" ref="I961">_xlfn.IFS(G961=0,"Not Paid",G961=F961,"Fully Paid",G961&lt;F961,"Partially Paid")</f>
        <v>Partially Paid</v>
      </c>
      <c r="J961" t="str">
        <f t="shared" si="14"/>
        <v>NO</v>
      </c>
    </row>
    <row r="962" spans="1:10" x14ac:dyDescent="0.35">
      <c r="A962">
        <v>2961</v>
      </c>
      <c r="B962" t="s">
        <v>993</v>
      </c>
      <c r="C962" t="s">
        <v>56</v>
      </c>
      <c r="D962" t="s">
        <v>10</v>
      </c>
      <c r="E962">
        <v>45765</v>
      </c>
      <c r="F962">
        <v>50981</v>
      </c>
      <c r="G962">
        <v>42058</v>
      </c>
      <c r="H962" t="s">
        <v>11</v>
      </c>
      <c r="I962" t="str" cm="1">
        <f t="array" ref="I962">_xlfn.IFS(G962=0,"Not Paid",G962=F962,"Fully Paid",G962&lt;F962,"Partially Paid")</f>
        <v>Partially Paid</v>
      </c>
      <c r="J962" t="str">
        <f t="shared" si="14"/>
        <v>YES</v>
      </c>
    </row>
    <row r="963" spans="1:10" x14ac:dyDescent="0.35">
      <c r="A963">
        <v>2962</v>
      </c>
      <c r="B963" t="s">
        <v>994</v>
      </c>
      <c r="C963" t="s">
        <v>45</v>
      </c>
      <c r="D963" t="s">
        <v>27</v>
      </c>
      <c r="E963">
        <v>45796</v>
      </c>
      <c r="F963">
        <v>28367</v>
      </c>
      <c r="G963">
        <v>24406</v>
      </c>
      <c r="H963" t="s">
        <v>31</v>
      </c>
      <c r="I963" t="str" cm="1">
        <f t="array" ref="I963">_xlfn.IFS(G963=0,"Not Paid",G963=F963,"Fully Paid",G963&lt;F963,"Partially Paid")</f>
        <v>Partially Paid</v>
      </c>
      <c r="J963" t="str">
        <f t="shared" ref="J963:J1026" si="15">IF(F963&gt;50000,"YES","NO")</f>
        <v>NO</v>
      </c>
    </row>
    <row r="964" spans="1:10" x14ac:dyDescent="0.35">
      <c r="A964">
        <v>2963</v>
      </c>
      <c r="B964" t="s">
        <v>995</v>
      </c>
      <c r="C964" t="s">
        <v>13</v>
      </c>
      <c r="D964" t="s">
        <v>21</v>
      </c>
      <c r="E964">
        <v>46007</v>
      </c>
      <c r="F964">
        <v>25285</v>
      </c>
      <c r="G964">
        <v>12392</v>
      </c>
      <c r="H964" t="s">
        <v>25</v>
      </c>
      <c r="I964" t="str" cm="1">
        <f t="array" ref="I964">_xlfn.IFS(G964=0,"Not Paid",G964=F964,"Fully Paid",G964&lt;F964,"Partially Paid")</f>
        <v>Partially Paid</v>
      </c>
      <c r="J964" t="str">
        <f t="shared" si="15"/>
        <v>NO</v>
      </c>
    </row>
    <row r="965" spans="1:10" x14ac:dyDescent="0.35">
      <c r="A965">
        <v>2964</v>
      </c>
      <c r="B965" t="s">
        <v>996</v>
      </c>
      <c r="C965" t="s">
        <v>17</v>
      </c>
      <c r="D965" t="s">
        <v>21</v>
      </c>
      <c r="E965">
        <v>45928</v>
      </c>
      <c r="F965">
        <v>57705</v>
      </c>
      <c r="G965">
        <v>55201</v>
      </c>
      <c r="H965" t="s">
        <v>53</v>
      </c>
      <c r="I965" t="str" cm="1">
        <f t="array" ref="I965">_xlfn.IFS(G965=0,"Not Paid",G965=F965,"Fully Paid",G965&lt;F965,"Partially Paid")</f>
        <v>Partially Paid</v>
      </c>
      <c r="J965" t="str">
        <f t="shared" si="15"/>
        <v>YES</v>
      </c>
    </row>
    <row r="966" spans="1:10" x14ac:dyDescent="0.35">
      <c r="A966">
        <v>2965</v>
      </c>
      <c r="B966" t="s">
        <v>997</v>
      </c>
      <c r="C966" t="s">
        <v>45</v>
      </c>
      <c r="D966" t="s">
        <v>18</v>
      </c>
      <c r="E966">
        <v>46004</v>
      </c>
      <c r="F966">
        <v>36753</v>
      </c>
      <c r="G966">
        <v>27947</v>
      </c>
      <c r="H966" t="s">
        <v>25</v>
      </c>
      <c r="I966" t="str" cm="1">
        <f t="array" ref="I966">_xlfn.IFS(G966=0,"Not Paid",G966=F966,"Fully Paid",G966&lt;F966,"Partially Paid")</f>
        <v>Partially Paid</v>
      </c>
      <c r="J966" t="str">
        <f t="shared" si="15"/>
        <v>NO</v>
      </c>
    </row>
    <row r="967" spans="1:10" x14ac:dyDescent="0.35">
      <c r="A967">
        <v>2966</v>
      </c>
      <c r="B967" t="s">
        <v>998</v>
      </c>
      <c r="C967" t="s">
        <v>45</v>
      </c>
      <c r="D967" t="s">
        <v>37</v>
      </c>
      <c r="E967">
        <v>45946</v>
      </c>
      <c r="F967">
        <v>38485</v>
      </c>
      <c r="G967">
        <v>34679</v>
      </c>
      <c r="H967" t="s">
        <v>22</v>
      </c>
      <c r="I967" t="str" cm="1">
        <f t="array" ref="I967">_xlfn.IFS(G967=0,"Not Paid",G967=F967,"Fully Paid",G967&lt;F967,"Partially Paid")</f>
        <v>Partially Paid</v>
      </c>
      <c r="J967" t="str">
        <f t="shared" si="15"/>
        <v>NO</v>
      </c>
    </row>
    <row r="968" spans="1:10" x14ac:dyDescent="0.35">
      <c r="A968">
        <v>2967</v>
      </c>
      <c r="B968" t="s">
        <v>999</v>
      </c>
      <c r="C968" t="s">
        <v>24</v>
      </c>
      <c r="D968" t="s">
        <v>18</v>
      </c>
      <c r="E968">
        <v>45869</v>
      </c>
      <c r="F968">
        <v>32977</v>
      </c>
      <c r="G968">
        <v>26877</v>
      </c>
      <c r="H968" t="s">
        <v>43</v>
      </c>
      <c r="I968" t="str" cm="1">
        <f t="array" ref="I968">_xlfn.IFS(G968=0,"Not Paid",G968=F968,"Fully Paid",G968&lt;F968,"Partially Paid")</f>
        <v>Partially Paid</v>
      </c>
      <c r="J968" t="str">
        <f t="shared" si="15"/>
        <v>NO</v>
      </c>
    </row>
    <row r="969" spans="1:10" x14ac:dyDescent="0.35">
      <c r="A969">
        <v>2968</v>
      </c>
      <c r="B969" t="s">
        <v>1000</v>
      </c>
      <c r="C969" t="s">
        <v>56</v>
      </c>
      <c r="D969" t="s">
        <v>14</v>
      </c>
      <c r="E969">
        <v>45929</v>
      </c>
      <c r="F969">
        <v>39874</v>
      </c>
      <c r="G969">
        <v>38155</v>
      </c>
      <c r="H969" t="s">
        <v>53</v>
      </c>
      <c r="I969" t="str" cm="1">
        <f t="array" ref="I969">_xlfn.IFS(G969=0,"Not Paid",G969=F969,"Fully Paid",G969&lt;F969,"Partially Paid")</f>
        <v>Partially Paid</v>
      </c>
      <c r="J969" t="str">
        <f t="shared" si="15"/>
        <v>NO</v>
      </c>
    </row>
    <row r="970" spans="1:10" x14ac:dyDescent="0.35">
      <c r="A970">
        <v>2969</v>
      </c>
      <c r="B970" t="s">
        <v>1001</v>
      </c>
      <c r="C970" t="s">
        <v>56</v>
      </c>
      <c r="D970" t="s">
        <v>10</v>
      </c>
      <c r="E970">
        <v>45723</v>
      </c>
      <c r="F970">
        <v>27674</v>
      </c>
      <c r="G970">
        <v>14713</v>
      </c>
      <c r="H970" t="s">
        <v>19</v>
      </c>
      <c r="I970" t="str" cm="1">
        <f t="array" ref="I970">_xlfn.IFS(G970=0,"Not Paid",G970=F970,"Fully Paid",G970&lt;F970,"Partially Paid")</f>
        <v>Partially Paid</v>
      </c>
      <c r="J970" t="str">
        <f t="shared" si="15"/>
        <v>NO</v>
      </c>
    </row>
    <row r="971" spans="1:10" x14ac:dyDescent="0.35">
      <c r="A971">
        <v>2970</v>
      </c>
      <c r="B971" t="s">
        <v>1002</v>
      </c>
      <c r="C971" t="s">
        <v>9</v>
      </c>
      <c r="D971" t="s">
        <v>14</v>
      </c>
      <c r="E971">
        <v>45905</v>
      </c>
      <c r="F971">
        <v>49038</v>
      </c>
      <c r="G971">
        <v>35480</v>
      </c>
      <c r="H971" t="s">
        <v>53</v>
      </c>
      <c r="I971" t="str" cm="1">
        <f t="array" ref="I971">_xlfn.IFS(G971=0,"Not Paid",G971=F971,"Fully Paid",G971&lt;F971,"Partially Paid")</f>
        <v>Partially Paid</v>
      </c>
      <c r="J971" t="str">
        <f t="shared" si="15"/>
        <v>NO</v>
      </c>
    </row>
    <row r="972" spans="1:10" x14ac:dyDescent="0.35">
      <c r="A972">
        <v>2971</v>
      </c>
      <c r="B972" t="s">
        <v>1003</v>
      </c>
      <c r="C972" t="s">
        <v>9</v>
      </c>
      <c r="D972" t="s">
        <v>27</v>
      </c>
      <c r="E972">
        <v>45813</v>
      </c>
      <c r="F972">
        <v>49315</v>
      </c>
      <c r="G972">
        <v>42629</v>
      </c>
      <c r="H972" t="s">
        <v>67</v>
      </c>
      <c r="I972" t="str" cm="1">
        <f t="array" ref="I972">_xlfn.IFS(G972=0,"Not Paid",G972=F972,"Fully Paid",G972&lt;F972,"Partially Paid")</f>
        <v>Partially Paid</v>
      </c>
      <c r="J972" t="str">
        <f t="shared" si="15"/>
        <v>NO</v>
      </c>
    </row>
    <row r="973" spans="1:10" x14ac:dyDescent="0.35">
      <c r="A973">
        <v>2972</v>
      </c>
      <c r="B973" t="s">
        <v>1004</v>
      </c>
      <c r="C973" t="s">
        <v>9</v>
      </c>
      <c r="D973" t="s">
        <v>21</v>
      </c>
      <c r="E973">
        <v>45704</v>
      </c>
      <c r="F973">
        <v>23676</v>
      </c>
      <c r="G973">
        <v>22089</v>
      </c>
      <c r="H973" t="s">
        <v>77</v>
      </c>
      <c r="I973" t="str" cm="1">
        <f t="array" ref="I973">_xlfn.IFS(G973=0,"Not Paid",G973=F973,"Fully Paid",G973&lt;F973,"Partially Paid")</f>
        <v>Partially Paid</v>
      </c>
      <c r="J973" t="str">
        <f t="shared" si="15"/>
        <v>NO</v>
      </c>
    </row>
    <row r="974" spans="1:10" x14ac:dyDescent="0.35">
      <c r="A974">
        <v>2973</v>
      </c>
      <c r="B974" t="s">
        <v>1005</v>
      </c>
      <c r="C974" t="s">
        <v>9</v>
      </c>
      <c r="D974" t="s">
        <v>18</v>
      </c>
      <c r="E974">
        <v>45858</v>
      </c>
      <c r="F974">
        <v>22426</v>
      </c>
      <c r="G974">
        <v>15426</v>
      </c>
      <c r="H974" t="s">
        <v>43</v>
      </c>
      <c r="I974" t="str" cm="1">
        <f t="array" ref="I974">_xlfn.IFS(G974=0,"Not Paid",G974=F974,"Fully Paid",G974&lt;F974,"Partially Paid")</f>
        <v>Partially Paid</v>
      </c>
      <c r="J974" t="str">
        <f t="shared" si="15"/>
        <v>NO</v>
      </c>
    </row>
    <row r="975" spans="1:10" x14ac:dyDescent="0.35">
      <c r="A975">
        <v>2974</v>
      </c>
      <c r="B975" t="s">
        <v>1006</v>
      </c>
      <c r="C975" t="s">
        <v>17</v>
      </c>
      <c r="D975" t="s">
        <v>18</v>
      </c>
      <c r="E975">
        <v>45805</v>
      </c>
      <c r="F975">
        <v>44473</v>
      </c>
      <c r="G975">
        <v>34670</v>
      </c>
      <c r="H975" t="s">
        <v>31</v>
      </c>
      <c r="I975" t="str" cm="1">
        <f t="array" ref="I975">_xlfn.IFS(G975=0,"Not Paid",G975=F975,"Fully Paid",G975&lt;F975,"Partially Paid")</f>
        <v>Partially Paid</v>
      </c>
      <c r="J975" t="str">
        <f t="shared" si="15"/>
        <v>NO</v>
      </c>
    </row>
    <row r="976" spans="1:10" x14ac:dyDescent="0.35">
      <c r="A976">
        <v>2975</v>
      </c>
      <c r="B976" t="s">
        <v>1007</v>
      </c>
      <c r="C976" t="s">
        <v>17</v>
      </c>
      <c r="D976" t="s">
        <v>18</v>
      </c>
      <c r="E976">
        <v>45781</v>
      </c>
      <c r="F976">
        <v>22962</v>
      </c>
      <c r="G976">
        <v>22066</v>
      </c>
      <c r="H976" t="s">
        <v>31</v>
      </c>
      <c r="I976" t="str" cm="1">
        <f t="array" ref="I976">_xlfn.IFS(G976=0,"Not Paid",G976=F976,"Fully Paid",G976&lt;F976,"Partially Paid")</f>
        <v>Partially Paid</v>
      </c>
      <c r="J976" t="str">
        <f t="shared" si="15"/>
        <v>NO</v>
      </c>
    </row>
    <row r="977" spans="1:10" x14ac:dyDescent="0.35">
      <c r="A977">
        <v>2976</v>
      </c>
      <c r="B977" t="s">
        <v>1008</v>
      </c>
      <c r="C977" t="s">
        <v>45</v>
      </c>
      <c r="D977" t="s">
        <v>14</v>
      </c>
      <c r="E977">
        <v>45658</v>
      </c>
      <c r="F977">
        <v>49943</v>
      </c>
      <c r="G977">
        <v>44385</v>
      </c>
      <c r="H977" t="s">
        <v>15</v>
      </c>
      <c r="I977" t="str" cm="1">
        <f t="array" ref="I977">_xlfn.IFS(G977=0,"Not Paid",G977=F977,"Fully Paid",G977&lt;F977,"Partially Paid")</f>
        <v>Partially Paid</v>
      </c>
      <c r="J977" t="str">
        <f t="shared" si="15"/>
        <v>NO</v>
      </c>
    </row>
    <row r="978" spans="1:10" x14ac:dyDescent="0.35">
      <c r="A978">
        <v>2977</v>
      </c>
      <c r="B978" t="s">
        <v>1009</v>
      </c>
      <c r="C978" t="s">
        <v>33</v>
      </c>
      <c r="D978" t="s">
        <v>21</v>
      </c>
      <c r="E978">
        <v>45904</v>
      </c>
      <c r="F978">
        <v>20859</v>
      </c>
      <c r="G978">
        <v>12390</v>
      </c>
      <c r="H978" t="s">
        <v>53</v>
      </c>
      <c r="I978" t="str" cm="1">
        <f t="array" ref="I978">_xlfn.IFS(G978=0,"Not Paid",G978=F978,"Fully Paid",G978&lt;F978,"Partially Paid")</f>
        <v>Partially Paid</v>
      </c>
      <c r="J978" t="str">
        <f t="shared" si="15"/>
        <v>NO</v>
      </c>
    </row>
    <row r="979" spans="1:10" x14ac:dyDescent="0.35">
      <c r="A979">
        <v>2978</v>
      </c>
      <c r="B979" t="s">
        <v>1010</v>
      </c>
      <c r="C979" t="s">
        <v>24</v>
      </c>
      <c r="D979" t="s">
        <v>10</v>
      </c>
      <c r="E979">
        <v>46000</v>
      </c>
      <c r="F979">
        <v>24138</v>
      </c>
      <c r="G979">
        <v>19491</v>
      </c>
      <c r="H979" t="s">
        <v>25</v>
      </c>
      <c r="I979" t="str" cm="1">
        <f t="array" ref="I979">_xlfn.IFS(G979=0,"Not Paid",G979=F979,"Fully Paid",G979&lt;F979,"Partially Paid")</f>
        <v>Partially Paid</v>
      </c>
      <c r="J979" t="str">
        <f t="shared" si="15"/>
        <v>NO</v>
      </c>
    </row>
    <row r="980" spans="1:10" x14ac:dyDescent="0.35">
      <c r="A980">
        <v>2979</v>
      </c>
      <c r="B980" t="s">
        <v>1011</v>
      </c>
      <c r="C980" t="s">
        <v>24</v>
      </c>
      <c r="D980" t="s">
        <v>27</v>
      </c>
      <c r="E980">
        <v>45785</v>
      </c>
      <c r="F980">
        <v>55192</v>
      </c>
      <c r="G980">
        <v>45364</v>
      </c>
      <c r="H980" t="s">
        <v>31</v>
      </c>
      <c r="I980" t="str" cm="1">
        <f t="array" ref="I980">_xlfn.IFS(G980=0,"Not Paid",G980=F980,"Fully Paid",G980&lt;F980,"Partially Paid")</f>
        <v>Partially Paid</v>
      </c>
      <c r="J980" t="str">
        <f t="shared" si="15"/>
        <v>YES</v>
      </c>
    </row>
    <row r="981" spans="1:10" x14ac:dyDescent="0.35">
      <c r="A981">
        <v>2980</v>
      </c>
      <c r="B981" t="s">
        <v>1012</v>
      </c>
      <c r="C981" t="s">
        <v>9</v>
      </c>
      <c r="D981" t="s">
        <v>10</v>
      </c>
      <c r="E981">
        <v>45848</v>
      </c>
      <c r="F981">
        <v>45640</v>
      </c>
      <c r="G981">
        <v>35290</v>
      </c>
      <c r="H981" t="s">
        <v>43</v>
      </c>
      <c r="I981" t="str" cm="1">
        <f t="array" ref="I981">_xlfn.IFS(G981=0,"Not Paid",G981=F981,"Fully Paid",G981&lt;F981,"Partially Paid")</f>
        <v>Partially Paid</v>
      </c>
      <c r="J981" t="str">
        <f t="shared" si="15"/>
        <v>NO</v>
      </c>
    </row>
    <row r="982" spans="1:10" x14ac:dyDescent="0.35">
      <c r="A982">
        <v>2981</v>
      </c>
      <c r="B982" t="s">
        <v>1013</v>
      </c>
      <c r="C982" t="s">
        <v>45</v>
      </c>
      <c r="D982" t="s">
        <v>14</v>
      </c>
      <c r="E982">
        <v>45724</v>
      </c>
      <c r="F982">
        <v>30409</v>
      </c>
      <c r="G982">
        <v>27977</v>
      </c>
      <c r="H982" t="s">
        <v>19</v>
      </c>
      <c r="I982" t="str" cm="1">
        <f t="array" ref="I982">_xlfn.IFS(G982=0,"Not Paid",G982=F982,"Fully Paid",G982&lt;F982,"Partially Paid")</f>
        <v>Partially Paid</v>
      </c>
      <c r="J982" t="str">
        <f t="shared" si="15"/>
        <v>NO</v>
      </c>
    </row>
    <row r="983" spans="1:10" x14ac:dyDescent="0.35">
      <c r="A983">
        <v>2982</v>
      </c>
      <c r="B983" t="s">
        <v>1014</v>
      </c>
      <c r="C983" t="s">
        <v>13</v>
      </c>
      <c r="D983" t="s">
        <v>27</v>
      </c>
      <c r="E983">
        <v>45661</v>
      </c>
      <c r="F983">
        <v>24017</v>
      </c>
      <c r="G983">
        <v>20113</v>
      </c>
      <c r="H983" t="s">
        <v>15</v>
      </c>
      <c r="I983" t="str" cm="1">
        <f t="array" ref="I983">_xlfn.IFS(G983=0,"Not Paid",G983=F983,"Fully Paid",G983&lt;F983,"Partially Paid")</f>
        <v>Partially Paid</v>
      </c>
      <c r="J983" t="str">
        <f t="shared" si="15"/>
        <v>NO</v>
      </c>
    </row>
    <row r="984" spans="1:10" x14ac:dyDescent="0.35">
      <c r="A984">
        <v>2983</v>
      </c>
      <c r="B984" t="s">
        <v>1015</v>
      </c>
      <c r="C984" t="s">
        <v>33</v>
      </c>
      <c r="D984" t="s">
        <v>18</v>
      </c>
      <c r="E984">
        <v>45960</v>
      </c>
      <c r="F984">
        <v>30451</v>
      </c>
      <c r="G984">
        <v>17403</v>
      </c>
      <c r="H984" t="s">
        <v>22</v>
      </c>
      <c r="I984" t="str" cm="1">
        <f t="array" ref="I984">_xlfn.IFS(G984=0,"Not Paid",G984=F984,"Fully Paid",G984&lt;F984,"Partially Paid")</f>
        <v>Partially Paid</v>
      </c>
      <c r="J984" t="str">
        <f t="shared" si="15"/>
        <v>NO</v>
      </c>
    </row>
    <row r="985" spans="1:10" x14ac:dyDescent="0.35">
      <c r="A985">
        <v>2984</v>
      </c>
      <c r="B985" t="s">
        <v>1016</v>
      </c>
      <c r="C985" t="s">
        <v>45</v>
      </c>
      <c r="D985" t="s">
        <v>37</v>
      </c>
      <c r="E985">
        <v>45951</v>
      </c>
      <c r="F985">
        <v>48327</v>
      </c>
      <c r="G985">
        <v>36873</v>
      </c>
      <c r="H985" t="s">
        <v>22</v>
      </c>
      <c r="I985" t="str" cm="1">
        <f t="array" ref="I985">_xlfn.IFS(G985=0,"Not Paid",G985=F985,"Fully Paid",G985&lt;F985,"Partially Paid")</f>
        <v>Partially Paid</v>
      </c>
      <c r="J985" t="str">
        <f t="shared" si="15"/>
        <v>NO</v>
      </c>
    </row>
    <row r="986" spans="1:10" x14ac:dyDescent="0.35">
      <c r="A986">
        <v>2985</v>
      </c>
      <c r="B986" t="s">
        <v>1017</v>
      </c>
      <c r="C986" t="s">
        <v>33</v>
      </c>
      <c r="D986" t="s">
        <v>14</v>
      </c>
      <c r="E986">
        <v>45800</v>
      </c>
      <c r="F986">
        <v>30278</v>
      </c>
      <c r="G986">
        <v>23441</v>
      </c>
      <c r="H986" t="s">
        <v>31</v>
      </c>
      <c r="I986" t="str" cm="1">
        <f t="array" ref="I986">_xlfn.IFS(G986=0,"Not Paid",G986=F986,"Fully Paid",G986&lt;F986,"Partially Paid")</f>
        <v>Partially Paid</v>
      </c>
      <c r="J986" t="str">
        <f t="shared" si="15"/>
        <v>NO</v>
      </c>
    </row>
    <row r="987" spans="1:10" x14ac:dyDescent="0.35">
      <c r="A987">
        <v>2986</v>
      </c>
      <c r="B987" t="s">
        <v>1018</v>
      </c>
      <c r="C987" t="s">
        <v>33</v>
      </c>
      <c r="D987" t="s">
        <v>14</v>
      </c>
      <c r="E987">
        <v>45848</v>
      </c>
      <c r="F987">
        <v>44944</v>
      </c>
      <c r="G987">
        <v>43495</v>
      </c>
      <c r="H987" t="s">
        <v>43</v>
      </c>
      <c r="I987" t="str" cm="1">
        <f t="array" ref="I987">_xlfn.IFS(G987=0,"Not Paid",G987=F987,"Fully Paid",G987&lt;F987,"Partially Paid")</f>
        <v>Partially Paid</v>
      </c>
      <c r="J987" t="str">
        <f t="shared" si="15"/>
        <v>NO</v>
      </c>
    </row>
    <row r="988" spans="1:10" x14ac:dyDescent="0.35">
      <c r="A988">
        <v>2987</v>
      </c>
      <c r="B988" t="s">
        <v>1019</v>
      </c>
      <c r="C988" t="s">
        <v>33</v>
      </c>
      <c r="D988" t="s">
        <v>21</v>
      </c>
      <c r="E988">
        <v>45678</v>
      </c>
      <c r="F988">
        <v>21134</v>
      </c>
      <c r="G988">
        <v>16634</v>
      </c>
      <c r="H988" t="s">
        <v>15</v>
      </c>
      <c r="I988" t="str" cm="1">
        <f t="array" ref="I988">_xlfn.IFS(G988=0,"Not Paid",G988=F988,"Fully Paid",G988&lt;F988,"Partially Paid")</f>
        <v>Partially Paid</v>
      </c>
      <c r="J988" t="str">
        <f t="shared" si="15"/>
        <v>NO</v>
      </c>
    </row>
    <row r="989" spans="1:10" x14ac:dyDescent="0.35">
      <c r="A989">
        <v>2988</v>
      </c>
      <c r="B989" t="s">
        <v>1020</v>
      </c>
      <c r="C989" t="s">
        <v>45</v>
      </c>
      <c r="D989" t="s">
        <v>10</v>
      </c>
      <c r="E989">
        <v>45884</v>
      </c>
      <c r="F989">
        <v>50131</v>
      </c>
      <c r="G989">
        <v>44677</v>
      </c>
      <c r="H989" t="s">
        <v>38</v>
      </c>
      <c r="I989" t="str" cm="1">
        <f t="array" ref="I989">_xlfn.IFS(G989=0,"Not Paid",G989=F989,"Fully Paid",G989&lt;F989,"Partially Paid")</f>
        <v>Partially Paid</v>
      </c>
      <c r="J989" t="str">
        <f t="shared" si="15"/>
        <v>YES</v>
      </c>
    </row>
    <row r="990" spans="1:10" x14ac:dyDescent="0.35">
      <c r="A990">
        <v>2989</v>
      </c>
      <c r="B990" t="s">
        <v>1021</v>
      </c>
      <c r="C990" t="s">
        <v>9</v>
      </c>
      <c r="D990" t="s">
        <v>14</v>
      </c>
      <c r="E990">
        <v>45970</v>
      </c>
      <c r="F990">
        <v>57887</v>
      </c>
      <c r="G990">
        <v>48463</v>
      </c>
      <c r="H990" t="s">
        <v>29</v>
      </c>
      <c r="I990" t="str" cm="1">
        <f t="array" ref="I990">_xlfn.IFS(G990=0,"Not Paid",G990=F990,"Fully Paid",G990&lt;F990,"Partially Paid")</f>
        <v>Partially Paid</v>
      </c>
      <c r="J990" t="str">
        <f t="shared" si="15"/>
        <v>YES</v>
      </c>
    </row>
    <row r="991" spans="1:10" x14ac:dyDescent="0.35">
      <c r="A991">
        <v>2990</v>
      </c>
      <c r="B991" t="s">
        <v>1022</v>
      </c>
      <c r="C991" t="s">
        <v>24</v>
      </c>
      <c r="D991" t="s">
        <v>14</v>
      </c>
      <c r="E991">
        <v>45774</v>
      </c>
      <c r="F991">
        <v>58462</v>
      </c>
      <c r="G991">
        <v>54345</v>
      </c>
      <c r="H991" t="s">
        <v>11</v>
      </c>
      <c r="I991" t="str" cm="1">
        <f t="array" ref="I991">_xlfn.IFS(G991=0,"Not Paid",G991=F991,"Fully Paid",G991&lt;F991,"Partially Paid")</f>
        <v>Partially Paid</v>
      </c>
      <c r="J991" t="str">
        <f t="shared" si="15"/>
        <v>YES</v>
      </c>
    </row>
    <row r="992" spans="1:10" x14ac:dyDescent="0.35">
      <c r="A992">
        <v>2991</v>
      </c>
      <c r="B992" t="s">
        <v>1023</v>
      </c>
      <c r="C992" t="s">
        <v>24</v>
      </c>
      <c r="D992" t="s">
        <v>18</v>
      </c>
      <c r="E992">
        <v>45959</v>
      </c>
      <c r="F992">
        <v>42520</v>
      </c>
      <c r="G992">
        <v>33651</v>
      </c>
      <c r="H992" t="s">
        <v>22</v>
      </c>
      <c r="I992" t="str" cm="1">
        <f t="array" ref="I992">_xlfn.IFS(G992=0,"Not Paid",G992=F992,"Fully Paid",G992&lt;F992,"Partially Paid")</f>
        <v>Partially Paid</v>
      </c>
      <c r="J992" t="str">
        <f t="shared" si="15"/>
        <v>NO</v>
      </c>
    </row>
    <row r="993" spans="1:10" x14ac:dyDescent="0.35">
      <c r="A993">
        <v>2992</v>
      </c>
      <c r="B993" t="s">
        <v>1024</v>
      </c>
      <c r="C993" t="s">
        <v>9</v>
      </c>
      <c r="D993" t="s">
        <v>18</v>
      </c>
      <c r="E993">
        <v>45799</v>
      </c>
      <c r="F993">
        <v>41869</v>
      </c>
      <c r="G993">
        <v>31019</v>
      </c>
      <c r="H993" t="s">
        <v>31</v>
      </c>
      <c r="I993" t="str" cm="1">
        <f t="array" ref="I993">_xlfn.IFS(G993=0,"Not Paid",G993=F993,"Fully Paid",G993&lt;F993,"Partially Paid")</f>
        <v>Partially Paid</v>
      </c>
      <c r="J993" t="str">
        <f t="shared" si="15"/>
        <v>NO</v>
      </c>
    </row>
    <row r="994" spans="1:10" x14ac:dyDescent="0.35">
      <c r="A994">
        <v>2993</v>
      </c>
      <c r="B994" t="s">
        <v>1025</v>
      </c>
      <c r="C994" t="s">
        <v>33</v>
      </c>
      <c r="D994" t="s">
        <v>27</v>
      </c>
      <c r="E994">
        <v>45696</v>
      </c>
      <c r="F994">
        <v>56932</v>
      </c>
      <c r="G994">
        <v>54904</v>
      </c>
      <c r="H994" t="s">
        <v>77</v>
      </c>
      <c r="I994" t="str" cm="1">
        <f t="array" ref="I994">_xlfn.IFS(G994=0,"Not Paid",G994=F994,"Fully Paid",G994&lt;F994,"Partially Paid")</f>
        <v>Partially Paid</v>
      </c>
      <c r="J994" t="str">
        <f t="shared" si="15"/>
        <v>YES</v>
      </c>
    </row>
    <row r="995" spans="1:10" x14ac:dyDescent="0.35">
      <c r="A995">
        <v>2994</v>
      </c>
      <c r="B995" t="s">
        <v>1026</v>
      </c>
      <c r="C995" t="s">
        <v>13</v>
      </c>
      <c r="D995" t="s">
        <v>37</v>
      </c>
      <c r="E995">
        <v>46012</v>
      </c>
      <c r="F995">
        <v>25039</v>
      </c>
      <c r="G995">
        <v>11520</v>
      </c>
      <c r="H995" t="s">
        <v>25</v>
      </c>
      <c r="I995" t="str" cm="1">
        <f t="array" ref="I995">_xlfn.IFS(G995=0,"Not Paid",G995=F995,"Fully Paid",G995&lt;F995,"Partially Paid")</f>
        <v>Partially Paid</v>
      </c>
      <c r="J995" t="str">
        <f t="shared" si="15"/>
        <v>NO</v>
      </c>
    </row>
    <row r="996" spans="1:10" x14ac:dyDescent="0.35">
      <c r="A996">
        <v>2995</v>
      </c>
      <c r="B996" t="s">
        <v>1027</v>
      </c>
      <c r="C996" t="s">
        <v>56</v>
      </c>
      <c r="D996" t="s">
        <v>21</v>
      </c>
      <c r="E996">
        <v>45909</v>
      </c>
      <c r="F996">
        <v>41281</v>
      </c>
      <c r="G996">
        <v>26938</v>
      </c>
      <c r="H996" t="s">
        <v>53</v>
      </c>
      <c r="I996" t="str" cm="1">
        <f t="array" ref="I996">_xlfn.IFS(G996=0,"Not Paid",G996=F996,"Fully Paid",G996&lt;F996,"Partially Paid")</f>
        <v>Partially Paid</v>
      </c>
      <c r="J996" t="str">
        <f t="shared" si="15"/>
        <v>NO</v>
      </c>
    </row>
    <row r="997" spans="1:10" x14ac:dyDescent="0.35">
      <c r="A997">
        <v>2996</v>
      </c>
      <c r="B997" t="s">
        <v>1028</v>
      </c>
      <c r="C997" t="s">
        <v>45</v>
      </c>
      <c r="D997" t="s">
        <v>37</v>
      </c>
      <c r="E997">
        <v>45990</v>
      </c>
      <c r="F997">
        <v>30442</v>
      </c>
      <c r="G997">
        <v>23597</v>
      </c>
      <c r="H997" t="s">
        <v>29</v>
      </c>
      <c r="I997" t="str" cm="1">
        <f t="array" ref="I997">_xlfn.IFS(G997=0,"Not Paid",G997=F997,"Fully Paid",G997&lt;F997,"Partially Paid")</f>
        <v>Partially Paid</v>
      </c>
      <c r="J997" t="str">
        <f t="shared" si="15"/>
        <v>NO</v>
      </c>
    </row>
    <row r="998" spans="1:10" x14ac:dyDescent="0.35">
      <c r="A998">
        <v>2997</v>
      </c>
      <c r="B998" t="s">
        <v>1029</v>
      </c>
      <c r="C998" t="s">
        <v>56</v>
      </c>
      <c r="D998" t="s">
        <v>27</v>
      </c>
      <c r="E998">
        <v>45864</v>
      </c>
      <c r="F998">
        <v>28252</v>
      </c>
      <c r="G998">
        <v>24494</v>
      </c>
      <c r="H998" t="s">
        <v>43</v>
      </c>
      <c r="I998" t="str" cm="1">
        <f t="array" ref="I998">_xlfn.IFS(G998=0,"Not Paid",G998=F998,"Fully Paid",G998&lt;F998,"Partially Paid")</f>
        <v>Partially Paid</v>
      </c>
      <c r="J998" t="str">
        <f t="shared" si="15"/>
        <v>NO</v>
      </c>
    </row>
    <row r="999" spans="1:10" x14ac:dyDescent="0.35">
      <c r="A999">
        <v>2998</v>
      </c>
      <c r="B999" t="s">
        <v>1030</v>
      </c>
      <c r="C999" t="s">
        <v>9</v>
      </c>
      <c r="D999" t="s">
        <v>18</v>
      </c>
      <c r="E999">
        <v>45867</v>
      </c>
      <c r="F999">
        <v>47586</v>
      </c>
      <c r="G999">
        <v>41682</v>
      </c>
      <c r="H999" t="s">
        <v>43</v>
      </c>
      <c r="I999" t="str" cm="1">
        <f t="array" ref="I999">_xlfn.IFS(G999=0,"Not Paid",G999=F999,"Fully Paid",G999&lt;F999,"Partially Paid")</f>
        <v>Partially Paid</v>
      </c>
      <c r="J999" t="str">
        <f t="shared" si="15"/>
        <v>NO</v>
      </c>
    </row>
    <row r="1000" spans="1:10" x14ac:dyDescent="0.35">
      <c r="A1000">
        <v>2999</v>
      </c>
      <c r="B1000" t="s">
        <v>1031</v>
      </c>
      <c r="C1000" t="s">
        <v>13</v>
      </c>
      <c r="D1000" t="s">
        <v>10</v>
      </c>
      <c r="E1000">
        <v>45772</v>
      </c>
      <c r="F1000">
        <v>37568</v>
      </c>
      <c r="G1000">
        <v>32944</v>
      </c>
      <c r="H1000" t="s">
        <v>11</v>
      </c>
      <c r="I1000" t="str" cm="1">
        <f t="array" ref="I1000">_xlfn.IFS(G1000=0,"Not Paid",G1000=F1000,"Fully Paid",G1000&lt;F1000,"Partially Paid")</f>
        <v>Partially Paid</v>
      </c>
      <c r="J1000" t="str">
        <f t="shared" si="15"/>
        <v>NO</v>
      </c>
    </row>
    <row r="1001" spans="1:10" x14ac:dyDescent="0.35">
      <c r="A1001">
        <v>3000</v>
      </c>
      <c r="B1001" t="s">
        <v>1032</v>
      </c>
      <c r="C1001" t="s">
        <v>45</v>
      </c>
      <c r="D1001" t="s">
        <v>18</v>
      </c>
      <c r="E1001">
        <v>45882</v>
      </c>
      <c r="F1001">
        <v>40810</v>
      </c>
      <c r="G1001">
        <v>30581</v>
      </c>
      <c r="H1001" t="s">
        <v>38</v>
      </c>
      <c r="I1001" t="str" cm="1">
        <f t="array" ref="I1001">_xlfn.IFS(G1001=0,"Not Paid",G1001=F1001,"Fully Paid",G1001&lt;F1001,"Partially Paid")</f>
        <v>Partially Paid</v>
      </c>
      <c r="J1001" t="str">
        <f t="shared" si="15"/>
        <v>NO</v>
      </c>
    </row>
    <row r="1002" spans="1:10" x14ac:dyDescent="0.35">
      <c r="A1002">
        <v>3001</v>
      </c>
      <c r="B1002" t="s">
        <v>1033</v>
      </c>
      <c r="C1002" t="s">
        <v>9</v>
      </c>
      <c r="D1002" t="s">
        <v>21</v>
      </c>
      <c r="E1002">
        <v>45791</v>
      </c>
      <c r="F1002">
        <v>21551</v>
      </c>
      <c r="G1002">
        <v>10710</v>
      </c>
      <c r="H1002" t="s">
        <v>31</v>
      </c>
      <c r="I1002" t="str" cm="1">
        <f t="array" ref="I1002">_xlfn.IFS(G1002=0,"Not Paid",G1002=F1002,"Fully Paid",G1002&lt;F1002,"Partially Paid")</f>
        <v>Partially Paid</v>
      </c>
      <c r="J1002" t="str">
        <f t="shared" si="15"/>
        <v>NO</v>
      </c>
    </row>
    <row r="1003" spans="1:10" x14ac:dyDescent="0.35">
      <c r="A1003">
        <v>3002</v>
      </c>
      <c r="B1003" t="s">
        <v>1034</v>
      </c>
      <c r="C1003" t="s">
        <v>33</v>
      </c>
      <c r="D1003" t="s">
        <v>18</v>
      </c>
      <c r="E1003">
        <v>45908</v>
      </c>
      <c r="F1003">
        <v>32625</v>
      </c>
      <c r="G1003">
        <v>18661</v>
      </c>
      <c r="H1003" t="s">
        <v>53</v>
      </c>
      <c r="I1003" t="str" cm="1">
        <f t="array" ref="I1003">_xlfn.IFS(G1003=0,"Not Paid",G1003=F1003,"Fully Paid",G1003&lt;F1003,"Partially Paid")</f>
        <v>Partially Paid</v>
      </c>
      <c r="J1003" t="str">
        <f t="shared" si="15"/>
        <v>NO</v>
      </c>
    </row>
    <row r="1004" spans="1:10" x14ac:dyDescent="0.35">
      <c r="A1004">
        <v>3003</v>
      </c>
      <c r="B1004" t="s">
        <v>1035</v>
      </c>
      <c r="C1004" t="s">
        <v>24</v>
      </c>
      <c r="D1004" t="s">
        <v>21</v>
      </c>
      <c r="E1004">
        <v>45876</v>
      </c>
      <c r="F1004">
        <v>54397</v>
      </c>
      <c r="G1004">
        <v>45549</v>
      </c>
      <c r="H1004" t="s">
        <v>38</v>
      </c>
      <c r="I1004" t="str" cm="1">
        <f t="array" ref="I1004">_xlfn.IFS(G1004=0,"Not Paid",G1004=F1004,"Fully Paid",G1004&lt;F1004,"Partially Paid")</f>
        <v>Partially Paid</v>
      </c>
      <c r="J1004" t="str">
        <f t="shared" si="15"/>
        <v>YES</v>
      </c>
    </row>
    <row r="1005" spans="1:10" x14ac:dyDescent="0.35">
      <c r="A1005">
        <v>3004</v>
      </c>
      <c r="B1005" t="s">
        <v>1036</v>
      </c>
      <c r="C1005" t="s">
        <v>56</v>
      </c>
      <c r="D1005" t="s">
        <v>21</v>
      </c>
      <c r="E1005">
        <v>45748</v>
      </c>
      <c r="F1005">
        <v>46249</v>
      </c>
      <c r="G1005">
        <v>46084</v>
      </c>
      <c r="H1005" t="s">
        <v>11</v>
      </c>
      <c r="I1005" t="str" cm="1">
        <f t="array" ref="I1005">_xlfn.IFS(G1005=0,"Not Paid",G1005=F1005,"Fully Paid",G1005&lt;F1005,"Partially Paid")</f>
        <v>Partially Paid</v>
      </c>
      <c r="J1005" t="str">
        <f t="shared" si="15"/>
        <v>NO</v>
      </c>
    </row>
    <row r="1006" spans="1:10" x14ac:dyDescent="0.35">
      <c r="A1006">
        <v>3005</v>
      </c>
      <c r="B1006" t="s">
        <v>1037</v>
      </c>
      <c r="C1006" t="s">
        <v>17</v>
      </c>
      <c r="D1006" t="s">
        <v>21</v>
      </c>
      <c r="E1006">
        <v>46011</v>
      </c>
      <c r="F1006">
        <v>21361</v>
      </c>
      <c r="G1006">
        <v>8225</v>
      </c>
      <c r="H1006" t="s">
        <v>25</v>
      </c>
      <c r="I1006" t="str" cm="1">
        <f t="array" ref="I1006">_xlfn.IFS(G1006=0,"Not Paid",G1006=F1006,"Fully Paid",G1006&lt;F1006,"Partially Paid")</f>
        <v>Partially Paid</v>
      </c>
      <c r="J1006" t="str">
        <f t="shared" si="15"/>
        <v>NO</v>
      </c>
    </row>
    <row r="1007" spans="1:10" x14ac:dyDescent="0.35">
      <c r="A1007">
        <v>3006</v>
      </c>
      <c r="B1007" t="s">
        <v>1038</v>
      </c>
      <c r="C1007" t="s">
        <v>17</v>
      </c>
      <c r="D1007" t="s">
        <v>27</v>
      </c>
      <c r="E1007">
        <v>45703</v>
      </c>
      <c r="F1007">
        <v>46149</v>
      </c>
      <c r="G1007">
        <v>41558</v>
      </c>
      <c r="H1007" t="s">
        <v>77</v>
      </c>
      <c r="I1007" t="str" cm="1">
        <f t="array" ref="I1007">_xlfn.IFS(G1007=0,"Not Paid",G1007=F1007,"Fully Paid",G1007&lt;F1007,"Partially Paid")</f>
        <v>Partially Paid</v>
      </c>
      <c r="J1007" t="str">
        <f t="shared" si="15"/>
        <v>NO</v>
      </c>
    </row>
    <row r="1008" spans="1:10" x14ac:dyDescent="0.35">
      <c r="A1008">
        <v>3007</v>
      </c>
      <c r="B1008" t="s">
        <v>1039</v>
      </c>
      <c r="C1008" t="s">
        <v>13</v>
      </c>
      <c r="D1008" t="s">
        <v>21</v>
      </c>
      <c r="E1008">
        <v>45695</v>
      </c>
      <c r="F1008">
        <v>24370</v>
      </c>
      <c r="G1008">
        <v>23781</v>
      </c>
      <c r="H1008" t="s">
        <v>77</v>
      </c>
      <c r="I1008" t="str" cm="1">
        <f t="array" ref="I1008">_xlfn.IFS(G1008=0,"Not Paid",G1008=F1008,"Fully Paid",G1008&lt;F1008,"Partially Paid")</f>
        <v>Partially Paid</v>
      </c>
      <c r="J1008" t="str">
        <f t="shared" si="15"/>
        <v>NO</v>
      </c>
    </row>
    <row r="1009" spans="1:10" x14ac:dyDescent="0.35">
      <c r="A1009">
        <v>3008</v>
      </c>
      <c r="B1009" t="s">
        <v>1040</v>
      </c>
      <c r="C1009" t="s">
        <v>33</v>
      </c>
      <c r="D1009" t="s">
        <v>21</v>
      </c>
      <c r="E1009">
        <v>45799</v>
      </c>
      <c r="F1009">
        <v>25283</v>
      </c>
      <c r="G1009">
        <v>20759</v>
      </c>
      <c r="H1009" t="s">
        <v>31</v>
      </c>
      <c r="I1009" t="str" cm="1">
        <f t="array" ref="I1009">_xlfn.IFS(G1009=0,"Not Paid",G1009=F1009,"Fully Paid",G1009&lt;F1009,"Partially Paid")</f>
        <v>Partially Paid</v>
      </c>
      <c r="J1009" t="str">
        <f t="shared" si="15"/>
        <v>NO</v>
      </c>
    </row>
    <row r="1010" spans="1:10" x14ac:dyDescent="0.35">
      <c r="A1010">
        <v>3009</v>
      </c>
      <c r="B1010" t="s">
        <v>1041</v>
      </c>
      <c r="C1010" t="s">
        <v>56</v>
      </c>
      <c r="D1010" t="s">
        <v>10</v>
      </c>
      <c r="E1010">
        <v>45757</v>
      </c>
      <c r="F1010">
        <v>27610</v>
      </c>
      <c r="G1010">
        <v>24789</v>
      </c>
      <c r="H1010" t="s">
        <v>11</v>
      </c>
      <c r="I1010" t="str" cm="1">
        <f t="array" ref="I1010">_xlfn.IFS(G1010=0,"Not Paid",G1010=F1010,"Fully Paid",G1010&lt;F1010,"Partially Paid")</f>
        <v>Partially Paid</v>
      </c>
      <c r="J1010" t="str">
        <f t="shared" si="15"/>
        <v>NO</v>
      </c>
    </row>
    <row r="1011" spans="1:10" x14ac:dyDescent="0.35">
      <c r="A1011">
        <v>3010</v>
      </c>
      <c r="B1011" t="s">
        <v>1042</v>
      </c>
      <c r="C1011" t="s">
        <v>33</v>
      </c>
      <c r="D1011" t="s">
        <v>37</v>
      </c>
      <c r="E1011">
        <v>45985</v>
      </c>
      <c r="F1011">
        <v>34924</v>
      </c>
      <c r="G1011">
        <v>22474</v>
      </c>
      <c r="H1011" t="s">
        <v>29</v>
      </c>
      <c r="I1011" t="str" cm="1">
        <f t="array" ref="I1011">_xlfn.IFS(G1011=0,"Not Paid",G1011=F1011,"Fully Paid",G1011&lt;F1011,"Partially Paid")</f>
        <v>Partially Paid</v>
      </c>
      <c r="J1011" t="str">
        <f t="shared" si="15"/>
        <v>NO</v>
      </c>
    </row>
    <row r="1012" spans="1:10" x14ac:dyDescent="0.35">
      <c r="A1012">
        <v>3011</v>
      </c>
      <c r="B1012" t="s">
        <v>1043</v>
      </c>
      <c r="C1012" t="s">
        <v>56</v>
      </c>
      <c r="D1012" t="s">
        <v>14</v>
      </c>
      <c r="E1012">
        <v>45847</v>
      </c>
      <c r="F1012">
        <v>30626</v>
      </c>
      <c r="G1012">
        <v>24117</v>
      </c>
      <c r="H1012" t="s">
        <v>43</v>
      </c>
      <c r="I1012" t="str" cm="1">
        <f t="array" ref="I1012">_xlfn.IFS(G1012=0,"Not Paid",G1012=F1012,"Fully Paid",G1012&lt;F1012,"Partially Paid")</f>
        <v>Partially Paid</v>
      </c>
      <c r="J1012" t="str">
        <f t="shared" si="15"/>
        <v>NO</v>
      </c>
    </row>
    <row r="1013" spans="1:10" x14ac:dyDescent="0.35">
      <c r="A1013">
        <v>3012</v>
      </c>
      <c r="B1013" t="s">
        <v>1044</v>
      </c>
      <c r="C1013" t="s">
        <v>13</v>
      </c>
      <c r="D1013" t="s">
        <v>37</v>
      </c>
      <c r="E1013">
        <v>45692</v>
      </c>
      <c r="F1013">
        <v>54761</v>
      </c>
      <c r="G1013">
        <v>47068</v>
      </c>
      <c r="H1013" t="s">
        <v>77</v>
      </c>
      <c r="I1013" t="str" cm="1">
        <f t="array" ref="I1013">_xlfn.IFS(G1013=0,"Not Paid",G1013=F1013,"Fully Paid",G1013&lt;F1013,"Partially Paid")</f>
        <v>Partially Paid</v>
      </c>
      <c r="J1013" t="str">
        <f t="shared" si="15"/>
        <v>YES</v>
      </c>
    </row>
    <row r="1014" spans="1:10" x14ac:dyDescent="0.35">
      <c r="A1014">
        <v>3013</v>
      </c>
      <c r="B1014" t="s">
        <v>1045</v>
      </c>
      <c r="C1014" t="s">
        <v>13</v>
      </c>
      <c r="D1014" t="s">
        <v>21</v>
      </c>
      <c r="E1014">
        <v>45804</v>
      </c>
      <c r="F1014">
        <v>20869</v>
      </c>
      <c r="G1014">
        <v>11415</v>
      </c>
      <c r="H1014" t="s">
        <v>31</v>
      </c>
      <c r="I1014" t="str" cm="1">
        <f t="array" ref="I1014">_xlfn.IFS(G1014=0,"Not Paid",G1014=F1014,"Fully Paid",G1014&lt;F1014,"Partially Paid")</f>
        <v>Partially Paid</v>
      </c>
      <c r="J1014" t="str">
        <f t="shared" si="15"/>
        <v>NO</v>
      </c>
    </row>
    <row r="1015" spans="1:10" x14ac:dyDescent="0.35">
      <c r="A1015">
        <v>3014</v>
      </c>
      <c r="B1015" t="s">
        <v>1046</v>
      </c>
      <c r="C1015" t="s">
        <v>17</v>
      </c>
      <c r="D1015" t="s">
        <v>10</v>
      </c>
      <c r="E1015">
        <v>45687</v>
      </c>
      <c r="F1015">
        <v>51552</v>
      </c>
      <c r="G1015">
        <v>51481</v>
      </c>
      <c r="H1015" t="s">
        <v>15</v>
      </c>
      <c r="I1015" t="str" cm="1">
        <f t="array" ref="I1015">_xlfn.IFS(G1015=0,"Not Paid",G1015=F1015,"Fully Paid",G1015&lt;F1015,"Partially Paid")</f>
        <v>Partially Paid</v>
      </c>
      <c r="J1015" t="str">
        <f t="shared" si="15"/>
        <v>YES</v>
      </c>
    </row>
    <row r="1016" spans="1:10" x14ac:dyDescent="0.35">
      <c r="A1016">
        <v>3015</v>
      </c>
      <c r="B1016" t="s">
        <v>1047</v>
      </c>
      <c r="C1016" t="s">
        <v>33</v>
      </c>
      <c r="D1016" t="s">
        <v>18</v>
      </c>
      <c r="E1016">
        <v>45991</v>
      </c>
      <c r="F1016">
        <v>21014</v>
      </c>
      <c r="G1016">
        <v>9306</v>
      </c>
      <c r="H1016" t="s">
        <v>29</v>
      </c>
      <c r="I1016" t="str" cm="1">
        <f t="array" ref="I1016">_xlfn.IFS(G1016=0,"Not Paid",G1016=F1016,"Fully Paid",G1016&lt;F1016,"Partially Paid")</f>
        <v>Partially Paid</v>
      </c>
      <c r="J1016" t="str">
        <f t="shared" si="15"/>
        <v>NO</v>
      </c>
    </row>
    <row r="1017" spans="1:10" x14ac:dyDescent="0.35">
      <c r="A1017">
        <v>3016</v>
      </c>
      <c r="B1017" t="s">
        <v>1048</v>
      </c>
      <c r="C1017" t="s">
        <v>45</v>
      </c>
      <c r="D1017" t="s">
        <v>10</v>
      </c>
      <c r="E1017">
        <v>45741</v>
      </c>
      <c r="F1017">
        <v>30103</v>
      </c>
      <c r="G1017">
        <v>17161</v>
      </c>
      <c r="H1017" t="s">
        <v>19</v>
      </c>
      <c r="I1017" t="str" cm="1">
        <f t="array" ref="I1017">_xlfn.IFS(G1017=0,"Not Paid",G1017=F1017,"Fully Paid",G1017&lt;F1017,"Partially Paid")</f>
        <v>Partially Paid</v>
      </c>
      <c r="J1017" t="str">
        <f t="shared" si="15"/>
        <v>NO</v>
      </c>
    </row>
    <row r="1018" spans="1:10" x14ac:dyDescent="0.35">
      <c r="A1018">
        <v>3017</v>
      </c>
      <c r="B1018" t="s">
        <v>1049</v>
      </c>
      <c r="C1018" t="s">
        <v>17</v>
      </c>
      <c r="D1018" t="s">
        <v>21</v>
      </c>
      <c r="E1018">
        <v>45938</v>
      </c>
      <c r="F1018">
        <v>36986</v>
      </c>
      <c r="G1018">
        <v>33406</v>
      </c>
      <c r="H1018" t="s">
        <v>22</v>
      </c>
      <c r="I1018" t="str" cm="1">
        <f t="array" ref="I1018">_xlfn.IFS(G1018=0,"Not Paid",G1018=F1018,"Fully Paid",G1018&lt;F1018,"Partially Paid")</f>
        <v>Partially Paid</v>
      </c>
      <c r="J1018" t="str">
        <f t="shared" si="15"/>
        <v>NO</v>
      </c>
    </row>
    <row r="1019" spans="1:10" x14ac:dyDescent="0.35">
      <c r="A1019">
        <v>3018</v>
      </c>
      <c r="B1019" t="s">
        <v>1050</v>
      </c>
      <c r="C1019" t="s">
        <v>33</v>
      </c>
      <c r="D1019" t="s">
        <v>10</v>
      </c>
      <c r="E1019">
        <v>46001</v>
      </c>
      <c r="F1019">
        <v>50471</v>
      </c>
      <c r="G1019">
        <v>42509</v>
      </c>
      <c r="H1019" t="s">
        <v>25</v>
      </c>
      <c r="I1019" t="str" cm="1">
        <f t="array" ref="I1019">_xlfn.IFS(G1019=0,"Not Paid",G1019=F1019,"Fully Paid",G1019&lt;F1019,"Partially Paid")</f>
        <v>Partially Paid</v>
      </c>
      <c r="J1019" t="str">
        <f t="shared" si="15"/>
        <v>YES</v>
      </c>
    </row>
    <row r="1020" spans="1:10" x14ac:dyDescent="0.35">
      <c r="A1020">
        <v>3019</v>
      </c>
      <c r="B1020" t="s">
        <v>1051</v>
      </c>
      <c r="C1020" t="s">
        <v>17</v>
      </c>
      <c r="D1020" t="s">
        <v>10</v>
      </c>
      <c r="E1020">
        <v>45927</v>
      </c>
      <c r="F1020">
        <v>53458</v>
      </c>
      <c r="G1020">
        <v>53190</v>
      </c>
      <c r="H1020" t="s">
        <v>53</v>
      </c>
      <c r="I1020" t="str" cm="1">
        <f t="array" ref="I1020">_xlfn.IFS(G1020=0,"Not Paid",G1020=F1020,"Fully Paid",G1020&lt;F1020,"Partially Paid")</f>
        <v>Partially Paid</v>
      </c>
      <c r="J1020" t="str">
        <f t="shared" si="15"/>
        <v>YES</v>
      </c>
    </row>
    <row r="1021" spans="1:10" x14ac:dyDescent="0.35">
      <c r="A1021">
        <v>3020</v>
      </c>
      <c r="B1021" t="s">
        <v>1052</v>
      </c>
      <c r="C1021" t="s">
        <v>45</v>
      </c>
      <c r="D1021" t="s">
        <v>21</v>
      </c>
      <c r="E1021">
        <v>45811</v>
      </c>
      <c r="F1021">
        <v>45069</v>
      </c>
      <c r="G1021">
        <v>35101</v>
      </c>
      <c r="H1021" t="s">
        <v>67</v>
      </c>
      <c r="I1021" t="str" cm="1">
        <f t="array" ref="I1021">_xlfn.IFS(G1021=0,"Not Paid",G1021=F1021,"Fully Paid",G1021&lt;F1021,"Partially Paid")</f>
        <v>Partially Paid</v>
      </c>
      <c r="J1021" t="str">
        <f t="shared" si="15"/>
        <v>NO</v>
      </c>
    </row>
    <row r="1022" spans="1:10" x14ac:dyDescent="0.35">
      <c r="A1022">
        <v>3021</v>
      </c>
      <c r="B1022" t="s">
        <v>1053</v>
      </c>
      <c r="C1022" t="s">
        <v>24</v>
      </c>
      <c r="D1022" t="s">
        <v>27</v>
      </c>
      <c r="E1022">
        <v>45759</v>
      </c>
      <c r="F1022">
        <v>36873</v>
      </c>
      <c r="G1022">
        <v>34411</v>
      </c>
      <c r="H1022" t="s">
        <v>11</v>
      </c>
      <c r="I1022" t="str" cm="1">
        <f t="array" ref="I1022">_xlfn.IFS(G1022=0,"Not Paid",G1022=F1022,"Fully Paid",G1022&lt;F1022,"Partially Paid")</f>
        <v>Partially Paid</v>
      </c>
      <c r="J1022" t="str">
        <f t="shared" si="15"/>
        <v>NO</v>
      </c>
    </row>
    <row r="1023" spans="1:10" x14ac:dyDescent="0.35">
      <c r="A1023">
        <v>3022</v>
      </c>
      <c r="B1023" t="s">
        <v>1054</v>
      </c>
      <c r="C1023" t="s">
        <v>24</v>
      </c>
      <c r="D1023" t="s">
        <v>10</v>
      </c>
      <c r="E1023">
        <v>45872</v>
      </c>
      <c r="F1023">
        <v>43248</v>
      </c>
      <c r="G1023">
        <v>33788</v>
      </c>
      <c r="H1023" t="s">
        <v>38</v>
      </c>
      <c r="I1023" t="str" cm="1">
        <f t="array" ref="I1023">_xlfn.IFS(G1023=0,"Not Paid",G1023=F1023,"Fully Paid",G1023&lt;F1023,"Partially Paid")</f>
        <v>Partially Paid</v>
      </c>
      <c r="J1023" t="str">
        <f t="shared" si="15"/>
        <v>NO</v>
      </c>
    </row>
    <row r="1024" spans="1:10" x14ac:dyDescent="0.35">
      <c r="A1024">
        <v>3023</v>
      </c>
      <c r="B1024" t="s">
        <v>1055</v>
      </c>
      <c r="C1024" t="s">
        <v>24</v>
      </c>
      <c r="D1024" t="s">
        <v>14</v>
      </c>
      <c r="E1024">
        <v>45807</v>
      </c>
      <c r="F1024">
        <v>43624</v>
      </c>
      <c r="G1024">
        <v>42609</v>
      </c>
      <c r="H1024" t="s">
        <v>31</v>
      </c>
      <c r="I1024" t="str" cm="1">
        <f t="array" ref="I1024">_xlfn.IFS(G1024=0,"Not Paid",G1024=F1024,"Fully Paid",G1024&lt;F1024,"Partially Paid")</f>
        <v>Partially Paid</v>
      </c>
      <c r="J1024" t="str">
        <f t="shared" si="15"/>
        <v>NO</v>
      </c>
    </row>
    <row r="1025" spans="1:10" x14ac:dyDescent="0.35">
      <c r="A1025">
        <v>3024</v>
      </c>
      <c r="B1025" t="s">
        <v>1056</v>
      </c>
      <c r="C1025" t="s">
        <v>24</v>
      </c>
      <c r="D1025" t="s">
        <v>14</v>
      </c>
      <c r="E1025">
        <v>45740</v>
      </c>
      <c r="F1025">
        <v>49061</v>
      </c>
      <c r="G1025">
        <v>38147</v>
      </c>
      <c r="H1025" t="s">
        <v>19</v>
      </c>
      <c r="I1025" t="str" cm="1">
        <f t="array" ref="I1025">_xlfn.IFS(G1025=0,"Not Paid",G1025=F1025,"Fully Paid",G1025&lt;F1025,"Partially Paid")</f>
        <v>Partially Paid</v>
      </c>
      <c r="J1025" t="str">
        <f t="shared" si="15"/>
        <v>NO</v>
      </c>
    </row>
    <row r="1026" spans="1:10" x14ac:dyDescent="0.35">
      <c r="A1026">
        <v>3025</v>
      </c>
      <c r="B1026" t="s">
        <v>1057</v>
      </c>
      <c r="C1026" t="s">
        <v>9</v>
      </c>
      <c r="D1026" t="s">
        <v>10</v>
      </c>
      <c r="E1026">
        <v>45767</v>
      </c>
      <c r="F1026">
        <v>44170</v>
      </c>
      <c r="G1026">
        <v>34895</v>
      </c>
      <c r="H1026" t="s">
        <v>11</v>
      </c>
      <c r="I1026" t="str" cm="1">
        <f t="array" ref="I1026">_xlfn.IFS(G1026=0,"Not Paid",G1026=F1026,"Fully Paid",G1026&lt;F1026,"Partially Paid")</f>
        <v>Partially Paid</v>
      </c>
      <c r="J1026" t="str">
        <f t="shared" si="15"/>
        <v>NO</v>
      </c>
    </row>
    <row r="1027" spans="1:10" x14ac:dyDescent="0.35">
      <c r="A1027">
        <v>3026</v>
      </c>
      <c r="B1027" t="s">
        <v>1058</v>
      </c>
      <c r="C1027" t="s">
        <v>56</v>
      </c>
      <c r="D1027" t="s">
        <v>27</v>
      </c>
      <c r="E1027">
        <v>45932</v>
      </c>
      <c r="F1027">
        <v>28024</v>
      </c>
      <c r="G1027">
        <v>15731</v>
      </c>
      <c r="H1027" t="s">
        <v>22</v>
      </c>
      <c r="I1027" t="str" cm="1">
        <f t="array" ref="I1027">_xlfn.IFS(G1027=0,"Not Paid",G1027=F1027,"Fully Paid",G1027&lt;F1027,"Partially Paid")</f>
        <v>Partially Paid</v>
      </c>
      <c r="J1027" t="str">
        <f t="shared" ref="J1027:J1090" si="16">IF(F1027&gt;50000,"YES","NO")</f>
        <v>NO</v>
      </c>
    </row>
    <row r="1028" spans="1:10" x14ac:dyDescent="0.35">
      <c r="A1028">
        <v>3027</v>
      </c>
      <c r="B1028" t="s">
        <v>1059</v>
      </c>
      <c r="C1028" t="s">
        <v>9</v>
      </c>
      <c r="D1028" t="s">
        <v>18</v>
      </c>
      <c r="E1028">
        <v>45858</v>
      </c>
      <c r="F1028">
        <v>36678</v>
      </c>
      <c r="G1028">
        <v>23409</v>
      </c>
      <c r="H1028" t="s">
        <v>43</v>
      </c>
      <c r="I1028" t="str" cm="1">
        <f t="array" ref="I1028">_xlfn.IFS(G1028=0,"Not Paid",G1028=F1028,"Fully Paid",G1028&lt;F1028,"Partially Paid")</f>
        <v>Partially Paid</v>
      </c>
      <c r="J1028" t="str">
        <f t="shared" si="16"/>
        <v>NO</v>
      </c>
    </row>
    <row r="1029" spans="1:10" x14ac:dyDescent="0.35">
      <c r="A1029">
        <v>3028</v>
      </c>
      <c r="B1029" t="s">
        <v>1060</v>
      </c>
      <c r="C1029" t="s">
        <v>9</v>
      </c>
      <c r="D1029" t="s">
        <v>21</v>
      </c>
      <c r="E1029">
        <v>45941</v>
      </c>
      <c r="F1029">
        <v>58256</v>
      </c>
      <c r="G1029">
        <v>43351</v>
      </c>
      <c r="H1029" t="s">
        <v>22</v>
      </c>
      <c r="I1029" t="str" cm="1">
        <f t="array" ref="I1029">_xlfn.IFS(G1029=0,"Not Paid",G1029=F1029,"Fully Paid",G1029&lt;F1029,"Partially Paid")</f>
        <v>Partially Paid</v>
      </c>
      <c r="J1029" t="str">
        <f t="shared" si="16"/>
        <v>YES</v>
      </c>
    </row>
    <row r="1030" spans="1:10" x14ac:dyDescent="0.35">
      <c r="A1030">
        <v>3029</v>
      </c>
      <c r="B1030" t="s">
        <v>1061</v>
      </c>
      <c r="C1030" t="s">
        <v>9</v>
      </c>
      <c r="D1030" t="s">
        <v>14</v>
      </c>
      <c r="E1030">
        <v>45830</v>
      </c>
      <c r="F1030">
        <v>40411</v>
      </c>
      <c r="G1030">
        <v>32427</v>
      </c>
      <c r="H1030" t="s">
        <v>67</v>
      </c>
      <c r="I1030" t="str" cm="1">
        <f t="array" ref="I1030">_xlfn.IFS(G1030=0,"Not Paid",G1030=F1030,"Fully Paid",G1030&lt;F1030,"Partially Paid")</f>
        <v>Partially Paid</v>
      </c>
      <c r="J1030" t="str">
        <f t="shared" si="16"/>
        <v>NO</v>
      </c>
    </row>
    <row r="1031" spans="1:10" x14ac:dyDescent="0.35">
      <c r="A1031">
        <v>3030</v>
      </c>
      <c r="B1031" t="s">
        <v>1062</v>
      </c>
      <c r="C1031" t="s">
        <v>24</v>
      </c>
      <c r="D1031" t="s">
        <v>18</v>
      </c>
      <c r="E1031">
        <v>45984</v>
      </c>
      <c r="F1031">
        <v>39296</v>
      </c>
      <c r="G1031">
        <v>38890</v>
      </c>
      <c r="H1031" t="s">
        <v>29</v>
      </c>
      <c r="I1031" t="str" cm="1">
        <f t="array" ref="I1031">_xlfn.IFS(G1031=0,"Not Paid",G1031=F1031,"Fully Paid",G1031&lt;F1031,"Partially Paid")</f>
        <v>Partially Paid</v>
      </c>
      <c r="J1031" t="str">
        <f t="shared" si="16"/>
        <v>NO</v>
      </c>
    </row>
    <row r="1032" spans="1:10" x14ac:dyDescent="0.35">
      <c r="A1032">
        <v>3031</v>
      </c>
      <c r="B1032" t="s">
        <v>1063</v>
      </c>
      <c r="C1032" t="s">
        <v>45</v>
      </c>
      <c r="D1032" t="s">
        <v>10</v>
      </c>
      <c r="E1032">
        <v>45863</v>
      </c>
      <c r="F1032">
        <v>46293</v>
      </c>
      <c r="G1032">
        <v>38909</v>
      </c>
      <c r="H1032" t="s">
        <v>43</v>
      </c>
      <c r="I1032" t="str" cm="1">
        <f t="array" ref="I1032">_xlfn.IFS(G1032=0,"Not Paid",G1032=F1032,"Fully Paid",G1032&lt;F1032,"Partially Paid")</f>
        <v>Partially Paid</v>
      </c>
      <c r="J1032" t="str">
        <f t="shared" si="16"/>
        <v>NO</v>
      </c>
    </row>
    <row r="1033" spans="1:10" x14ac:dyDescent="0.35">
      <c r="A1033">
        <v>3032</v>
      </c>
      <c r="B1033" t="s">
        <v>1064</v>
      </c>
      <c r="C1033" t="s">
        <v>13</v>
      </c>
      <c r="D1033" t="s">
        <v>18</v>
      </c>
      <c r="E1033">
        <v>45720</v>
      </c>
      <c r="F1033">
        <v>47172</v>
      </c>
      <c r="G1033">
        <v>41123</v>
      </c>
      <c r="H1033" t="s">
        <v>19</v>
      </c>
      <c r="I1033" t="str" cm="1">
        <f t="array" ref="I1033">_xlfn.IFS(G1033=0,"Not Paid",G1033=F1033,"Fully Paid",G1033&lt;F1033,"Partially Paid")</f>
        <v>Partially Paid</v>
      </c>
      <c r="J1033" t="str">
        <f t="shared" si="16"/>
        <v>NO</v>
      </c>
    </row>
    <row r="1034" spans="1:10" x14ac:dyDescent="0.35">
      <c r="A1034">
        <v>3033</v>
      </c>
      <c r="B1034" t="s">
        <v>1065</v>
      </c>
      <c r="C1034" t="s">
        <v>13</v>
      </c>
      <c r="D1034" t="s">
        <v>37</v>
      </c>
      <c r="E1034">
        <v>45730</v>
      </c>
      <c r="F1034">
        <v>41128</v>
      </c>
      <c r="G1034">
        <v>34959</v>
      </c>
      <c r="H1034" t="s">
        <v>19</v>
      </c>
      <c r="I1034" t="str" cm="1">
        <f t="array" ref="I1034">_xlfn.IFS(G1034=0,"Not Paid",G1034=F1034,"Fully Paid",G1034&lt;F1034,"Partially Paid")</f>
        <v>Partially Paid</v>
      </c>
      <c r="J1034" t="str">
        <f t="shared" si="16"/>
        <v>NO</v>
      </c>
    </row>
    <row r="1035" spans="1:10" x14ac:dyDescent="0.35">
      <c r="A1035">
        <v>3034</v>
      </c>
      <c r="B1035" t="s">
        <v>1066</v>
      </c>
      <c r="C1035" t="s">
        <v>56</v>
      </c>
      <c r="D1035" t="s">
        <v>14</v>
      </c>
      <c r="E1035">
        <v>45908</v>
      </c>
      <c r="F1035">
        <v>38257</v>
      </c>
      <c r="G1035">
        <v>30275</v>
      </c>
      <c r="H1035" t="s">
        <v>53</v>
      </c>
      <c r="I1035" t="str" cm="1">
        <f t="array" ref="I1035">_xlfn.IFS(G1035=0,"Not Paid",G1035=F1035,"Fully Paid",G1035&lt;F1035,"Partially Paid")</f>
        <v>Partially Paid</v>
      </c>
      <c r="J1035" t="str">
        <f t="shared" si="16"/>
        <v>NO</v>
      </c>
    </row>
    <row r="1036" spans="1:10" x14ac:dyDescent="0.35">
      <c r="A1036">
        <v>3035</v>
      </c>
      <c r="B1036" t="s">
        <v>1067</v>
      </c>
      <c r="C1036" t="s">
        <v>24</v>
      </c>
      <c r="D1036" t="s">
        <v>10</v>
      </c>
      <c r="E1036">
        <v>45781</v>
      </c>
      <c r="F1036">
        <v>32855</v>
      </c>
      <c r="G1036">
        <v>21587</v>
      </c>
      <c r="H1036" t="s">
        <v>31</v>
      </c>
      <c r="I1036" t="str" cm="1">
        <f t="array" ref="I1036">_xlfn.IFS(G1036=0,"Not Paid",G1036=F1036,"Fully Paid",G1036&lt;F1036,"Partially Paid")</f>
        <v>Partially Paid</v>
      </c>
      <c r="J1036" t="str">
        <f t="shared" si="16"/>
        <v>NO</v>
      </c>
    </row>
    <row r="1037" spans="1:10" x14ac:dyDescent="0.35">
      <c r="A1037">
        <v>3036</v>
      </c>
      <c r="B1037" t="s">
        <v>1068</v>
      </c>
      <c r="C1037" t="s">
        <v>24</v>
      </c>
      <c r="D1037" t="s">
        <v>21</v>
      </c>
      <c r="E1037">
        <v>45778</v>
      </c>
      <c r="F1037">
        <v>39642</v>
      </c>
      <c r="G1037">
        <v>38657</v>
      </c>
      <c r="H1037" t="s">
        <v>31</v>
      </c>
      <c r="I1037" t="str" cm="1">
        <f t="array" ref="I1037">_xlfn.IFS(G1037=0,"Not Paid",G1037=F1037,"Fully Paid",G1037&lt;F1037,"Partially Paid")</f>
        <v>Partially Paid</v>
      </c>
      <c r="J1037" t="str">
        <f t="shared" si="16"/>
        <v>NO</v>
      </c>
    </row>
    <row r="1038" spans="1:10" x14ac:dyDescent="0.35">
      <c r="A1038">
        <v>3037</v>
      </c>
      <c r="B1038" t="s">
        <v>1069</v>
      </c>
      <c r="C1038" t="s">
        <v>24</v>
      </c>
      <c r="D1038" t="s">
        <v>27</v>
      </c>
      <c r="E1038">
        <v>45932</v>
      </c>
      <c r="F1038">
        <v>55585</v>
      </c>
      <c r="G1038">
        <v>43790</v>
      </c>
      <c r="H1038" t="s">
        <v>22</v>
      </c>
      <c r="I1038" t="str" cm="1">
        <f t="array" ref="I1038">_xlfn.IFS(G1038=0,"Not Paid",G1038=F1038,"Fully Paid",G1038&lt;F1038,"Partially Paid")</f>
        <v>Partially Paid</v>
      </c>
      <c r="J1038" t="str">
        <f t="shared" si="16"/>
        <v>YES</v>
      </c>
    </row>
    <row r="1039" spans="1:10" x14ac:dyDescent="0.35">
      <c r="A1039">
        <v>3038</v>
      </c>
      <c r="B1039" t="s">
        <v>1070</v>
      </c>
      <c r="C1039" t="s">
        <v>17</v>
      </c>
      <c r="D1039" t="s">
        <v>10</v>
      </c>
      <c r="E1039">
        <v>45777</v>
      </c>
      <c r="F1039">
        <v>40025</v>
      </c>
      <c r="G1039">
        <v>35540</v>
      </c>
      <c r="H1039" t="s">
        <v>11</v>
      </c>
      <c r="I1039" t="str" cm="1">
        <f t="array" ref="I1039">_xlfn.IFS(G1039=0,"Not Paid",G1039=F1039,"Fully Paid",G1039&lt;F1039,"Partially Paid")</f>
        <v>Partially Paid</v>
      </c>
      <c r="J1039" t="str">
        <f t="shared" si="16"/>
        <v>NO</v>
      </c>
    </row>
    <row r="1040" spans="1:10" x14ac:dyDescent="0.35">
      <c r="A1040">
        <v>3039</v>
      </c>
      <c r="B1040" t="s">
        <v>1071</v>
      </c>
      <c r="C1040" t="s">
        <v>33</v>
      </c>
      <c r="D1040" t="s">
        <v>21</v>
      </c>
      <c r="E1040">
        <v>45974</v>
      </c>
      <c r="F1040">
        <v>24458</v>
      </c>
      <c r="G1040">
        <v>15557</v>
      </c>
      <c r="H1040" t="s">
        <v>29</v>
      </c>
      <c r="I1040" t="str" cm="1">
        <f t="array" ref="I1040">_xlfn.IFS(G1040=0,"Not Paid",G1040=F1040,"Fully Paid",G1040&lt;F1040,"Partially Paid")</f>
        <v>Partially Paid</v>
      </c>
      <c r="J1040" t="str">
        <f t="shared" si="16"/>
        <v>NO</v>
      </c>
    </row>
    <row r="1041" spans="1:10" x14ac:dyDescent="0.35">
      <c r="A1041">
        <v>3040</v>
      </c>
      <c r="B1041" t="s">
        <v>1072</v>
      </c>
      <c r="C1041" t="s">
        <v>17</v>
      </c>
      <c r="D1041" t="s">
        <v>27</v>
      </c>
      <c r="E1041">
        <v>45821</v>
      </c>
      <c r="F1041">
        <v>25307</v>
      </c>
      <c r="G1041">
        <v>22689</v>
      </c>
      <c r="H1041" t="s">
        <v>67</v>
      </c>
      <c r="I1041" t="str" cm="1">
        <f t="array" ref="I1041">_xlfn.IFS(G1041=0,"Not Paid",G1041=F1041,"Fully Paid",G1041&lt;F1041,"Partially Paid")</f>
        <v>Partially Paid</v>
      </c>
      <c r="J1041" t="str">
        <f t="shared" si="16"/>
        <v>NO</v>
      </c>
    </row>
    <row r="1042" spans="1:10" x14ac:dyDescent="0.35">
      <c r="A1042">
        <v>3041</v>
      </c>
      <c r="B1042" t="s">
        <v>1073</v>
      </c>
      <c r="C1042" t="s">
        <v>33</v>
      </c>
      <c r="D1042" t="s">
        <v>27</v>
      </c>
      <c r="E1042">
        <v>45943</v>
      </c>
      <c r="F1042">
        <v>38425</v>
      </c>
      <c r="G1042">
        <v>24666</v>
      </c>
      <c r="H1042" t="s">
        <v>22</v>
      </c>
      <c r="I1042" t="str" cm="1">
        <f t="array" ref="I1042">_xlfn.IFS(G1042=0,"Not Paid",G1042=F1042,"Fully Paid",G1042&lt;F1042,"Partially Paid")</f>
        <v>Partially Paid</v>
      </c>
      <c r="J1042" t="str">
        <f t="shared" si="16"/>
        <v>NO</v>
      </c>
    </row>
    <row r="1043" spans="1:10" x14ac:dyDescent="0.35">
      <c r="A1043">
        <v>3042</v>
      </c>
      <c r="B1043" t="s">
        <v>1074</v>
      </c>
      <c r="C1043" t="s">
        <v>24</v>
      </c>
      <c r="D1043" t="s">
        <v>10</v>
      </c>
      <c r="E1043">
        <v>45922</v>
      </c>
      <c r="F1043">
        <v>48273</v>
      </c>
      <c r="G1043">
        <v>35232</v>
      </c>
      <c r="H1043" t="s">
        <v>53</v>
      </c>
      <c r="I1043" t="str" cm="1">
        <f t="array" ref="I1043">_xlfn.IFS(G1043=0,"Not Paid",G1043=F1043,"Fully Paid",G1043&lt;F1043,"Partially Paid")</f>
        <v>Partially Paid</v>
      </c>
      <c r="J1043" t="str">
        <f t="shared" si="16"/>
        <v>NO</v>
      </c>
    </row>
    <row r="1044" spans="1:10" x14ac:dyDescent="0.35">
      <c r="A1044">
        <v>3043</v>
      </c>
      <c r="B1044" t="s">
        <v>1075</v>
      </c>
      <c r="C1044" t="s">
        <v>24</v>
      </c>
      <c r="D1044" t="s">
        <v>18</v>
      </c>
      <c r="E1044">
        <v>45977</v>
      </c>
      <c r="F1044">
        <v>58506</v>
      </c>
      <c r="G1044">
        <v>52217</v>
      </c>
      <c r="H1044" t="s">
        <v>29</v>
      </c>
      <c r="I1044" t="str" cm="1">
        <f t="array" ref="I1044">_xlfn.IFS(G1044=0,"Not Paid",G1044=F1044,"Fully Paid",G1044&lt;F1044,"Partially Paid")</f>
        <v>Partially Paid</v>
      </c>
      <c r="J1044" t="str">
        <f t="shared" si="16"/>
        <v>YES</v>
      </c>
    </row>
    <row r="1045" spans="1:10" x14ac:dyDescent="0.35">
      <c r="A1045">
        <v>3044</v>
      </c>
      <c r="B1045" t="s">
        <v>1076</v>
      </c>
      <c r="C1045" t="s">
        <v>17</v>
      </c>
      <c r="D1045" t="s">
        <v>18</v>
      </c>
      <c r="E1045">
        <v>45818</v>
      </c>
      <c r="F1045">
        <v>25668</v>
      </c>
      <c r="G1045">
        <v>16065</v>
      </c>
      <c r="H1045" t="s">
        <v>67</v>
      </c>
      <c r="I1045" t="str" cm="1">
        <f t="array" ref="I1045">_xlfn.IFS(G1045=0,"Not Paid",G1045=F1045,"Fully Paid",G1045&lt;F1045,"Partially Paid")</f>
        <v>Partially Paid</v>
      </c>
      <c r="J1045" t="str">
        <f t="shared" si="16"/>
        <v>NO</v>
      </c>
    </row>
    <row r="1046" spans="1:10" x14ac:dyDescent="0.35">
      <c r="A1046">
        <v>3045</v>
      </c>
      <c r="B1046" t="s">
        <v>1077</v>
      </c>
      <c r="C1046" t="s">
        <v>17</v>
      </c>
      <c r="D1046" t="s">
        <v>27</v>
      </c>
      <c r="E1046">
        <v>45965</v>
      </c>
      <c r="F1046">
        <v>45934</v>
      </c>
      <c r="G1046">
        <v>39006</v>
      </c>
      <c r="H1046" t="s">
        <v>29</v>
      </c>
      <c r="I1046" t="str" cm="1">
        <f t="array" ref="I1046">_xlfn.IFS(G1046=0,"Not Paid",G1046=F1046,"Fully Paid",G1046&lt;F1046,"Partially Paid")</f>
        <v>Partially Paid</v>
      </c>
      <c r="J1046" t="str">
        <f t="shared" si="16"/>
        <v>NO</v>
      </c>
    </row>
    <row r="1047" spans="1:10" x14ac:dyDescent="0.35">
      <c r="A1047">
        <v>3046</v>
      </c>
      <c r="B1047" t="s">
        <v>1078</v>
      </c>
      <c r="C1047" t="s">
        <v>33</v>
      </c>
      <c r="D1047" t="s">
        <v>18</v>
      </c>
      <c r="E1047">
        <v>45746</v>
      </c>
      <c r="F1047">
        <v>27697</v>
      </c>
      <c r="G1047">
        <v>22329</v>
      </c>
      <c r="H1047" t="s">
        <v>19</v>
      </c>
      <c r="I1047" t="str" cm="1">
        <f t="array" ref="I1047">_xlfn.IFS(G1047=0,"Not Paid",G1047=F1047,"Fully Paid",G1047&lt;F1047,"Partially Paid")</f>
        <v>Partially Paid</v>
      </c>
      <c r="J1047" t="str">
        <f t="shared" si="16"/>
        <v>NO</v>
      </c>
    </row>
    <row r="1048" spans="1:10" x14ac:dyDescent="0.35">
      <c r="A1048">
        <v>3047</v>
      </c>
      <c r="B1048" t="s">
        <v>1079</v>
      </c>
      <c r="C1048" t="s">
        <v>13</v>
      </c>
      <c r="D1048" t="s">
        <v>37</v>
      </c>
      <c r="E1048">
        <v>45799</v>
      </c>
      <c r="F1048">
        <v>44417</v>
      </c>
      <c r="G1048">
        <v>39796</v>
      </c>
      <c r="H1048" t="s">
        <v>31</v>
      </c>
      <c r="I1048" t="str" cm="1">
        <f t="array" ref="I1048">_xlfn.IFS(G1048=0,"Not Paid",G1048=F1048,"Fully Paid",G1048&lt;F1048,"Partially Paid")</f>
        <v>Partially Paid</v>
      </c>
      <c r="J1048" t="str">
        <f t="shared" si="16"/>
        <v>NO</v>
      </c>
    </row>
    <row r="1049" spans="1:10" x14ac:dyDescent="0.35">
      <c r="A1049">
        <v>3048</v>
      </c>
      <c r="B1049" t="s">
        <v>1080</v>
      </c>
      <c r="C1049" t="s">
        <v>33</v>
      </c>
      <c r="D1049" t="s">
        <v>27</v>
      </c>
      <c r="E1049">
        <v>45860</v>
      </c>
      <c r="F1049">
        <v>36446</v>
      </c>
      <c r="G1049">
        <v>26769</v>
      </c>
      <c r="H1049" t="s">
        <v>43</v>
      </c>
      <c r="I1049" t="str" cm="1">
        <f t="array" ref="I1049">_xlfn.IFS(G1049=0,"Not Paid",G1049=F1049,"Fully Paid",G1049&lt;F1049,"Partially Paid")</f>
        <v>Partially Paid</v>
      </c>
      <c r="J1049" t="str">
        <f t="shared" si="16"/>
        <v>NO</v>
      </c>
    </row>
    <row r="1050" spans="1:10" x14ac:dyDescent="0.35">
      <c r="A1050">
        <v>3049</v>
      </c>
      <c r="B1050" t="s">
        <v>1081</v>
      </c>
      <c r="C1050" t="s">
        <v>17</v>
      </c>
      <c r="D1050" t="s">
        <v>27</v>
      </c>
      <c r="E1050">
        <v>45966</v>
      </c>
      <c r="F1050">
        <v>30751</v>
      </c>
      <c r="G1050">
        <v>16403</v>
      </c>
      <c r="H1050" t="s">
        <v>29</v>
      </c>
      <c r="I1050" t="str" cm="1">
        <f t="array" ref="I1050">_xlfn.IFS(G1050=0,"Not Paid",G1050=F1050,"Fully Paid",G1050&lt;F1050,"Partially Paid")</f>
        <v>Partially Paid</v>
      </c>
      <c r="J1050" t="str">
        <f t="shared" si="16"/>
        <v>NO</v>
      </c>
    </row>
    <row r="1051" spans="1:10" x14ac:dyDescent="0.35">
      <c r="A1051">
        <v>3050</v>
      </c>
      <c r="B1051" t="s">
        <v>1082</v>
      </c>
      <c r="C1051" t="s">
        <v>45</v>
      </c>
      <c r="D1051" t="s">
        <v>21</v>
      </c>
      <c r="E1051">
        <v>45884</v>
      </c>
      <c r="F1051">
        <v>27352</v>
      </c>
      <c r="G1051">
        <v>16210</v>
      </c>
      <c r="H1051" t="s">
        <v>38</v>
      </c>
      <c r="I1051" t="str" cm="1">
        <f t="array" ref="I1051">_xlfn.IFS(G1051=0,"Not Paid",G1051=F1051,"Fully Paid",G1051&lt;F1051,"Partially Paid")</f>
        <v>Partially Paid</v>
      </c>
      <c r="J1051" t="str">
        <f t="shared" si="16"/>
        <v>NO</v>
      </c>
    </row>
    <row r="1052" spans="1:10" x14ac:dyDescent="0.35">
      <c r="A1052">
        <v>3051</v>
      </c>
      <c r="B1052" t="s">
        <v>1083</v>
      </c>
      <c r="C1052" t="s">
        <v>17</v>
      </c>
      <c r="D1052" t="s">
        <v>18</v>
      </c>
      <c r="E1052">
        <v>45991</v>
      </c>
      <c r="F1052">
        <v>33516</v>
      </c>
      <c r="G1052">
        <v>18797</v>
      </c>
      <c r="H1052" t="s">
        <v>29</v>
      </c>
      <c r="I1052" t="str" cm="1">
        <f t="array" ref="I1052">_xlfn.IFS(G1052=0,"Not Paid",G1052=F1052,"Fully Paid",G1052&lt;F1052,"Partially Paid")</f>
        <v>Partially Paid</v>
      </c>
      <c r="J1052" t="str">
        <f t="shared" si="16"/>
        <v>NO</v>
      </c>
    </row>
    <row r="1053" spans="1:10" x14ac:dyDescent="0.35">
      <c r="A1053">
        <v>3052</v>
      </c>
      <c r="B1053" t="s">
        <v>1084</v>
      </c>
      <c r="C1053" t="s">
        <v>45</v>
      </c>
      <c r="D1053" t="s">
        <v>27</v>
      </c>
      <c r="E1053">
        <v>45879</v>
      </c>
      <c r="F1053">
        <v>43299</v>
      </c>
      <c r="G1053">
        <v>30456</v>
      </c>
      <c r="H1053" t="s">
        <v>38</v>
      </c>
      <c r="I1053" t="str" cm="1">
        <f t="array" ref="I1053">_xlfn.IFS(G1053=0,"Not Paid",G1053=F1053,"Fully Paid",G1053&lt;F1053,"Partially Paid")</f>
        <v>Partially Paid</v>
      </c>
      <c r="J1053" t="str">
        <f t="shared" si="16"/>
        <v>NO</v>
      </c>
    </row>
    <row r="1054" spans="1:10" x14ac:dyDescent="0.35">
      <c r="A1054">
        <v>3053</v>
      </c>
      <c r="B1054" t="s">
        <v>1085</v>
      </c>
      <c r="C1054" t="s">
        <v>56</v>
      </c>
      <c r="D1054" t="s">
        <v>37</v>
      </c>
      <c r="E1054">
        <v>45698</v>
      </c>
      <c r="F1054">
        <v>51957</v>
      </c>
      <c r="G1054">
        <v>40831</v>
      </c>
      <c r="H1054" t="s">
        <v>77</v>
      </c>
      <c r="I1054" t="str" cm="1">
        <f t="array" ref="I1054">_xlfn.IFS(G1054=0,"Not Paid",G1054=F1054,"Fully Paid",G1054&lt;F1054,"Partially Paid")</f>
        <v>Partially Paid</v>
      </c>
      <c r="J1054" t="str">
        <f t="shared" si="16"/>
        <v>YES</v>
      </c>
    </row>
    <row r="1055" spans="1:10" x14ac:dyDescent="0.35">
      <c r="A1055">
        <v>3054</v>
      </c>
      <c r="B1055" t="s">
        <v>1086</v>
      </c>
      <c r="C1055" t="s">
        <v>17</v>
      </c>
      <c r="D1055" t="s">
        <v>21</v>
      </c>
      <c r="E1055">
        <v>45853</v>
      </c>
      <c r="F1055">
        <v>48927</v>
      </c>
      <c r="G1055">
        <v>41361</v>
      </c>
      <c r="H1055" t="s">
        <v>43</v>
      </c>
      <c r="I1055" t="str" cm="1">
        <f t="array" ref="I1055">_xlfn.IFS(G1055=0,"Not Paid",G1055=F1055,"Fully Paid",G1055&lt;F1055,"Partially Paid")</f>
        <v>Partially Paid</v>
      </c>
      <c r="J1055" t="str">
        <f t="shared" si="16"/>
        <v>NO</v>
      </c>
    </row>
    <row r="1056" spans="1:10" x14ac:dyDescent="0.35">
      <c r="A1056">
        <v>3055</v>
      </c>
      <c r="B1056" t="s">
        <v>1087</v>
      </c>
      <c r="C1056" t="s">
        <v>56</v>
      </c>
      <c r="D1056" t="s">
        <v>10</v>
      </c>
      <c r="E1056">
        <v>45725</v>
      </c>
      <c r="F1056">
        <v>56412</v>
      </c>
      <c r="G1056">
        <v>44106</v>
      </c>
      <c r="H1056" t="s">
        <v>19</v>
      </c>
      <c r="I1056" t="str" cm="1">
        <f t="array" ref="I1056">_xlfn.IFS(G1056=0,"Not Paid",G1056=F1056,"Fully Paid",G1056&lt;F1056,"Partially Paid")</f>
        <v>Partially Paid</v>
      </c>
      <c r="J1056" t="str">
        <f t="shared" si="16"/>
        <v>YES</v>
      </c>
    </row>
    <row r="1057" spans="1:10" x14ac:dyDescent="0.35">
      <c r="A1057">
        <v>3056</v>
      </c>
      <c r="B1057" t="s">
        <v>1088</v>
      </c>
      <c r="C1057" t="s">
        <v>13</v>
      </c>
      <c r="D1057" t="s">
        <v>27</v>
      </c>
      <c r="E1057">
        <v>45921</v>
      </c>
      <c r="F1057">
        <v>49493</v>
      </c>
      <c r="G1057">
        <v>44823</v>
      </c>
      <c r="H1057" t="s">
        <v>53</v>
      </c>
      <c r="I1057" t="str" cm="1">
        <f t="array" ref="I1057">_xlfn.IFS(G1057=0,"Not Paid",G1057=F1057,"Fully Paid",G1057&lt;F1057,"Partially Paid")</f>
        <v>Partially Paid</v>
      </c>
      <c r="J1057" t="str">
        <f t="shared" si="16"/>
        <v>NO</v>
      </c>
    </row>
    <row r="1058" spans="1:10" x14ac:dyDescent="0.35">
      <c r="A1058">
        <v>3057</v>
      </c>
      <c r="B1058" t="s">
        <v>1089</v>
      </c>
      <c r="C1058" t="s">
        <v>33</v>
      </c>
      <c r="D1058" t="s">
        <v>37</v>
      </c>
      <c r="E1058">
        <v>45659</v>
      </c>
      <c r="F1058">
        <v>46711</v>
      </c>
      <c r="G1058">
        <v>39053</v>
      </c>
      <c r="H1058" t="s">
        <v>15</v>
      </c>
      <c r="I1058" t="str" cm="1">
        <f t="array" ref="I1058">_xlfn.IFS(G1058=0,"Not Paid",G1058=F1058,"Fully Paid",G1058&lt;F1058,"Partially Paid")</f>
        <v>Partially Paid</v>
      </c>
      <c r="J1058" t="str">
        <f t="shared" si="16"/>
        <v>NO</v>
      </c>
    </row>
    <row r="1059" spans="1:10" x14ac:dyDescent="0.35">
      <c r="A1059">
        <v>3058</v>
      </c>
      <c r="B1059" t="s">
        <v>1090</v>
      </c>
      <c r="C1059" t="s">
        <v>45</v>
      </c>
      <c r="D1059" t="s">
        <v>14</v>
      </c>
      <c r="E1059">
        <v>46018</v>
      </c>
      <c r="F1059">
        <v>28003</v>
      </c>
      <c r="G1059">
        <v>27000</v>
      </c>
      <c r="H1059" t="s">
        <v>25</v>
      </c>
      <c r="I1059" t="str" cm="1">
        <f t="array" ref="I1059">_xlfn.IFS(G1059=0,"Not Paid",G1059=F1059,"Fully Paid",G1059&lt;F1059,"Partially Paid")</f>
        <v>Partially Paid</v>
      </c>
      <c r="J1059" t="str">
        <f t="shared" si="16"/>
        <v>NO</v>
      </c>
    </row>
    <row r="1060" spans="1:10" x14ac:dyDescent="0.35">
      <c r="A1060">
        <v>3059</v>
      </c>
      <c r="B1060" t="s">
        <v>1091</v>
      </c>
      <c r="C1060" t="s">
        <v>33</v>
      </c>
      <c r="D1060" t="s">
        <v>37</v>
      </c>
      <c r="E1060">
        <v>45782</v>
      </c>
      <c r="F1060">
        <v>51707</v>
      </c>
      <c r="G1060">
        <v>41049</v>
      </c>
      <c r="H1060" t="s">
        <v>31</v>
      </c>
      <c r="I1060" t="str" cm="1">
        <f t="array" ref="I1060">_xlfn.IFS(G1060=0,"Not Paid",G1060=F1060,"Fully Paid",G1060&lt;F1060,"Partially Paid")</f>
        <v>Partially Paid</v>
      </c>
      <c r="J1060" t="str">
        <f t="shared" si="16"/>
        <v>YES</v>
      </c>
    </row>
    <row r="1061" spans="1:10" x14ac:dyDescent="0.35">
      <c r="A1061">
        <v>3060</v>
      </c>
      <c r="B1061" t="s">
        <v>1092</v>
      </c>
      <c r="C1061" t="s">
        <v>56</v>
      </c>
      <c r="D1061" t="s">
        <v>37</v>
      </c>
      <c r="E1061">
        <v>45767</v>
      </c>
      <c r="F1061">
        <v>23278</v>
      </c>
      <c r="G1061">
        <v>15774</v>
      </c>
      <c r="H1061" t="s">
        <v>11</v>
      </c>
      <c r="I1061" t="str" cm="1">
        <f t="array" ref="I1061">_xlfn.IFS(G1061=0,"Not Paid",G1061=F1061,"Fully Paid",G1061&lt;F1061,"Partially Paid")</f>
        <v>Partially Paid</v>
      </c>
      <c r="J1061" t="str">
        <f t="shared" si="16"/>
        <v>NO</v>
      </c>
    </row>
    <row r="1062" spans="1:10" x14ac:dyDescent="0.35">
      <c r="A1062">
        <v>3061</v>
      </c>
      <c r="B1062" t="s">
        <v>1093</v>
      </c>
      <c r="C1062" t="s">
        <v>45</v>
      </c>
      <c r="D1062" t="s">
        <v>21</v>
      </c>
      <c r="E1062">
        <v>45743</v>
      </c>
      <c r="F1062">
        <v>27296</v>
      </c>
      <c r="G1062">
        <v>24830</v>
      </c>
      <c r="H1062" t="s">
        <v>19</v>
      </c>
      <c r="I1062" t="str" cm="1">
        <f t="array" ref="I1062">_xlfn.IFS(G1062=0,"Not Paid",G1062=F1062,"Fully Paid",G1062&lt;F1062,"Partially Paid")</f>
        <v>Partially Paid</v>
      </c>
      <c r="J1062" t="str">
        <f t="shared" si="16"/>
        <v>NO</v>
      </c>
    </row>
    <row r="1063" spans="1:10" x14ac:dyDescent="0.35">
      <c r="A1063">
        <v>3062</v>
      </c>
      <c r="B1063" t="s">
        <v>1094</v>
      </c>
      <c r="C1063" t="s">
        <v>33</v>
      </c>
      <c r="D1063" t="s">
        <v>10</v>
      </c>
      <c r="E1063">
        <v>45777</v>
      </c>
      <c r="F1063">
        <v>45398</v>
      </c>
      <c r="G1063">
        <v>35268</v>
      </c>
      <c r="H1063" t="s">
        <v>11</v>
      </c>
      <c r="I1063" t="str" cm="1">
        <f t="array" ref="I1063">_xlfn.IFS(G1063=0,"Not Paid",G1063=F1063,"Fully Paid",G1063&lt;F1063,"Partially Paid")</f>
        <v>Partially Paid</v>
      </c>
      <c r="J1063" t="str">
        <f t="shared" si="16"/>
        <v>NO</v>
      </c>
    </row>
    <row r="1064" spans="1:10" x14ac:dyDescent="0.35">
      <c r="A1064">
        <v>3063</v>
      </c>
      <c r="B1064" t="s">
        <v>1095</v>
      </c>
      <c r="C1064" t="s">
        <v>17</v>
      </c>
      <c r="D1064" t="s">
        <v>14</v>
      </c>
      <c r="E1064">
        <v>45784</v>
      </c>
      <c r="F1064">
        <v>55842</v>
      </c>
      <c r="G1064">
        <v>53903</v>
      </c>
      <c r="H1064" t="s">
        <v>31</v>
      </c>
      <c r="I1064" t="str" cm="1">
        <f t="array" ref="I1064">_xlfn.IFS(G1064=0,"Not Paid",G1064=F1064,"Fully Paid",G1064&lt;F1064,"Partially Paid")</f>
        <v>Partially Paid</v>
      </c>
      <c r="J1064" t="str">
        <f t="shared" si="16"/>
        <v>YES</v>
      </c>
    </row>
    <row r="1065" spans="1:10" x14ac:dyDescent="0.35">
      <c r="A1065">
        <v>3064</v>
      </c>
      <c r="B1065" t="s">
        <v>1096</v>
      </c>
      <c r="C1065" t="s">
        <v>24</v>
      </c>
      <c r="D1065" t="s">
        <v>18</v>
      </c>
      <c r="E1065">
        <v>45912</v>
      </c>
      <c r="F1065">
        <v>33261</v>
      </c>
      <c r="G1065">
        <v>31626</v>
      </c>
      <c r="H1065" t="s">
        <v>53</v>
      </c>
      <c r="I1065" t="str" cm="1">
        <f t="array" ref="I1065">_xlfn.IFS(G1065=0,"Not Paid",G1065=F1065,"Fully Paid",G1065&lt;F1065,"Partially Paid")</f>
        <v>Partially Paid</v>
      </c>
      <c r="J1065" t="str">
        <f t="shared" si="16"/>
        <v>NO</v>
      </c>
    </row>
    <row r="1066" spans="1:10" x14ac:dyDescent="0.35">
      <c r="A1066">
        <v>3065</v>
      </c>
      <c r="B1066" t="s">
        <v>1097</v>
      </c>
      <c r="C1066" t="s">
        <v>56</v>
      </c>
      <c r="D1066" t="s">
        <v>18</v>
      </c>
      <c r="E1066">
        <v>45840</v>
      </c>
      <c r="F1066">
        <v>31173</v>
      </c>
      <c r="G1066">
        <v>21283</v>
      </c>
      <c r="H1066" t="s">
        <v>43</v>
      </c>
      <c r="I1066" t="str" cm="1">
        <f t="array" ref="I1066">_xlfn.IFS(G1066=0,"Not Paid",G1066=F1066,"Fully Paid",G1066&lt;F1066,"Partially Paid")</f>
        <v>Partially Paid</v>
      </c>
      <c r="J1066" t="str">
        <f t="shared" si="16"/>
        <v>NO</v>
      </c>
    </row>
    <row r="1067" spans="1:10" x14ac:dyDescent="0.35">
      <c r="A1067">
        <v>3066</v>
      </c>
      <c r="B1067" t="s">
        <v>1098</v>
      </c>
      <c r="C1067" t="s">
        <v>33</v>
      </c>
      <c r="D1067" t="s">
        <v>37</v>
      </c>
      <c r="E1067">
        <v>45673</v>
      </c>
      <c r="F1067">
        <v>50449</v>
      </c>
      <c r="G1067">
        <v>42354</v>
      </c>
      <c r="H1067" t="s">
        <v>15</v>
      </c>
      <c r="I1067" t="str" cm="1">
        <f t="array" ref="I1067">_xlfn.IFS(G1067=0,"Not Paid",G1067=F1067,"Fully Paid",G1067&lt;F1067,"Partially Paid")</f>
        <v>Partially Paid</v>
      </c>
      <c r="J1067" t="str">
        <f t="shared" si="16"/>
        <v>YES</v>
      </c>
    </row>
    <row r="1068" spans="1:10" x14ac:dyDescent="0.35">
      <c r="A1068">
        <v>3067</v>
      </c>
      <c r="B1068" t="s">
        <v>1099</v>
      </c>
      <c r="C1068" t="s">
        <v>56</v>
      </c>
      <c r="D1068" t="s">
        <v>21</v>
      </c>
      <c r="E1068">
        <v>45719</v>
      </c>
      <c r="F1068">
        <v>21637</v>
      </c>
      <c r="G1068">
        <v>15372</v>
      </c>
      <c r="H1068" t="s">
        <v>19</v>
      </c>
      <c r="I1068" t="str" cm="1">
        <f t="array" ref="I1068">_xlfn.IFS(G1068=0,"Not Paid",G1068=F1068,"Fully Paid",G1068&lt;F1068,"Partially Paid")</f>
        <v>Partially Paid</v>
      </c>
      <c r="J1068" t="str">
        <f t="shared" si="16"/>
        <v>NO</v>
      </c>
    </row>
    <row r="1069" spans="1:10" x14ac:dyDescent="0.35">
      <c r="A1069">
        <v>3068</v>
      </c>
      <c r="B1069" t="s">
        <v>1100</v>
      </c>
      <c r="C1069" t="s">
        <v>9</v>
      </c>
      <c r="D1069" t="s">
        <v>21</v>
      </c>
      <c r="E1069">
        <v>45815</v>
      </c>
      <c r="F1069">
        <v>51781</v>
      </c>
      <c r="G1069">
        <v>39062</v>
      </c>
      <c r="H1069" t="s">
        <v>67</v>
      </c>
      <c r="I1069" t="str" cm="1">
        <f t="array" ref="I1069">_xlfn.IFS(G1069=0,"Not Paid",G1069=F1069,"Fully Paid",G1069&lt;F1069,"Partially Paid")</f>
        <v>Partially Paid</v>
      </c>
      <c r="J1069" t="str">
        <f t="shared" si="16"/>
        <v>YES</v>
      </c>
    </row>
    <row r="1070" spans="1:10" x14ac:dyDescent="0.35">
      <c r="A1070">
        <v>3069</v>
      </c>
      <c r="B1070" t="s">
        <v>1101</v>
      </c>
      <c r="C1070" t="s">
        <v>56</v>
      </c>
      <c r="D1070" t="s">
        <v>18</v>
      </c>
      <c r="E1070">
        <v>45925</v>
      </c>
      <c r="F1070">
        <v>33652</v>
      </c>
      <c r="G1070">
        <v>23369</v>
      </c>
      <c r="H1070" t="s">
        <v>53</v>
      </c>
      <c r="I1070" t="str" cm="1">
        <f t="array" ref="I1070">_xlfn.IFS(G1070=0,"Not Paid",G1070=F1070,"Fully Paid",G1070&lt;F1070,"Partially Paid")</f>
        <v>Partially Paid</v>
      </c>
      <c r="J1070" t="str">
        <f t="shared" si="16"/>
        <v>NO</v>
      </c>
    </row>
    <row r="1071" spans="1:10" x14ac:dyDescent="0.35">
      <c r="A1071">
        <v>3070</v>
      </c>
      <c r="B1071" t="s">
        <v>1102</v>
      </c>
      <c r="C1071" t="s">
        <v>45</v>
      </c>
      <c r="D1071" t="s">
        <v>14</v>
      </c>
      <c r="E1071">
        <v>45692</v>
      </c>
      <c r="F1071">
        <v>25103</v>
      </c>
      <c r="G1071">
        <v>23208</v>
      </c>
      <c r="H1071" t="s">
        <v>77</v>
      </c>
      <c r="I1071" t="str" cm="1">
        <f t="array" ref="I1071">_xlfn.IFS(G1071=0,"Not Paid",G1071=F1071,"Fully Paid",G1071&lt;F1071,"Partially Paid")</f>
        <v>Partially Paid</v>
      </c>
      <c r="J1071" t="str">
        <f t="shared" si="16"/>
        <v>NO</v>
      </c>
    </row>
    <row r="1072" spans="1:10" x14ac:dyDescent="0.35">
      <c r="A1072">
        <v>3071</v>
      </c>
      <c r="B1072" t="s">
        <v>1103</v>
      </c>
      <c r="C1072" t="s">
        <v>9</v>
      </c>
      <c r="D1072" t="s">
        <v>10</v>
      </c>
      <c r="E1072">
        <v>45924</v>
      </c>
      <c r="F1072">
        <v>45500</v>
      </c>
      <c r="G1072">
        <v>31269</v>
      </c>
      <c r="H1072" t="s">
        <v>53</v>
      </c>
      <c r="I1072" t="str" cm="1">
        <f t="array" ref="I1072">_xlfn.IFS(G1072=0,"Not Paid",G1072=F1072,"Fully Paid",G1072&lt;F1072,"Partially Paid")</f>
        <v>Partially Paid</v>
      </c>
      <c r="J1072" t="str">
        <f t="shared" si="16"/>
        <v>NO</v>
      </c>
    </row>
    <row r="1073" spans="1:10" x14ac:dyDescent="0.35">
      <c r="A1073">
        <v>3072</v>
      </c>
      <c r="B1073" t="s">
        <v>1104</v>
      </c>
      <c r="C1073" t="s">
        <v>45</v>
      </c>
      <c r="D1073" t="s">
        <v>14</v>
      </c>
      <c r="E1073">
        <v>45721</v>
      </c>
      <c r="F1073">
        <v>54800</v>
      </c>
      <c r="G1073">
        <v>41172</v>
      </c>
      <c r="H1073" t="s">
        <v>19</v>
      </c>
      <c r="I1073" t="str" cm="1">
        <f t="array" ref="I1073">_xlfn.IFS(G1073=0,"Not Paid",G1073=F1073,"Fully Paid",G1073&lt;F1073,"Partially Paid")</f>
        <v>Partially Paid</v>
      </c>
      <c r="J1073" t="str">
        <f t="shared" si="16"/>
        <v>YES</v>
      </c>
    </row>
    <row r="1074" spans="1:10" x14ac:dyDescent="0.35">
      <c r="A1074">
        <v>3073</v>
      </c>
      <c r="B1074" t="s">
        <v>1105</v>
      </c>
      <c r="C1074" t="s">
        <v>24</v>
      </c>
      <c r="D1074" t="s">
        <v>27</v>
      </c>
      <c r="E1074">
        <v>45707</v>
      </c>
      <c r="F1074">
        <v>55529</v>
      </c>
      <c r="G1074">
        <v>49005</v>
      </c>
      <c r="H1074" t="s">
        <v>77</v>
      </c>
      <c r="I1074" t="str" cm="1">
        <f t="array" ref="I1074">_xlfn.IFS(G1074=0,"Not Paid",G1074=F1074,"Fully Paid",G1074&lt;F1074,"Partially Paid")</f>
        <v>Partially Paid</v>
      </c>
      <c r="J1074" t="str">
        <f t="shared" si="16"/>
        <v>YES</v>
      </c>
    </row>
    <row r="1075" spans="1:10" x14ac:dyDescent="0.35">
      <c r="A1075">
        <v>3074</v>
      </c>
      <c r="B1075" t="s">
        <v>1106</v>
      </c>
      <c r="C1075" t="s">
        <v>9</v>
      </c>
      <c r="D1075" t="s">
        <v>27</v>
      </c>
      <c r="E1075">
        <v>45912</v>
      </c>
      <c r="F1075">
        <v>38452</v>
      </c>
      <c r="G1075">
        <v>26020</v>
      </c>
      <c r="H1075" t="s">
        <v>53</v>
      </c>
      <c r="I1075" t="str" cm="1">
        <f t="array" ref="I1075">_xlfn.IFS(G1075=0,"Not Paid",G1075=F1075,"Fully Paid",G1075&lt;F1075,"Partially Paid")</f>
        <v>Partially Paid</v>
      </c>
      <c r="J1075" t="str">
        <f t="shared" si="16"/>
        <v>NO</v>
      </c>
    </row>
    <row r="1076" spans="1:10" x14ac:dyDescent="0.35">
      <c r="A1076">
        <v>3075</v>
      </c>
      <c r="B1076" t="s">
        <v>1107</v>
      </c>
      <c r="C1076" t="s">
        <v>17</v>
      </c>
      <c r="D1076" t="s">
        <v>10</v>
      </c>
      <c r="E1076">
        <v>45806</v>
      </c>
      <c r="F1076">
        <v>51174</v>
      </c>
      <c r="G1076">
        <v>39584</v>
      </c>
      <c r="H1076" t="s">
        <v>31</v>
      </c>
      <c r="I1076" t="str" cm="1">
        <f t="array" ref="I1076">_xlfn.IFS(G1076=0,"Not Paid",G1076=F1076,"Fully Paid",G1076&lt;F1076,"Partially Paid")</f>
        <v>Partially Paid</v>
      </c>
      <c r="J1076" t="str">
        <f t="shared" si="16"/>
        <v>YES</v>
      </c>
    </row>
    <row r="1077" spans="1:10" x14ac:dyDescent="0.35">
      <c r="A1077">
        <v>3076</v>
      </c>
      <c r="B1077" t="s">
        <v>1108</v>
      </c>
      <c r="C1077" t="s">
        <v>56</v>
      </c>
      <c r="D1077" t="s">
        <v>18</v>
      </c>
      <c r="E1077">
        <v>45982</v>
      </c>
      <c r="F1077">
        <v>55436</v>
      </c>
      <c r="G1077">
        <v>40738</v>
      </c>
      <c r="H1077" t="s">
        <v>29</v>
      </c>
      <c r="I1077" t="str" cm="1">
        <f t="array" ref="I1077">_xlfn.IFS(G1077=0,"Not Paid",G1077=F1077,"Fully Paid",G1077&lt;F1077,"Partially Paid")</f>
        <v>Partially Paid</v>
      </c>
      <c r="J1077" t="str">
        <f t="shared" si="16"/>
        <v>YES</v>
      </c>
    </row>
    <row r="1078" spans="1:10" x14ac:dyDescent="0.35">
      <c r="A1078">
        <v>3077</v>
      </c>
      <c r="B1078" t="s">
        <v>1109</v>
      </c>
      <c r="C1078" t="s">
        <v>33</v>
      </c>
      <c r="D1078" t="s">
        <v>10</v>
      </c>
      <c r="E1078">
        <v>45961</v>
      </c>
      <c r="F1078">
        <v>35954</v>
      </c>
      <c r="G1078">
        <v>34881</v>
      </c>
      <c r="H1078" t="s">
        <v>22</v>
      </c>
      <c r="I1078" t="str" cm="1">
        <f t="array" ref="I1078">_xlfn.IFS(G1078=0,"Not Paid",G1078=F1078,"Fully Paid",G1078&lt;F1078,"Partially Paid")</f>
        <v>Partially Paid</v>
      </c>
      <c r="J1078" t="str">
        <f t="shared" si="16"/>
        <v>NO</v>
      </c>
    </row>
    <row r="1079" spans="1:10" x14ac:dyDescent="0.35">
      <c r="A1079">
        <v>3078</v>
      </c>
      <c r="B1079" t="s">
        <v>1110</v>
      </c>
      <c r="C1079" t="s">
        <v>13</v>
      </c>
      <c r="D1079" t="s">
        <v>21</v>
      </c>
      <c r="E1079">
        <v>45933</v>
      </c>
      <c r="F1079">
        <v>37186</v>
      </c>
      <c r="G1079">
        <v>32002</v>
      </c>
      <c r="H1079" t="s">
        <v>22</v>
      </c>
      <c r="I1079" t="str" cm="1">
        <f t="array" ref="I1079">_xlfn.IFS(G1079=0,"Not Paid",G1079=F1079,"Fully Paid",G1079&lt;F1079,"Partially Paid")</f>
        <v>Partially Paid</v>
      </c>
      <c r="J1079" t="str">
        <f t="shared" si="16"/>
        <v>NO</v>
      </c>
    </row>
    <row r="1080" spans="1:10" x14ac:dyDescent="0.35">
      <c r="A1080">
        <v>3079</v>
      </c>
      <c r="B1080" t="s">
        <v>1111</v>
      </c>
      <c r="C1080" t="s">
        <v>56</v>
      </c>
      <c r="D1080" t="s">
        <v>27</v>
      </c>
      <c r="E1080">
        <v>46014</v>
      </c>
      <c r="F1080">
        <v>32356</v>
      </c>
      <c r="G1080">
        <v>29954</v>
      </c>
      <c r="H1080" t="s">
        <v>25</v>
      </c>
      <c r="I1080" t="str" cm="1">
        <f t="array" ref="I1080">_xlfn.IFS(G1080=0,"Not Paid",G1080=F1080,"Fully Paid",G1080&lt;F1080,"Partially Paid")</f>
        <v>Partially Paid</v>
      </c>
      <c r="J1080" t="str">
        <f t="shared" si="16"/>
        <v>NO</v>
      </c>
    </row>
    <row r="1081" spans="1:10" x14ac:dyDescent="0.35">
      <c r="A1081">
        <v>3080</v>
      </c>
      <c r="B1081" t="s">
        <v>1112</v>
      </c>
      <c r="C1081" t="s">
        <v>56</v>
      </c>
      <c r="D1081" t="s">
        <v>37</v>
      </c>
      <c r="E1081">
        <v>45829</v>
      </c>
      <c r="F1081">
        <v>52963</v>
      </c>
      <c r="G1081">
        <v>48068</v>
      </c>
      <c r="H1081" t="s">
        <v>67</v>
      </c>
      <c r="I1081" t="str" cm="1">
        <f t="array" ref="I1081">_xlfn.IFS(G1081=0,"Not Paid",G1081=F1081,"Fully Paid",G1081&lt;F1081,"Partially Paid")</f>
        <v>Partially Paid</v>
      </c>
      <c r="J1081" t="str">
        <f t="shared" si="16"/>
        <v>YES</v>
      </c>
    </row>
    <row r="1082" spans="1:10" x14ac:dyDescent="0.35">
      <c r="A1082">
        <v>3081</v>
      </c>
      <c r="B1082" t="s">
        <v>1113</v>
      </c>
      <c r="C1082" t="s">
        <v>24</v>
      </c>
      <c r="D1082" t="s">
        <v>37</v>
      </c>
      <c r="E1082">
        <v>45858</v>
      </c>
      <c r="F1082">
        <v>22187</v>
      </c>
      <c r="G1082">
        <v>14856</v>
      </c>
      <c r="H1082" t="s">
        <v>43</v>
      </c>
      <c r="I1082" t="str" cm="1">
        <f t="array" ref="I1082">_xlfn.IFS(G1082=0,"Not Paid",G1082=F1082,"Fully Paid",G1082&lt;F1082,"Partially Paid")</f>
        <v>Partially Paid</v>
      </c>
      <c r="J1082" t="str">
        <f t="shared" si="16"/>
        <v>NO</v>
      </c>
    </row>
    <row r="1083" spans="1:10" x14ac:dyDescent="0.35">
      <c r="A1083">
        <v>3082</v>
      </c>
      <c r="B1083" t="s">
        <v>1114</v>
      </c>
      <c r="C1083" t="s">
        <v>17</v>
      </c>
      <c r="D1083" t="s">
        <v>18</v>
      </c>
      <c r="E1083">
        <v>45981</v>
      </c>
      <c r="F1083">
        <v>31707</v>
      </c>
      <c r="G1083">
        <v>20303</v>
      </c>
      <c r="H1083" t="s">
        <v>29</v>
      </c>
      <c r="I1083" t="str" cm="1">
        <f t="array" ref="I1083">_xlfn.IFS(G1083=0,"Not Paid",G1083=F1083,"Fully Paid",G1083&lt;F1083,"Partially Paid")</f>
        <v>Partially Paid</v>
      </c>
      <c r="J1083" t="str">
        <f t="shared" si="16"/>
        <v>NO</v>
      </c>
    </row>
    <row r="1084" spans="1:10" x14ac:dyDescent="0.35">
      <c r="A1084">
        <v>3083</v>
      </c>
      <c r="B1084" t="s">
        <v>1115</v>
      </c>
      <c r="C1084" t="s">
        <v>13</v>
      </c>
      <c r="D1084" t="s">
        <v>21</v>
      </c>
      <c r="E1084">
        <v>45692</v>
      </c>
      <c r="F1084">
        <v>55098</v>
      </c>
      <c r="G1084">
        <v>42869</v>
      </c>
      <c r="H1084" t="s">
        <v>77</v>
      </c>
      <c r="I1084" t="str" cm="1">
        <f t="array" ref="I1084">_xlfn.IFS(G1084=0,"Not Paid",G1084=F1084,"Fully Paid",G1084&lt;F1084,"Partially Paid")</f>
        <v>Partially Paid</v>
      </c>
      <c r="J1084" t="str">
        <f t="shared" si="16"/>
        <v>YES</v>
      </c>
    </row>
    <row r="1085" spans="1:10" x14ac:dyDescent="0.35">
      <c r="A1085">
        <v>3084</v>
      </c>
      <c r="B1085" t="s">
        <v>1116</v>
      </c>
      <c r="C1085" t="s">
        <v>9</v>
      </c>
      <c r="D1085" t="s">
        <v>14</v>
      </c>
      <c r="E1085">
        <v>45873</v>
      </c>
      <c r="F1085">
        <v>46935</v>
      </c>
      <c r="G1085">
        <v>37592</v>
      </c>
      <c r="H1085" t="s">
        <v>38</v>
      </c>
      <c r="I1085" t="str" cm="1">
        <f t="array" ref="I1085">_xlfn.IFS(G1085=0,"Not Paid",G1085=F1085,"Fully Paid",G1085&lt;F1085,"Partially Paid")</f>
        <v>Partially Paid</v>
      </c>
      <c r="J1085" t="str">
        <f t="shared" si="16"/>
        <v>NO</v>
      </c>
    </row>
    <row r="1086" spans="1:10" x14ac:dyDescent="0.35">
      <c r="A1086">
        <v>3085</v>
      </c>
      <c r="B1086" t="s">
        <v>1117</v>
      </c>
      <c r="C1086" t="s">
        <v>9</v>
      </c>
      <c r="D1086" t="s">
        <v>21</v>
      </c>
      <c r="E1086">
        <v>45722</v>
      </c>
      <c r="F1086">
        <v>41225</v>
      </c>
      <c r="G1086">
        <v>30588</v>
      </c>
      <c r="H1086" t="s">
        <v>19</v>
      </c>
      <c r="I1086" t="str" cm="1">
        <f t="array" ref="I1086">_xlfn.IFS(G1086=0,"Not Paid",G1086=F1086,"Fully Paid",G1086&lt;F1086,"Partially Paid")</f>
        <v>Partially Paid</v>
      </c>
      <c r="J1086" t="str">
        <f t="shared" si="16"/>
        <v>NO</v>
      </c>
    </row>
    <row r="1087" spans="1:10" x14ac:dyDescent="0.35">
      <c r="A1087">
        <v>3086</v>
      </c>
      <c r="B1087" t="s">
        <v>1118</v>
      </c>
      <c r="C1087" t="s">
        <v>9</v>
      </c>
      <c r="D1087" t="s">
        <v>37</v>
      </c>
      <c r="E1087">
        <v>45665</v>
      </c>
      <c r="F1087">
        <v>23606</v>
      </c>
      <c r="G1087">
        <v>21650</v>
      </c>
      <c r="H1087" t="s">
        <v>15</v>
      </c>
      <c r="I1087" t="str" cm="1">
        <f t="array" ref="I1087">_xlfn.IFS(G1087=0,"Not Paid",G1087=F1087,"Fully Paid",G1087&lt;F1087,"Partially Paid")</f>
        <v>Partially Paid</v>
      </c>
      <c r="J1087" t="str">
        <f t="shared" si="16"/>
        <v>NO</v>
      </c>
    </row>
    <row r="1088" spans="1:10" x14ac:dyDescent="0.35">
      <c r="A1088">
        <v>3087</v>
      </c>
      <c r="B1088" t="s">
        <v>1119</v>
      </c>
      <c r="C1088" t="s">
        <v>45</v>
      </c>
      <c r="D1088" t="s">
        <v>37</v>
      </c>
      <c r="E1088">
        <v>45958</v>
      </c>
      <c r="F1088">
        <v>52828</v>
      </c>
      <c r="G1088">
        <v>45805</v>
      </c>
      <c r="H1088" t="s">
        <v>22</v>
      </c>
      <c r="I1088" t="str" cm="1">
        <f t="array" ref="I1088">_xlfn.IFS(G1088=0,"Not Paid",G1088=F1088,"Fully Paid",G1088&lt;F1088,"Partially Paid")</f>
        <v>Partially Paid</v>
      </c>
      <c r="J1088" t="str">
        <f t="shared" si="16"/>
        <v>YES</v>
      </c>
    </row>
    <row r="1089" spans="1:10" x14ac:dyDescent="0.35">
      <c r="A1089">
        <v>3088</v>
      </c>
      <c r="B1089" t="s">
        <v>1120</v>
      </c>
      <c r="C1089" t="s">
        <v>45</v>
      </c>
      <c r="D1089" t="s">
        <v>27</v>
      </c>
      <c r="E1089">
        <v>46000</v>
      </c>
      <c r="F1089">
        <v>46489</v>
      </c>
      <c r="G1089">
        <v>33739</v>
      </c>
      <c r="H1089" t="s">
        <v>25</v>
      </c>
      <c r="I1089" t="str" cm="1">
        <f t="array" ref="I1089">_xlfn.IFS(G1089=0,"Not Paid",G1089=F1089,"Fully Paid",G1089&lt;F1089,"Partially Paid")</f>
        <v>Partially Paid</v>
      </c>
      <c r="J1089" t="str">
        <f t="shared" si="16"/>
        <v>NO</v>
      </c>
    </row>
    <row r="1090" spans="1:10" x14ac:dyDescent="0.35">
      <c r="A1090">
        <v>3089</v>
      </c>
      <c r="B1090" t="s">
        <v>1121</v>
      </c>
      <c r="C1090" t="s">
        <v>33</v>
      </c>
      <c r="D1090" t="s">
        <v>21</v>
      </c>
      <c r="E1090">
        <v>45989</v>
      </c>
      <c r="F1090">
        <v>34387</v>
      </c>
      <c r="G1090">
        <v>20325</v>
      </c>
      <c r="H1090" t="s">
        <v>29</v>
      </c>
      <c r="I1090" t="str" cm="1">
        <f t="array" ref="I1090">_xlfn.IFS(G1090=0,"Not Paid",G1090=F1090,"Fully Paid",G1090&lt;F1090,"Partially Paid")</f>
        <v>Partially Paid</v>
      </c>
      <c r="J1090" t="str">
        <f t="shared" si="16"/>
        <v>NO</v>
      </c>
    </row>
    <row r="1091" spans="1:10" x14ac:dyDescent="0.35">
      <c r="A1091">
        <v>3090</v>
      </c>
      <c r="B1091" t="s">
        <v>1122</v>
      </c>
      <c r="C1091" t="s">
        <v>13</v>
      </c>
      <c r="D1091" t="s">
        <v>21</v>
      </c>
      <c r="E1091">
        <v>45733</v>
      </c>
      <c r="F1091">
        <v>23927</v>
      </c>
      <c r="G1091">
        <v>9594</v>
      </c>
      <c r="H1091" t="s">
        <v>19</v>
      </c>
      <c r="I1091" t="str" cm="1">
        <f t="array" ref="I1091">_xlfn.IFS(G1091=0,"Not Paid",G1091=F1091,"Fully Paid",G1091&lt;F1091,"Partially Paid")</f>
        <v>Partially Paid</v>
      </c>
      <c r="J1091" t="str">
        <f t="shared" ref="J1091:J1154" si="17">IF(F1091&gt;50000,"YES","NO")</f>
        <v>NO</v>
      </c>
    </row>
    <row r="1092" spans="1:10" x14ac:dyDescent="0.35">
      <c r="A1092">
        <v>3091</v>
      </c>
      <c r="B1092" t="s">
        <v>1123</v>
      </c>
      <c r="C1092" t="s">
        <v>9</v>
      </c>
      <c r="D1092" t="s">
        <v>37</v>
      </c>
      <c r="E1092">
        <v>45831</v>
      </c>
      <c r="F1092">
        <v>26296</v>
      </c>
      <c r="G1092">
        <v>22389</v>
      </c>
      <c r="H1092" t="s">
        <v>67</v>
      </c>
      <c r="I1092" t="str" cm="1">
        <f t="array" ref="I1092">_xlfn.IFS(G1092=0,"Not Paid",G1092=F1092,"Fully Paid",G1092&lt;F1092,"Partially Paid")</f>
        <v>Partially Paid</v>
      </c>
      <c r="J1092" t="str">
        <f t="shared" si="17"/>
        <v>NO</v>
      </c>
    </row>
    <row r="1093" spans="1:10" x14ac:dyDescent="0.35">
      <c r="A1093">
        <v>3092</v>
      </c>
      <c r="B1093" t="s">
        <v>1124</v>
      </c>
      <c r="C1093" t="s">
        <v>45</v>
      </c>
      <c r="D1093" t="s">
        <v>14</v>
      </c>
      <c r="E1093">
        <v>45704</v>
      </c>
      <c r="F1093">
        <v>50444</v>
      </c>
      <c r="G1093">
        <v>49637</v>
      </c>
      <c r="H1093" t="s">
        <v>77</v>
      </c>
      <c r="I1093" t="str" cm="1">
        <f t="array" ref="I1093">_xlfn.IFS(G1093=0,"Not Paid",G1093=F1093,"Fully Paid",G1093&lt;F1093,"Partially Paid")</f>
        <v>Partially Paid</v>
      </c>
      <c r="J1093" t="str">
        <f t="shared" si="17"/>
        <v>YES</v>
      </c>
    </row>
    <row r="1094" spans="1:10" x14ac:dyDescent="0.35">
      <c r="A1094">
        <v>3093</v>
      </c>
      <c r="B1094" t="s">
        <v>1125</v>
      </c>
      <c r="C1094" t="s">
        <v>33</v>
      </c>
      <c r="D1094" t="s">
        <v>18</v>
      </c>
      <c r="E1094">
        <v>45672</v>
      </c>
      <c r="F1094">
        <v>22591</v>
      </c>
      <c r="G1094">
        <v>14213</v>
      </c>
      <c r="H1094" t="s">
        <v>15</v>
      </c>
      <c r="I1094" t="str" cm="1">
        <f t="array" ref="I1094">_xlfn.IFS(G1094=0,"Not Paid",G1094=F1094,"Fully Paid",G1094&lt;F1094,"Partially Paid")</f>
        <v>Partially Paid</v>
      </c>
      <c r="J1094" t="str">
        <f t="shared" si="17"/>
        <v>NO</v>
      </c>
    </row>
    <row r="1095" spans="1:10" x14ac:dyDescent="0.35">
      <c r="A1095">
        <v>3094</v>
      </c>
      <c r="B1095" t="s">
        <v>1126</v>
      </c>
      <c r="C1095" t="s">
        <v>17</v>
      </c>
      <c r="D1095" t="s">
        <v>18</v>
      </c>
      <c r="E1095">
        <v>46018</v>
      </c>
      <c r="F1095">
        <v>46147</v>
      </c>
      <c r="G1095">
        <v>32116</v>
      </c>
      <c r="H1095" t="s">
        <v>25</v>
      </c>
      <c r="I1095" t="str" cm="1">
        <f t="array" ref="I1095">_xlfn.IFS(G1095=0,"Not Paid",G1095=F1095,"Fully Paid",G1095&lt;F1095,"Partially Paid")</f>
        <v>Partially Paid</v>
      </c>
      <c r="J1095" t="str">
        <f t="shared" si="17"/>
        <v>NO</v>
      </c>
    </row>
    <row r="1096" spans="1:10" x14ac:dyDescent="0.35">
      <c r="A1096">
        <v>3095</v>
      </c>
      <c r="B1096" t="s">
        <v>1127</v>
      </c>
      <c r="C1096" t="s">
        <v>33</v>
      </c>
      <c r="D1096" t="s">
        <v>21</v>
      </c>
      <c r="E1096">
        <v>45804</v>
      </c>
      <c r="F1096">
        <v>58889</v>
      </c>
      <c r="G1096">
        <v>54062</v>
      </c>
      <c r="H1096" t="s">
        <v>31</v>
      </c>
      <c r="I1096" t="str" cm="1">
        <f t="array" ref="I1096">_xlfn.IFS(G1096=0,"Not Paid",G1096=F1096,"Fully Paid",G1096&lt;F1096,"Partially Paid")</f>
        <v>Partially Paid</v>
      </c>
      <c r="J1096" t="str">
        <f t="shared" si="17"/>
        <v>YES</v>
      </c>
    </row>
    <row r="1097" spans="1:10" x14ac:dyDescent="0.35">
      <c r="A1097">
        <v>3096</v>
      </c>
      <c r="B1097" t="s">
        <v>1128</v>
      </c>
      <c r="C1097" t="s">
        <v>45</v>
      </c>
      <c r="D1097" t="s">
        <v>18</v>
      </c>
      <c r="E1097">
        <v>45683</v>
      </c>
      <c r="F1097">
        <v>21200</v>
      </c>
      <c r="G1097">
        <v>6977</v>
      </c>
      <c r="H1097" t="s">
        <v>15</v>
      </c>
      <c r="I1097" t="str" cm="1">
        <f t="array" ref="I1097">_xlfn.IFS(G1097=0,"Not Paid",G1097=F1097,"Fully Paid",G1097&lt;F1097,"Partially Paid")</f>
        <v>Partially Paid</v>
      </c>
      <c r="J1097" t="str">
        <f t="shared" si="17"/>
        <v>NO</v>
      </c>
    </row>
    <row r="1098" spans="1:10" x14ac:dyDescent="0.35">
      <c r="A1098">
        <v>3097</v>
      </c>
      <c r="B1098" t="s">
        <v>1129</v>
      </c>
      <c r="C1098" t="s">
        <v>24</v>
      </c>
      <c r="D1098" t="s">
        <v>37</v>
      </c>
      <c r="E1098">
        <v>45965</v>
      </c>
      <c r="F1098">
        <v>35721</v>
      </c>
      <c r="G1098">
        <v>22220</v>
      </c>
      <c r="H1098" t="s">
        <v>29</v>
      </c>
      <c r="I1098" t="str" cm="1">
        <f t="array" ref="I1098">_xlfn.IFS(G1098=0,"Not Paid",G1098=F1098,"Fully Paid",G1098&lt;F1098,"Partially Paid")</f>
        <v>Partially Paid</v>
      </c>
      <c r="J1098" t="str">
        <f t="shared" si="17"/>
        <v>NO</v>
      </c>
    </row>
    <row r="1099" spans="1:10" x14ac:dyDescent="0.35">
      <c r="A1099">
        <v>3098</v>
      </c>
      <c r="B1099" t="s">
        <v>1130</v>
      </c>
      <c r="C1099" t="s">
        <v>24</v>
      </c>
      <c r="D1099" t="s">
        <v>37</v>
      </c>
      <c r="E1099">
        <v>45750</v>
      </c>
      <c r="F1099">
        <v>39238</v>
      </c>
      <c r="G1099">
        <v>25539</v>
      </c>
      <c r="H1099" t="s">
        <v>11</v>
      </c>
      <c r="I1099" t="str" cm="1">
        <f t="array" ref="I1099">_xlfn.IFS(G1099=0,"Not Paid",G1099=F1099,"Fully Paid",G1099&lt;F1099,"Partially Paid")</f>
        <v>Partially Paid</v>
      </c>
      <c r="J1099" t="str">
        <f t="shared" si="17"/>
        <v>NO</v>
      </c>
    </row>
    <row r="1100" spans="1:10" x14ac:dyDescent="0.35">
      <c r="A1100">
        <v>3099</v>
      </c>
      <c r="B1100" t="s">
        <v>1131</v>
      </c>
      <c r="C1100" t="s">
        <v>9</v>
      </c>
      <c r="D1100" t="s">
        <v>21</v>
      </c>
      <c r="E1100">
        <v>45889</v>
      </c>
      <c r="F1100">
        <v>31087</v>
      </c>
      <c r="G1100">
        <v>26563</v>
      </c>
      <c r="H1100" t="s">
        <v>38</v>
      </c>
      <c r="I1100" t="str" cm="1">
        <f t="array" ref="I1100">_xlfn.IFS(G1100=0,"Not Paid",G1100=F1100,"Fully Paid",G1100&lt;F1100,"Partially Paid")</f>
        <v>Partially Paid</v>
      </c>
      <c r="J1100" t="str">
        <f t="shared" si="17"/>
        <v>NO</v>
      </c>
    </row>
    <row r="1101" spans="1:10" x14ac:dyDescent="0.35">
      <c r="A1101">
        <v>3100</v>
      </c>
      <c r="B1101" t="s">
        <v>1132</v>
      </c>
      <c r="C1101" t="s">
        <v>24</v>
      </c>
      <c r="D1101" t="s">
        <v>21</v>
      </c>
      <c r="E1101">
        <v>45678</v>
      </c>
      <c r="F1101">
        <v>50816</v>
      </c>
      <c r="G1101">
        <v>41317</v>
      </c>
      <c r="H1101" t="s">
        <v>15</v>
      </c>
      <c r="I1101" t="str" cm="1">
        <f t="array" ref="I1101">_xlfn.IFS(G1101=0,"Not Paid",G1101=F1101,"Fully Paid",G1101&lt;F1101,"Partially Paid")</f>
        <v>Partially Paid</v>
      </c>
      <c r="J1101" t="str">
        <f t="shared" si="17"/>
        <v>YES</v>
      </c>
    </row>
    <row r="1102" spans="1:10" x14ac:dyDescent="0.35">
      <c r="A1102">
        <v>3101</v>
      </c>
      <c r="B1102" t="s">
        <v>1133</v>
      </c>
      <c r="C1102" t="s">
        <v>9</v>
      </c>
      <c r="D1102" t="s">
        <v>27</v>
      </c>
      <c r="E1102">
        <v>45964</v>
      </c>
      <c r="F1102">
        <v>43408</v>
      </c>
      <c r="G1102">
        <v>41124</v>
      </c>
      <c r="H1102" t="s">
        <v>29</v>
      </c>
      <c r="I1102" t="str" cm="1">
        <f t="array" ref="I1102">_xlfn.IFS(G1102=0,"Not Paid",G1102=F1102,"Fully Paid",G1102&lt;F1102,"Partially Paid")</f>
        <v>Partially Paid</v>
      </c>
      <c r="J1102" t="str">
        <f t="shared" si="17"/>
        <v>NO</v>
      </c>
    </row>
    <row r="1103" spans="1:10" x14ac:dyDescent="0.35">
      <c r="A1103">
        <v>3102</v>
      </c>
      <c r="B1103" t="s">
        <v>1134</v>
      </c>
      <c r="C1103" t="s">
        <v>9</v>
      </c>
      <c r="D1103" t="s">
        <v>21</v>
      </c>
      <c r="E1103">
        <v>45695</v>
      </c>
      <c r="F1103">
        <v>59740</v>
      </c>
      <c r="G1103">
        <v>54427</v>
      </c>
      <c r="H1103" t="s">
        <v>77</v>
      </c>
      <c r="I1103" t="str" cm="1">
        <f t="array" ref="I1103">_xlfn.IFS(G1103=0,"Not Paid",G1103=F1103,"Fully Paid",G1103&lt;F1103,"Partially Paid")</f>
        <v>Partially Paid</v>
      </c>
      <c r="J1103" t="str">
        <f t="shared" si="17"/>
        <v>YES</v>
      </c>
    </row>
    <row r="1104" spans="1:10" x14ac:dyDescent="0.35">
      <c r="A1104">
        <v>3103</v>
      </c>
      <c r="B1104" t="s">
        <v>1135</v>
      </c>
      <c r="C1104" t="s">
        <v>45</v>
      </c>
      <c r="D1104" t="s">
        <v>14</v>
      </c>
      <c r="E1104">
        <v>45933</v>
      </c>
      <c r="F1104">
        <v>20136</v>
      </c>
      <c r="G1104">
        <v>6538</v>
      </c>
      <c r="H1104" t="s">
        <v>22</v>
      </c>
      <c r="I1104" t="str" cm="1">
        <f t="array" ref="I1104">_xlfn.IFS(G1104=0,"Not Paid",G1104=F1104,"Fully Paid",G1104&lt;F1104,"Partially Paid")</f>
        <v>Partially Paid</v>
      </c>
      <c r="J1104" t="str">
        <f t="shared" si="17"/>
        <v>NO</v>
      </c>
    </row>
    <row r="1105" spans="1:10" x14ac:dyDescent="0.35">
      <c r="A1105">
        <v>3104</v>
      </c>
      <c r="B1105" t="s">
        <v>1136</v>
      </c>
      <c r="C1105" t="s">
        <v>24</v>
      </c>
      <c r="D1105" t="s">
        <v>18</v>
      </c>
      <c r="E1105">
        <v>45814</v>
      </c>
      <c r="F1105">
        <v>37413</v>
      </c>
      <c r="G1105">
        <v>24355</v>
      </c>
      <c r="H1105" t="s">
        <v>67</v>
      </c>
      <c r="I1105" t="str" cm="1">
        <f t="array" ref="I1105">_xlfn.IFS(G1105=0,"Not Paid",G1105=F1105,"Fully Paid",G1105&lt;F1105,"Partially Paid")</f>
        <v>Partially Paid</v>
      </c>
      <c r="J1105" t="str">
        <f t="shared" si="17"/>
        <v>NO</v>
      </c>
    </row>
    <row r="1106" spans="1:10" x14ac:dyDescent="0.35">
      <c r="A1106">
        <v>3105</v>
      </c>
      <c r="B1106" t="s">
        <v>1137</v>
      </c>
      <c r="C1106" t="s">
        <v>9</v>
      </c>
      <c r="D1106" t="s">
        <v>21</v>
      </c>
      <c r="E1106">
        <v>45836</v>
      </c>
      <c r="F1106">
        <v>38978</v>
      </c>
      <c r="G1106">
        <v>38221</v>
      </c>
      <c r="H1106" t="s">
        <v>67</v>
      </c>
      <c r="I1106" t="str" cm="1">
        <f t="array" ref="I1106">_xlfn.IFS(G1106=0,"Not Paid",G1106=F1106,"Fully Paid",G1106&lt;F1106,"Partially Paid")</f>
        <v>Partially Paid</v>
      </c>
      <c r="J1106" t="str">
        <f t="shared" si="17"/>
        <v>NO</v>
      </c>
    </row>
    <row r="1107" spans="1:10" x14ac:dyDescent="0.35">
      <c r="A1107">
        <v>3106</v>
      </c>
      <c r="B1107" t="s">
        <v>1138</v>
      </c>
      <c r="C1107" t="s">
        <v>13</v>
      </c>
      <c r="D1107" t="s">
        <v>10</v>
      </c>
      <c r="E1107">
        <v>45789</v>
      </c>
      <c r="F1107">
        <v>20661</v>
      </c>
      <c r="G1107">
        <v>8238</v>
      </c>
      <c r="H1107" t="s">
        <v>31</v>
      </c>
      <c r="I1107" t="str" cm="1">
        <f t="array" ref="I1107">_xlfn.IFS(G1107=0,"Not Paid",G1107=F1107,"Fully Paid",G1107&lt;F1107,"Partially Paid")</f>
        <v>Partially Paid</v>
      </c>
      <c r="J1107" t="str">
        <f t="shared" si="17"/>
        <v>NO</v>
      </c>
    </row>
    <row r="1108" spans="1:10" x14ac:dyDescent="0.35">
      <c r="A1108">
        <v>3107</v>
      </c>
      <c r="B1108" t="s">
        <v>1139</v>
      </c>
      <c r="C1108" t="s">
        <v>17</v>
      </c>
      <c r="D1108" t="s">
        <v>27</v>
      </c>
      <c r="E1108">
        <v>45968</v>
      </c>
      <c r="F1108">
        <v>55240</v>
      </c>
      <c r="G1108">
        <v>50353</v>
      </c>
      <c r="H1108" t="s">
        <v>29</v>
      </c>
      <c r="I1108" t="str" cm="1">
        <f t="array" ref="I1108">_xlfn.IFS(G1108=0,"Not Paid",G1108=F1108,"Fully Paid",G1108&lt;F1108,"Partially Paid")</f>
        <v>Partially Paid</v>
      </c>
      <c r="J1108" t="str">
        <f t="shared" si="17"/>
        <v>YES</v>
      </c>
    </row>
    <row r="1109" spans="1:10" x14ac:dyDescent="0.35">
      <c r="A1109">
        <v>3108</v>
      </c>
      <c r="B1109" t="s">
        <v>1140</v>
      </c>
      <c r="C1109" t="s">
        <v>33</v>
      </c>
      <c r="D1109" t="s">
        <v>10</v>
      </c>
      <c r="E1109">
        <v>46005</v>
      </c>
      <c r="F1109">
        <v>47253</v>
      </c>
      <c r="G1109">
        <v>43399</v>
      </c>
      <c r="H1109" t="s">
        <v>25</v>
      </c>
      <c r="I1109" t="str" cm="1">
        <f t="array" ref="I1109">_xlfn.IFS(G1109=0,"Not Paid",G1109=F1109,"Fully Paid",G1109&lt;F1109,"Partially Paid")</f>
        <v>Partially Paid</v>
      </c>
      <c r="J1109" t="str">
        <f t="shared" si="17"/>
        <v>NO</v>
      </c>
    </row>
    <row r="1110" spans="1:10" x14ac:dyDescent="0.35">
      <c r="A1110">
        <v>3109</v>
      </c>
      <c r="B1110" t="s">
        <v>1141</v>
      </c>
      <c r="C1110" t="s">
        <v>33</v>
      </c>
      <c r="D1110" t="s">
        <v>37</v>
      </c>
      <c r="E1110">
        <v>45685</v>
      </c>
      <c r="F1110">
        <v>46884</v>
      </c>
      <c r="G1110">
        <v>34426</v>
      </c>
      <c r="H1110" t="s">
        <v>15</v>
      </c>
      <c r="I1110" t="str" cm="1">
        <f t="array" ref="I1110">_xlfn.IFS(G1110=0,"Not Paid",G1110=F1110,"Fully Paid",G1110&lt;F1110,"Partially Paid")</f>
        <v>Partially Paid</v>
      </c>
      <c r="J1110" t="str">
        <f t="shared" si="17"/>
        <v>NO</v>
      </c>
    </row>
    <row r="1111" spans="1:10" x14ac:dyDescent="0.35">
      <c r="A1111">
        <v>3110</v>
      </c>
      <c r="B1111" t="s">
        <v>1142</v>
      </c>
      <c r="C1111" t="s">
        <v>45</v>
      </c>
      <c r="D1111" t="s">
        <v>18</v>
      </c>
      <c r="E1111">
        <v>45917</v>
      </c>
      <c r="F1111">
        <v>52854</v>
      </c>
      <c r="G1111">
        <v>42456</v>
      </c>
      <c r="H1111" t="s">
        <v>53</v>
      </c>
      <c r="I1111" t="str" cm="1">
        <f t="array" ref="I1111">_xlfn.IFS(G1111=0,"Not Paid",G1111=F1111,"Fully Paid",G1111&lt;F1111,"Partially Paid")</f>
        <v>Partially Paid</v>
      </c>
      <c r="J1111" t="str">
        <f t="shared" si="17"/>
        <v>YES</v>
      </c>
    </row>
    <row r="1112" spans="1:10" x14ac:dyDescent="0.35">
      <c r="A1112">
        <v>3111</v>
      </c>
      <c r="B1112" t="s">
        <v>1143</v>
      </c>
      <c r="C1112" t="s">
        <v>24</v>
      </c>
      <c r="D1112" t="s">
        <v>21</v>
      </c>
      <c r="E1112">
        <v>45733</v>
      </c>
      <c r="F1112">
        <v>30704</v>
      </c>
      <c r="G1112">
        <v>16168</v>
      </c>
      <c r="H1112" t="s">
        <v>19</v>
      </c>
      <c r="I1112" t="str" cm="1">
        <f t="array" ref="I1112">_xlfn.IFS(G1112=0,"Not Paid",G1112=F1112,"Fully Paid",G1112&lt;F1112,"Partially Paid")</f>
        <v>Partially Paid</v>
      </c>
      <c r="J1112" t="str">
        <f t="shared" si="17"/>
        <v>NO</v>
      </c>
    </row>
    <row r="1113" spans="1:10" x14ac:dyDescent="0.35">
      <c r="A1113">
        <v>3112</v>
      </c>
      <c r="B1113" t="s">
        <v>1144</v>
      </c>
      <c r="C1113" t="s">
        <v>24</v>
      </c>
      <c r="D1113" t="s">
        <v>10</v>
      </c>
      <c r="E1113">
        <v>45724</v>
      </c>
      <c r="F1113">
        <v>58987</v>
      </c>
      <c r="G1113">
        <v>55429</v>
      </c>
      <c r="H1113" t="s">
        <v>19</v>
      </c>
      <c r="I1113" t="str" cm="1">
        <f t="array" ref="I1113">_xlfn.IFS(G1113=0,"Not Paid",G1113=F1113,"Fully Paid",G1113&lt;F1113,"Partially Paid")</f>
        <v>Partially Paid</v>
      </c>
      <c r="J1113" t="str">
        <f t="shared" si="17"/>
        <v>YES</v>
      </c>
    </row>
    <row r="1114" spans="1:10" x14ac:dyDescent="0.35">
      <c r="A1114">
        <v>3113</v>
      </c>
      <c r="B1114" t="s">
        <v>1145</v>
      </c>
      <c r="C1114" t="s">
        <v>9</v>
      </c>
      <c r="D1114" t="s">
        <v>18</v>
      </c>
      <c r="E1114">
        <v>45999</v>
      </c>
      <c r="F1114">
        <v>44527</v>
      </c>
      <c r="G1114">
        <v>34755</v>
      </c>
      <c r="H1114" t="s">
        <v>25</v>
      </c>
      <c r="I1114" t="str" cm="1">
        <f t="array" ref="I1114">_xlfn.IFS(G1114=0,"Not Paid",G1114=F1114,"Fully Paid",G1114&lt;F1114,"Partially Paid")</f>
        <v>Partially Paid</v>
      </c>
      <c r="J1114" t="str">
        <f t="shared" si="17"/>
        <v>NO</v>
      </c>
    </row>
    <row r="1115" spans="1:10" x14ac:dyDescent="0.35">
      <c r="A1115">
        <v>3114</v>
      </c>
      <c r="B1115" t="s">
        <v>1146</v>
      </c>
      <c r="C1115" t="s">
        <v>56</v>
      </c>
      <c r="D1115" t="s">
        <v>37</v>
      </c>
      <c r="E1115">
        <v>45851</v>
      </c>
      <c r="F1115">
        <v>36322</v>
      </c>
      <c r="G1115">
        <v>35361</v>
      </c>
      <c r="H1115" t="s">
        <v>43</v>
      </c>
      <c r="I1115" t="str" cm="1">
        <f t="array" ref="I1115">_xlfn.IFS(G1115=0,"Not Paid",G1115=F1115,"Fully Paid",G1115&lt;F1115,"Partially Paid")</f>
        <v>Partially Paid</v>
      </c>
      <c r="J1115" t="str">
        <f t="shared" si="17"/>
        <v>NO</v>
      </c>
    </row>
    <row r="1116" spans="1:10" x14ac:dyDescent="0.35">
      <c r="A1116">
        <v>3115</v>
      </c>
      <c r="B1116" t="s">
        <v>1147</v>
      </c>
      <c r="C1116" t="s">
        <v>9</v>
      </c>
      <c r="D1116" t="s">
        <v>14</v>
      </c>
      <c r="E1116">
        <v>45819</v>
      </c>
      <c r="F1116">
        <v>26968</v>
      </c>
      <c r="G1116">
        <v>23121</v>
      </c>
      <c r="H1116" t="s">
        <v>67</v>
      </c>
      <c r="I1116" t="str" cm="1">
        <f t="array" ref="I1116">_xlfn.IFS(G1116=0,"Not Paid",G1116=F1116,"Fully Paid",G1116&lt;F1116,"Partially Paid")</f>
        <v>Partially Paid</v>
      </c>
      <c r="J1116" t="str">
        <f t="shared" si="17"/>
        <v>NO</v>
      </c>
    </row>
    <row r="1117" spans="1:10" x14ac:dyDescent="0.35">
      <c r="A1117">
        <v>3116</v>
      </c>
      <c r="B1117" t="s">
        <v>1148</v>
      </c>
      <c r="C1117" t="s">
        <v>17</v>
      </c>
      <c r="D1117" t="s">
        <v>27</v>
      </c>
      <c r="E1117">
        <v>46004</v>
      </c>
      <c r="F1117">
        <v>47518</v>
      </c>
      <c r="G1117">
        <v>40792</v>
      </c>
      <c r="H1117" t="s">
        <v>25</v>
      </c>
      <c r="I1117" t="str" cm="1">
        <f t="array" ref="I1117">_xlfn.IFS(G1117=0,"Not Paid",G1117=F1117,"Fully Paid",G1117&lt;F1117,"Partially Paid")</f>
        <v>Partially Paid</v>
      </c>
      <c r="J1117" t="str">
        <f t="shared" si="17"/>
        <v>NO</v>
      </c>
    </row>
    <row r="1118" spans="1:10" x14ac:dyDescent="0.35">
      <c r="A1118">
        <v>3117</v>
      </c>
      <c r="B1118" t="s">
        <v>1149</v>
      </c>
      <c r="C1118" t="s">
        <v>13</v>
      </c>
      <c r="D1118" t="s">
        <v>18</v>
      </c>
      <c r="E1118">
        <v>46018</v>
      </c>
      <c r="F1118">
        <v>47886</v>
      </c>
      <c r="G1118">
        <v>44311</v>
      </c>
      <c r="H1118" t="s">
        <v>25</v>
      </c>
      <c r="I1118" t="str" cm="1">
        <f t="array" ref="I1118">_xlfn.IFS(G1118=0,"Not Paid",G1118=F1118,"Fully Paid",G1118&lt;F1118,"Partially Paid")</f>
        <v>Partially Paid</v>
      </c>
      <c r="J1118" t="str">
        <f t="shared" si="17"/>
        <v>NO</v>
      </c>
    </row>
    <row r="1119" spans="1:10" x14ac:dyDescent="0.35">
      <c r="A1119">
        <v>3118</v>
      </c>
      <c r="B1119" t="s">
        <v>1150</v>
      </c>
      <c r="C1119" t="s">
        <v>33</v>
      </c>
      <c r="D1119" t="s">
        <v>18</v>
      </c>
      <c r="E1119">
        <v>45914</v>
      </c>
      <c r="F1119">
        <v>21700</v>
      </c>
      <c r="G1119">
        <v>12633</v>
      </c>
      <c r="H1119" t="s">
        <v>53</v>
      </c>
      <c r="I1119" t="str" cm="1">
        <f t="array" ref="I1119">_xlfn.IFS(G1119=0,"Not Paid",G1119=F1119,"Fully Paid",G1119&lt;F1119,"Partially Paid")</f>
        <v>Partially Paid</v>
      </c>
      <c r="J1119" t="str">
        <f t="shared" si="17"/>
        <v>NO</v>
      </c>
    </row>
    <row r="1120" spans="1:10" x14ac:dyDescent="0.35">
      <c r="A1120">
        <v>3119</v>
      </c>
      <c r="B1120" t="s">
        <v>1151</v>
      </c>
      <c r="C1120" t="s">
        <v>9</v>
      </c>
      <c r="D1120" t="s">
        <v>14</v>
      </c>
      <c r="E1120">
        <v>45729</v>
      </c>
      <c r="F1120">
        <v>48246</v>
      </c>
      <c r="G1120">
        <v>45828</v>
      </c>
      <c r="H1120" t="s">
        <v>19</v>
      </c>
      <c r="I1120" t="str" cm="1">
        <f t="array" ref="I1120">_xlfn.IFS(G1120=0,"Not Paid",G1120=F1120,"Fully Paid",G1120&lt;F1120,"Partially Paid")</f>
        <v>Partially Paid</v>
      </c>
      <c r="J1120" t="str">
        <f t="shared" si="17"/>
        <v>NO</v>
      </c>
    </row>
    <row r="1121" spans="1:10" x14ac:dyDescent="0.35">
      <c r="A1121">
        <v>3120</v>
      </c>
      <c r="B1121" t="s">
        <v>1152</v>
      </c>
      <c r="C1121" t="s">
        <v>56</v>
      </c>
      <c r="D1121" t="s">
        <v>18</v>
      </c>
      <c r="E1121">
        <v>45744</v>
      </c>
      <c r="F1121">
        <v>55468</v>
      </c>
      <c r="G1121">
        <v>51270</v>
      </c>
      <c r="H1121" t="s">
        <v>19</v>
      </c>
      <c r="I1121" t="str" cm="1">
        <f t="array" ref="I1121">_xlfn.IFS(G1121=0,"Not Paid",G1121=F1121,"Fully Paid",G1121&lt;F1121,"Partially Paid")</f>
        <v>Partially Paid</v>
      </c>
      <c r="J1121" t="str">
        <f t="shared" si="17"/>
        <v>YES</v>
      </c>
    </row>
    <row r="1122" spans="1:10" x14ac:dyDescent="0.35">
      <c r="A1122">
        <v>3121</v>
      </c>
      <c r="B1122" t="s">
        <v>1153</v>
      </c>
      <c r="C1122" t="s">
        <v>56</v>
      </c>
      <c r="D1122" t="s">
        <v>37</v>
      </c>
      <c r="E1122">
        <v>45919</v>
      </c>
      <c r="F1122">
        <v>43199</v>
      </c>
      <c r="G1122">
        <v>42198</v>
      </c>
      <c r="H1122" t="s">
        <v>53</v>
      </c>
      <c r="I1122" t="str" cm="1">
        <f t="array" ref="I1122">_xlfn.IFS(G1122=0,"Not Paid",G1122=F1122,"Fully Paid",G1122&lt;F1122,"Partially Paid")</f>
        <v>Partially Paid</v>
      </c>
      <c r="J1122" t="str">
        <f t="shared" si="17"/>
        <v>NO</v>
      </c>
    </row>
    <row r="1123" spans="1:10" x14ac:dyDescent="0.35">
      <c r="A1123">
        <v>3122</v>
      </c>
      <c r="B1123" t="s">
        <v>1154</v>
      </c>
      <c r="C1123" t="s">
        <v>9</v>
      </c>
      <c r="D1123" t="s">
        <v>37</v>
      </c>
      <c r="E1123">
        <v>45871</v>
      </c>
      <c r="F1123">
        <v>52115</v>
      </c>
      <c r="G1123">
        <v>46871</v>
      </c>
      <c r="H1123" t="s">
        <v>38</v>
      </c>
      <c r="I1123" t="str" cm="1">
        <f t="array" ref="I1123">_xlfn.IFS(G1123=0,"Not Paid",G1123=F1123,"Fully Paid",G1123&lt;F1123,"Partially Paid")</f>
        <v>Partially Paid</v>
      </c>
      <c r="J1123" t="str">
        <f t="shared" si="17"/>
        <v>YES</v>
      </c>
    </row>
    <row r="1124" spans="1:10" x14ac:dyDescent="0.35">
      <c r="A1124">
        <v>3123</v>
      </c>
      <c r="B1124" t="s">
        <v>1155</v>
      </c>
      <c r="C1124" t="s">
        <v>45</v>
      </c>
      <c r="D1124" t="s">
        <v>14</v>
      </c>
      <c r="E1124">
        <v>45810</v>
      </c>
      <c r="F1124">
        <v>25520</v>
      </c>
      <c r="G1124">
        <v>13944</v>
      </c>
      <c r="H1124" t="s">
        <v>67</v>
      </c>
      <c r="I1124" t="str" cm="1">
        <f t="array" ref="I1124">_xlfn.IFS(G1124=0,"Not Paid",G1124=F1124,"Fully Paid",G1124&lt;F1124,"Partially Paid")</f>
        <v>Partially Paid</v>
      </c>
      <c r="J1124" t="str">
        <f t="shared" si="17"/>
        <v>NO</v>
      </c>
    </row>
    <row r="1125" spans="1:10" x14ac:dyDescent="0.35">
      <c r="A1125">
        <v>3124</v>
      </c>
      <c r="B1125" t="s">
        <v>1156</v>
      </c>
      <c r="C1125" t="s">
        <v>33</v>
      </c>
      <c r="D1125" t="s">
        <v>27</v>
      </c>
      <c r="E1125">
        <v>45867</v>
      </c>
      <c r="F1125">
        <v>56455</v>
      </c>
      <c r="G1125">
        <v>49336</v>
      </c>
      <c r="H1125" t="s">
        <v>43</v>
      </c>
      <c r="I1125" t="str" cm="1">
        <f t="array" ref="I1125">_xlfn.IFS(G1125=0,"Not Paid",G1125=F1125,"Fully Paid",G1125&lt;F1125,"Partially Paid")</f>
        <v>Partially Paid</v>
      </c>
      <c r="J1125" t="str">
        <f t="shared" si="17"/>
        <v>YES</v>
      </c>
    </row>
    <row r="1126" spans="1:10" x14ac:dyDescent="0.35">
      <c r="A1126">
        <v>3125</v>
      </c>
      <c r="B1126" t="s">
        <v>1157</v>
      </c>
      <c r="C1126" t="s">
        <v>45</v>
      </c>
      <c r="D1126" t="s">
        <v>21</v>
      </c>
      <c r="E1126">
        <v>45718</v>
      </c>
      <c r="F1126">
        <v>40929</v>
      </c>
      <c r="G1126">
        <v>36863</v>
      </c>
      <c r="H1126" t="s">
        <v>19</v>
      </c>
      <c r="I1126" t="str" cm="1">
        <f t="array" ref="I1126">_xlfn.IFS(G1126=0,"Not Paid",G1126=F1126,"Fully Paid",G1126&lt;F1126,"Partially Paid")</f>
        <v>Partially Paid</v>
      </c>
      <c r="J1126" t="str">
        <f t="shared" si="17"/>
        <v>NO</v>
      </c>
    </row>
    <row r="1127" spans="1:10" x14ac:dyDescent="0.35">
      <c r="A1127">
        <v>3126</v>
      </c>
      <c r="B1127" t="s">
        <v>1158</v>
      </c>
      <c r="C1127" t="s">
        <v>13</v>
      </c>
      <c r="D1127" t="s">
        <v>10</v>
      </c>
      <c r="E1127">
        <v>45925</v>
      </c>
      <c r="F1127">
        <v>34955</v>
      </c>
      <c r="G1127">
        <v>32110</v>
      </c>
      <c r="H1127" t="s">
        <v>53</v>
      </c>
      <c r="I1127" t="str" cm="1">
        <f t="array" ref="I1127">_xlfn.IFS(G1127=0,"Not Paid",G1127=F1127,"Fully Paid",G1127&lt;F1127,"Partially Paid")</f>
        <v>Partially Paid</v>
      </c>
      <c r="J1127" t="str">
        <f t="shared" si="17"/>
        <v>NO</v>
      </c>
    </row>
    <row r="1128" spans="1:10" x14ac:dyDescent="0.35">
      <c r="A1128">
        <v>3127</v>
      </c>
      <c r="B1128" t="s">
        <v>1159</v>
      </c>
      <c r="C1128" t="s">
        <v>56</v>
      </c>
      <c r="D1128" t="s">
        <v>21</v>
      </c>
      <c r="E1128">
        <v>45919</v>
      </c>
      <c r="F1128">
        <v>33917</v>
      </c>
      <c r="G1128">
        <v>24244</v>
      </c>
      <c r="H1128" t="s">
        <v>53</v>
      </c>
      <c r="I1128" t="str" cm="1">
        <f t="array" ref="I1128">_xlfn.IFS(G1128=0,"Not Paid",G1128=F1128,"Fully Paid",G1128&lt;F1128,"Partially Paid")</f>
        <v>Partially Paid</v>
      </c>
      <c r="J1128" t="str">
        <f t="shared" si="17"/>
        <v>NO</v>
      </c>
    </row>
    <row r="1129" spans="1:10" x14ac:dyDescent="0.35">
      <c r="A1129">
        <v>3128</v>
      </c>
      <c r="B1129" t="s">
        <v>1160</v>
      </c>
      <c r="C1129" t="s">
        <v>56</v>
      </c>
      <c r="D1129" t="s">
        <v>18</v>
      </c>
      <c r="E1129">
        <v>45875</v>
      </c>
      <c r="F1129">
        <v>24757</v>
      </c>
      <c r="G1129">
        <v>13264</v>
      </c>
      <c r="H1129" t="s">
        <v>38</v>
      </c>
      <c r="I1129" t="str" cm="1">
        <f t="array" ref="I1129">_xlfn.IFS(G1129=0,"Not Paid",G1129=F1129,"Fully Paid",G1129&lt;F1129,"Partially Paid")</f>
        <v>Partially Paid</v>
      </c>
      <c r="J1129" t="str">
        <f t="shared" si="17"/>
        <v>NO</v>
      </c>
    </row>
    <row r="1130" spans="1:10" x14ac:dyDescent="0.35">
      <c r="A1130">
        <v>3129</v>
      </c>
      <c r="B1130" t="s">
        <v>1161</v>
      </c>
      <c r="C1130" t="s">
        <v>17</v>
      </c>
      <c r="D1130" t="s">
        <v>10</v>
      </c>
      <c r="E1130">
        <v>45940</v>
      </c>
      <c r="F1130">
        <v>33045</v>
      </c>
      <c r="G1130">
        <v>24196</v>
      </c>
      <c r="H1130" t="s">
        <v>22</v>
      </c>
      <c r="I1130" t="str" cm="1">
        <f t="array" ref="I1130">_xlfn.IFS(G1130=0,"Not Paid",G1130=F1130,"Fully Paid",G1130&lt;F1130,"Partially Paid")</f>
        <v>Partially Paid</v>
      </c>
      <c r="J1130" t="str">
        <f t="shared" si="17"/>
        <v>NO</v>
      </c>
    </row>
    <row r="1131" spans="1:10" x14ac:dyDescent="0.35">
      <c r="A1131">
        <v>3130</v>
      </c>
      <c r="B1131" t="s">
        <v>1162</v>
      </c>
      <c r="C1131" t="s">
        <v>13</v>
      </c>
      <c r="D1131" t="s">
        <v>14</v>
      </c>
      <c r="E1131">
        <v>45793</v>
      </c>
      <c r="F1131">
        <v>24733</v>
      </c>
      <c r="G1131">
        <v>19417</v>
      </c>
      <c r="H1131" t="s">
        <v>31</v>
      </c>
      <c r="I1131" t="str" cm="1">
        <f t="array" ref="I1131">_xlfn.IFS(G1131=0,"Not Paid",G1131=F1131,"Fully Paid",G1131&lt;F1131,"Partially Paid")</f>
        <v>Partially Paid</v>
      </c>
      <c r="J1131" t="str">
        <f t="shared" si="17"/>
        <v>NO</v>
      </c>
    </row>
    <row r="1132" spans="1:10" x14ac:dyDescent="0.35">
      <c r="A1132">
        <v>3131</v>
      </c>
      <c r="B1132" t="s">
        <v>1163</v>
      </c>
      <c r="C1132" t="s">
        <v>56</v>
      </c>
      <c r="D1132" t="s">
        <v>14</v>
      </c>
      <c r="E1132">
        <v>46019</v>
      </c>
      <c r="F1132">
        <v>50954</v>
      </c>
      <c r="G1132">
        <v>39982</v>
      </c>
      <c r="H1132" t="s">
        <v>25</v>
      </c>
      <c r="I1132" t="str" cm="1">
        <f t="array" ref="I1132">_xlfn.IFS(G1132=0,"Not Paid",G1132=F1132,"Fully Paid",G1132&lt;F1132,"Partially Paid")</f>
        <v>Partially Paid</v>
      </c>
      <c r="J1132" t="str">
        <f t="shared" si="17"/>
        <v>YES</v>
      </c>
    </row>
    <row r="1133" spans="1:10" x14ac:dyDescent="0.35">
      <c r="A1133">
        <v>3132</v>
      </c>
      <c r="B1133" t="s">
        <v>1164</v>
      </c>
      <c r="C1133" t="s">
        <v>13</v>
      </c>
      <c r="D1133" t="s">
        <v>27</v>
      </c>
      <c r="E1133">
        <v>45750</v>
      </c>
      <c r="F1133">
        <v>51135</v>
      </c>
      <c r="G1133">
        <v>50713</v>
      </c>
      <c r="H1133" t="s">
        <v>11</v>
      </c>
      <c r="I1133" t="str" cm="1">
        <f t="array" ref="I1133">_xlfn.IFS(G1133=0,"Not Paid",G1133=F1133,"Fully Paid",G1133&lt;F1133,"Partially Paid")</f>
        <v>Partially Paid</v>
      </c>
      <c r="J1133" t="str">
        <f t="shared" si="17"/>
        <v>YES</v>
      </c>
    </row>
    <row r="1134" spans="1:10" x14ac:dyDescent="0.35">
      <c r="A1134">
        <v>3133</v>
      </c>
      <c r="B1134" t="s">
        <v>1165</v>
      </c>
      <c r="C1134" t="s">
        <v>33</v>
      </c>
      <c r="D1134" t="s">
        <v>10</v>
      </c>
      <c r="E1134">
        <v>45766</v>
      </c>
      <c r="F1134">
        <v>27081</v>
      </c>
      <c r="G1134">
        <v>20366</v>
      </c>
      <c r="H1134" t="s">
        <v>11</v>
      </c>
      <c r="I1134" t="str" cm="1">
        <f t="array" ref="I1134">_xlfn.IFS(G1134=0,"Not Paid",G1134=F1134,"Fully Paid",G1134&lt;F1134,"Partially Paid")</f>
        <v>Partially Paid</v>
      </c>
      <c r="J1134" t="str">
        <f t="shared" si="17"/>
        <v>NO</v>
      </c>
    </row>
    <row r="1135" spans="1:10" x14ac:dyDescent="0.35">
      <c r="A1135">
        <v>3134</v>
      </c>
      <c r="B1135" t="s">
        <v>1166</v>
      </c>
      <c r="C1135" t="s">
        <v>24</v>
      </c>
      <c r="D1135" t="s">
        <v>37</v>
      </c>
      <c r="E1135">
        <v>45898</v>
      </c>
      <c r="F1135">
        <v>43501</v>
      </c>
      <c r="G1135">
        <v>31628</v>
      </c>
      <c r="H1135" t="s">
        <v>38</v>
      </c>
      <c r="I1135" t="str" cm="1">
        <f t="array" ref="I1135">_xlfn.IFS(G1135=0,"Not Paid",G1135=F1135,"Fully Paid",G1135&lt;F1135,"Partially Paid")</f>
        <v>Partially Paid</v>
      </c>
      <c r="J1135" t="str">
        <f t="shared" si="17"/>
        <v>NO</v>
      </c>
    </row>
    <row r="1136" spans="1:10" x14ac:dyDescent="0.35">
      <c r="A1136">
        <v>3135</v>
      </c>
      <c r="B1136" t="s">
        <v>1167</v>
      </c>
      <c r="C1136" t="s">
        <v>56</v>
      </c>
      <c r="D1136" t="s">
        <v>10</v>
      </c>
      <c r="E1136">
        <v>46012</v>
      </c>
      <c r="F1136">
        <v>41113</v>
      </c>
      <c r="G1136">
        <v>36847</v>
      </c>
      <c r="H1136" t="s">
        <v>25</v>
      </c>
      <c r="I1136" t="str" cm="1">
        <f t="array" ref="I1136">_xlfn.IFS(G1136=0,"Not Paid",G1136=F1136,"Fully Paid",G1136&lt;F1136,"Partially Paid")</f>
        <v>Partially Paid</v>
      </c>
      <c r="J1136" t="str">
        <f t="shared" si="17"/>
        <v>NO</v>
      </c>
    </row>
    <row r="1137" spans="1:10" x14ac:dyDescent="0.35">
      <c r="A1137">
        <v>3136</v>
      </c>
      <c r="B1137" t="s">
        <v>1168</v>
      </c>
      <c r="C1137" t="s">
        <v>17</v>
      </c>
      <c r="D1137" t="s">
        <v>18</v>
      </c>
      <c r="E1137">
        <v>45799</v>
      </c>
      <c r="F1137">
        <v>54441</v>
      </c>
      <c r="G1137">
        <v>46892</v>
      </c>
      <c r="H1137" t="s">
        <v>31</v>
      </c>
      <c r="I1137" t="str" cm="1">
        <f t="array" ref="I1137">_xlfn.IFS(G1137=0,"Not Paid",G1137=F1137,"Fully Paid",G1137&lt;F1137,"Partially Paid")</f>
        <v>Partially Paid</v>
      </c>
      <c r="J1137" t="str">
        <f t="shared" si="17"/>
        <v>YES</v>
      </c>
    </row>
    <row r="1138" spans="1:10" x14ac:dyDescent="0.35">
      <c r="A1138">
        <v>3137</v>
      </c>
      <c r="B1138" t="s">
        <v>1169</v>
      </c>
      <c r="C1138" t="s">
        <v>33</v>
      </c>
      <c r="D1138" t="s">
        <v>37</v>
      </c>
      <c r="E1138">
        <v>45948</v>
      </c>
      <c r="F1138">
        <v>44690</v>
      </c>
      <c r="G1138">
        <v>38374</v>
      </c>
      <c r="H1138" t="s">
        <v>22</v>
      </c>
      <c r="I1138" t="str" cm="1">
        <f t="array" ref="I1138">_xlfn.IFS(G1138=0,"Not Paid",G1138=F1138,"Fully Paid",G1138&lt;F1138,"Partially Paid")</f>
        <v>Partially Paid</v>
      </c>
      <c r="J1138" t="str">
        <f t="shared" si="17"/>
        <v>NO</v>
      </c>
    </row>
    <row r="1139" spans="1:10" x14ac:dyDescent="0.35">
      <c r="A1139">
        <v>3138</v>
      </c>
      <c r="B1139" t="s">
        <v>1170</v>
      </c>
      <c r="C1139" t="s">
        <v>9</v>
      </c>
      <c r="D1139" t="s">
        <v>14</v>
      </c>
      <c r="E1139">
        <v>45894</v>
      </c>
      <c r="F1139">
        <v>49345</v>
      </c>
      <c r="G1139">
        <v>46635</v>
      </c>
      <c r="H1139" t="s">
        <v>38</v>
      </c>
      <c r="I1139" t="str" cm="1">
        <f t="array" ref="I1139">_xlfn.IFS(G1139=0,"Not Paid",G1139=F1139,"Fully Paid",G1139&lt;F1139,"Partially Paid")</f>
        <v>Partially Paid</v>
      </c>
      <c r="J1139" t="str">
        <f t="shared" si="17"/>
        <v>NO</v>
      </c>
    </row>
    <row r="1140" spans="1:10" x14ac:dyDescent="0.35">
      <c r="A1140">
        <v>3139</v>
      </c>
      <c r="B1140" t="s">
        <v>1171</v>
      </c>
      <c r="C1140" t="s">
        <v>13</v>
      </c>
      <c r="D1140" t="s">
        <v>10</v>
      </c>
      <c r="E1140">
        <v>45997</v>
      </c>
      <c r="F1140">
        <v>46829</v>
      </c>
      <c r="G1140">
        <v>38185</v>
      </c>
      <c r="H1140" t="s">
        <v>25</v>
      </c>
      <c r="I1140" t="str" cm="1">
        <f t="array" ref="I1140">_xlfn.IFS(G1140=0,"Not Paid",G1140=F1140,"Fully Paid",G1140&lt;F1140,"Partially Paid")</f>
        <v>Partially Paid</v>
      </c>
      <c r="J1140" t="str">
        <f t="shared" si="17"/>
        <v>NO</v>
      </c>
    </row>
    <row r="1141" spans="1:10" x14ac:dyDescent="0.35">
      <c r="A1141">
        <v>3140</v>
      </c>
      <c r="B1141" t="s">
        <v>1172</v>
      </c>
      <c r="C1141" t="s">
        <v>9</v>
      </c>
      <c r="D1141" t="s">
        <v>21</v>
      </c>
      <c r="E1141">
        <v>45969</v>
      </c>
      <c r="F1141">
        <v>55062</v>
      </c>
      <c r="G1141">
        <v>44473</v>
      </c>
      <c r="H1141" t="s">
        <v>29</v>
      </c>
      <c r="I1141" t="str" cm="1">
        <f t="array" ref="I1141">_xlfn.IFS(G1141=0,"Not Paid",G1141=F1141,"Fully Paid",G1141&lt;F1141,"Partially Paid")</f>
        <v>Partially Paid</v>
      </c>
      <c r="J1141" t="str">
        <f t="shared" si="17"/>
        <v>YES</v>
      </c>
    </row>
    <row r="1142" spans="1:10" x14ac:dyDescent="0.35">
      <c r="A1142">
        <v>3141</v>
      </c>
      <c r="B1142" t="s">
        <v>1173</v>
      </c>
      <c r="C1142" t="s">
        <v>45</v>
      </c>
      <c r="D1142" t="s">
        <v>27</v>
      </c>
      <c r="E1142">
        <v>45834</v>
      </c>
      <c r="F1142">
        <v>23630</v>
      </c>
      <c r="G1142">
        <v>15561</v>
      </c>
      <c r="H1142" t="s">
        <v>67</v>
      </c>
      <c r="I1142" t="str" cm="1">
        <f t="array" ref="I1142">_xlfn.IFS(G1142=0,"Not Paid",G1142=F1142,"Fully Paid",G1142&lt;F1142,"Partially Paid")</f>
        <v>Partially Paid</v>
      </c>
      <c r="J1142" t="str">
        <f t="shared" si="17"/>
        <v>NO</v>
      </c>
    </row>
    <row r="1143" spans="1:10" x14ac:dyDescent="0.35">
      <c r="A1143">
        <v>3142</v>
      </c>
      <c r="B1143" t="s">
        <v>1174</v>
      </c>
      <c r="C1143" t="s">
        <v>33</v>
      </c>
      <c r="D1143" t="s">
        <v>21</v>
      </c>
      <c r="E1143">
        <v>45798</v>
      </c>
      <c r="F1143">
        <v>51870</v>
      </c>
      <c r="G1143">
        <v>41703</v>
      </c>
      <c r="H1143" t="s">
        <v>31</v>
      </c>
      <c r="I1143" t="str" cm="1">
        <f t="array" ref="I1143">_xlfn.IFS(G1143=0,"Not Paid",G1143=F1143,"Fully Paid",G1143&lt;F1143,"Partially Paid")</f>
        <v>Partially Paid</v>
      </c>
      <c r="J1143" t="str">
        <f t="shared" si="17"/>
        <v>YES</v>
      </c>
    </row>
    <row r="1144" spans="1:10" x14ac:dyDescent="0.35">
      <c r="A1144">
        <v>3143</v>
      </c>
      <c r="B1144" t="s">
        <v>1175</v>
      </c>
      <c r="C1144" t="s">
        <v>9</v>
      </c>
      <c r="D1144" t="s">
        <v>27</v>
      </c>
      <c r="E1144">
        <v>45846</v>
      </c>
      <c r="F1144">
        <v>23453</v>
      </c>
      <c r="G1144">
        <v>21796</v>
      </c>
      <c r="H1144" t="s">
        <v>43</v>
      </c>
      <c r="I1144" t="str" cm="1">
        <f t="array" ref="I1144">_xlfn.IFS(G1144=0,"Not Paid",G1144=F1144,"Fully Paid",G1144&lt;F1144,"Partially Paid")</f>
        <v>Partially Paid</v>
      </c>
      <c r="J1144" t="str">
        <f t="shared" si="17"/>
        <v>NO</v>
      </c>
    </row>
    <row r="1145" spans="1:10" x14ac:dyDescent="0.35">
      <c r="A1145">
        <v>3144</v>
      </c>
      <c r="B1145" t="s">
        <v>1176</v>
      </c>
      <c r="C1145" t="s">
        <v>56</v>
      </c>
      <c r="D1145" t="s">
        <v>18</v>
      </c>
      <c r="E1145">
        <v>45706</v>
      </c>
      <c r="F1145">
        <v>57275</v>
      </c>
      <c r="G1145">
        <v>54734</v>
      </c>
      <c r="H1145" t="s">
        <v>77</v>
      </c>
      <c r="I1145" t="str" cm="1">
        <f t="array" ref="I1145">_xlfn.IFS(G1145=0,"Not Paid",G1145=F1145,"Fully Paid",G1145&lt;F1145,"Partially Paid")</f>
        <v>Partially Paid</v>
      </c>
      <c r="J1145" t="str">
        <f t="shared" si="17"/>
        <v>YES</v>
      </c>
    </row>
    <row r="1146" spans="1:10" x14ac:dyDescent="0.35">
      <c r="A1146">
        <v>3145</v>
      </c>
      <c r="B1146" t="s">
        <v>1177</v>
      </c>
      <c r="C1146" t="s">
        <v>13</v>
      </c>
      <c r="D1146" t="s">
        <v>21</v>
      </c>
      <c r="E1146">
        <v>45959</v>
      </c>
      <c r="F1146">
        <v>58396</v>
      </c>
      <c r="G1146">
        <v>51633</v>
      </c>
      <c r="H1146" t="s">
        <v>22</v>
      </c>
      <c r="I1146" t="str" cm="1">
        <f t="array" ref="I1146">_xlfn.IFS(G1146=0,"Not Paid",G1146=F1146,"Fully Paid",G1146&lt;F1146,"Partially Paid")</f>
        <v>Partially Paid</v>
      </c>
      <c r="J1146" t="str">
        <f t="shared" si="17"/>
        <v>YES</v>
      </c>
    </row>
    <row r="1147" spans="1:10" x14ac:dyDescent="0.35">
      <c r="A1147">
        <v>3146</v>
      </c>
      <c r="B1147" t="s">
        <v>1178</v>
      </c>
      <c r="C1147" t="s">
        <v>24</v>
      </c>
      <c r="D1147" t="s">
        <v>10</v>
      </c>
      <c r="E1147">
        <v>45847</v>
      </c>
      <c r="F1147">
        <v>28328</v>
      </c>
      <c r="G1147">
        <v>25253</v>
      </c>
      <c r="H1147" t="s">
        <v>43</v>
      </c>
      <c r="I1147" t="str" cm="1">
        <f t="array" ref="I1147">_xlfn.IFS(G1147=0,"Not Paid",G1147=F1147,"Fully Paid",G1147&lt;F1147,"Partially Paid")</f>
        <v>Partially Paid</v>
      </c>
      <c r="J1147" t="str">
        <f t="shared" si="17"/>
        <v>NO</v>
      </c>
    </row>
    <row r="1148" spans="1:10" x14ac:dyDescent="0.35">
      <c r="A1148">
        <v>3147</v>
      </c>
      <c r="B1148" t="s">
        <v>1179</v>
      </c>
      <c r="C1148" t="s">
        <v>33</v>
      </c>
      <c r="D1148" t="s">
        <v>10</v>
      </c>
      <c r="E1148">
        <v>45793</v>
      </c>
      <c r="F1148">
        <v>35534</v>
      </c>
      <c r="G1148">
        <v>32370</v>
      </c>
      <c r="H1148" t="s">
        <v>31</v>
      </c>
      <c r="I1148" t="str" cm="1">
        <f t="array" ref="I1148">_xlfn.IFS(G1148=0,"Not Paid",G1148=F1148,"Fully Paid",G1148&lt;F1148,"Partially Paid")</f>
        <v>Partially Paid</v>
      </c>
      <c r="J1148" t="str">
        <f t="shared" si="17"/>
        <v>NO</v>
      </c>
    </row>
    <row r="1149" spans="1:10" x14ac:dyDescent="0.35">
      <c r="A1149">
        <v>3148</v>
      </c>
      <c r="B1149" t="s">
        <v>1180</v>
      </c>
      <c r="C1149" t="s">
        <v>56</v>
      </c>
      <c r="D1149" t="s">
        <v>21</v>
      </c>
      <c r="E1149">
        <v>45700</v>
      </c>
      <c r="F1149">
        <v>39744</v>
      </c>
      <c r="G1149">
        <v>28586</v>
      </c>
      <c r="H1149" t="s">
        <v>77</v>
      </c>
      <c r="I1149" t="str" cm="1">
        <f t="array" ref="I1149">_xlfn.IFS(G1149=0,"Not Paid",G1149=F1149,"Fully Paid",G1149&lt;F1149,"Partially Paid")</f>
        <v>Partially Paid</v>
      </c>
      <c r="J1149" t="str">
        <f t="shared" si="17"/>
        <v>NO</v>
      </c>
    </row>
    <row r="1150" spans="1:10" x14ac:dyDescent="0.35">
      <c r="A1150">
        <v>3149</v>
      </c>
      <c r="B1150" t="s">
        <v>1181</v>
      </c>
      <c r="C1150" t="s">
        <v>17</v>
      </c>
      <c r="D1150" t="s">
        <v>10</v>
      </c>
      <c r="E1150">
        <v>46010</v>
      </c>
      <c r="F1150">
        <v>39389</v>
      </c>
      <c r="G1150">
        <v>37336</v>
      </c>
      <c r="H1150" t="s">
        <v>25</v>
      </c>
      <c r="I1150" t="str" cm="1">
        <f t="array" ref="I1150">_xlfn.IFS(G1150=0,"Not Paid",G1150=F1150,"Fully Paid",G1150&lt;F1150,"Partially Paid")</f>
        <v>Partially Paid</v>
      </c>
      <c r="J1150" t="str">
        <f t="shared" si="17"/>
        <v>NO</v>
      </c>
    </row>
    <row r="1151" spans="1:10" x14ac:dyDescent="0.35">
      <c r="A1151">
        <v>3150</v>
      </c>
      <c r="B1151" t="s">
        <v>1182</v>
      </c>
      <c r="C1151" t="s">
        <v>45</v>
      </c>
      <c r="D1151" t="s">
        <v>18</v>
      </c>
      <c r="E1151">
        <v>45747</v>
      </c>
      <c r="F1151">
        <v>56320</v>
      </c>
      <c r="G1151">
        <v>47841</v>
      </c>
      <c r="H1151" t="s">
        <v>19</v>
      </c>
      <c r="I1151" t="str" cm="1">
        <f t="array" ref="I1151">_xlfn.IFS(G1151=0,"Not Paid",G1151=F1151,"Fully Paid",G1151&lt;F1151,"Partially Paid")</f>
        <v>Partially Paid</v>
      </c>
      <c r="J1151" t="str">
        <f t="shared" si="17"/>
        <v>YES</v>
      </c>
    </row>
    <row r="1152" spans="1:10" x14ac:dyDescent="0.35">
      <c r="A1152">
        <v>3151</v>
      </c>
      <c r="B1152" t="s">
        <v>1183</v>
      </c>
      <c r="C1152" t="s">
        <v>13</v>
      </c>
      <c r="D1152" t="s">
        <v>37</v>
      </c>
      <c r="E1152">
        <v>45952</v>
      </c>
      <c r="F1152">
        <v>55010</v>
      </c>
      <c r="G1152">
        <v>49273</v>
      </c>
      <c r="H1152" t="s">
        <v>22</v>
      </c>
      <c r="I1152" t="str" cm="1">
        <f t="array" ref="I1152">_xlfn.IFS(G1152=0,"Not Paid",G1152=F1152,"Fully Paid",G1152&lt;F1152,"Partially Paid")</f>
        <v>Partially Paid</v>
      </c>
      <c r="J1152" t="str">
        <f t="shared" si="17"/>
        <v>YES</v>
      </c>
    </row>
    <row r="1153" spans="1:10" x14ac:dyDescent="0.35">
      <c r="A1153">
        <v>3152</v>
      </c>
      <c r="B1153" t="s">
        <v>1184</v>
      </c>
      <c r="C1153" t="s">
        <v>33</v>
      </c>
      <c r="D1153" t="s">
        <v>18</v>
      </c>
      <c r="E1153">
        <v>45998</v>
      </c>
      <c r="F1153">
        <v>34665</v>
      </c>
      <c r="G1153">
        <v>31448</v>
      </c>
      <c r="H1153" t="s">
        <v>25</v>
      </c>
      <c r="I1153" t="str" cm="1">
        <f t="array" ref="I1153">_xlfn.IFS(G1153=0,"Not Paid",G1153=F1153,"Fully Paid",G1153&lt;F1153,"Partially Paid")</f>
        <v>Partially Paid</v>
      </c>
      <c r="J1153" t="str">
        <f t="shared" si="17"/>
        <v>NO</v>
      </c>
    </row>
    <row r="1154" spans="1:10" x14ac:dyDescent="0.35">
      <c r="A1154">
        <v>3153</v>
      </c>
      <c r="B1154" t="s">
        <v>1185</v>
      </c>
      <c r="C1154" t="s">
        <v>33</v>
      </c>
      <c r="D1154" t="s">
        <v>27</v>
      </c>
      <c r="E1154">
        <v>45902</v>
      </c>
      <c r="F1154">
        <v>57865</v>
      </c>
      <c r="G1154">
        <v>45819</v>
      </c>
      <c r="H1154" t="s">
        <v>53</v>
      </c>
      <c r="I1154" t="str" cm="1">
        <f t="array" ref="I1154">_xlfn.IFS(G1154=0,"Not Paid",G1154=F1154,"Fully Paid",G1154&lt;F1154,"Partially Paid")</f>
        <v>Partially Paid</v>
      </c>
      <c r="J1154" t="str">
        <f t="shared" si="17"/>
        <v>YES</v>
      </c>
    </row>
    <row r="1155" spans="1:10" x14ac:dyDescent="0.35">
      <c r="A1155">
        <v>3154</v>
      </c>
      <c r="B1155" t="s">
        <v>1186</v>
      </c>
      <c r="C1155" t="s">
        <v>24</v>
      </c>
      <c r="D1155" t="s">
        <v>18</v>
      </c>
      <c r="E1155">
        <v>45849</v>
      </c>
      <c r="F1155">
        <v>28640</v>
      </c>
      <c r="G1155">
        <v>27193</v>
      </c>
      <c r="H1155" t="s">
        <v>43</v>
      </c>
      <c r="I1155" t="str" cm="1">
        <f t="array" ref="I1155">_xlfn.IFS(G1155=0,"Not Paid",G1155=F1155,"Fully Paid",G1155&lt;F1155,"Partially Paid")</f>
        <v>Partially Paid</v>
      </c>
      <c r="J1155" t="str">
        <f t="shared" ref="J1155:J1201" si="18">IF(F1155&gt;50000,"YES","NO")</f>
        <v>NO</v>
      </c>
    </row>
    <row r="1156" spans="1:10" x14ac:dyDescent="0.35">
      <c r="A1156">
        <v>3155</v>
      </c>
      <c r="B1156" t="s">
        <v>1187</v>
      </c>
      <c r="C1156" t="s">
        <v>24</v>
      </c>
      <c r="D1156" t="s">
        <v>27</v>
      </c>
      <c r="E1156">
        <v>45975</v>
      </c>
      <c r="F1156">
        <v>54716</v>
      </c>
      <c r="G1156">
        <v>48707</v>
      </c>
      <c r="H1156" t="s">
        <v>29</v>
      </c>
      <c r="I1156" t="str" cm="1">
        <f t="array" ref="I1156">_xlfn.IFS(G1156=0,"Not Paid",G1156=F1156,"Fully Paid",G1156&lt;F1156,"Partially Paid")</f>
        <v>Partially Paid</v>
      </c>
      <c r="J1156" t="str">
        <f t="shared" si="18"/>
        <v>YES</v>
      </c>
    </row>
    <row r="1157" spans="1:10" x14ac:dyDescent="0.35">
      <c r="A1157">
        <v>3156</v>
      </c>
      <c r="B1157" t="s">
        <v>1188</v>
      </c>
      <c r="C1157" t="s">
        <v>17</v>
      </c>
      <c r="D1157" t="s">
        <v>10</v>
      </c>
      <c r="E1157">
        <v>45763</v>
      </c>
      <c r="F1157">
        <v>45521</v>
      </c>
      <c r="G1157">
        <v>44914</v>
      </c>
      <c r="H1157" t="s">
        <v>11</v>
      </c>
      <c r="I1157" t="str" cm="1">
        <f t="array" ref="I1157">_xlfn.IFS(G1157=0,"Not Paid",G1157=F1157,"Fully Paid",G1157&lt;F1157,"Partially Paid")</f>
        <v>Partially Paid</v>
      </c>
      <c r="J1157" t="str">
        <f t="shared" si="18"/>
        <v>NO</v>
      </c>
    </row>
    <row r="1158" spans="1:10" x14ac:dyDescent="0.35">
      <c r="A1158">
        <v>3157</v>
      </c>
      <c r="B1158" t="s">
        <v>1189</v>
      </c>
      <c r="C1158" t="s">
        <v>45</v>
      </c>
      <c r="D1158" t="s">
        <v>37</v>
      </c>
      <c r="E1158">
        <v>46020</v>
      </c>
      <c r="F1158">
        <v>50049</v>
      </c>
      <c r="G1158">
        <v>45497</v>
      </c>
      <c r="H1158" t="s">
        <v>25</v>
      </c>
      <c r="I1158" t="str" cm="1">
        <f t="array" ref="I1158">_xlfn.IFS(G1158=0,"Not Paid",G1158=F1158,"Fully Paid",G1158&lt;F1158,"Partially Paid")</f>
        <v>Partially Paid</v>
      </c>
      <c r="J1158" t="str">
        <f t="shared" si="18"/>
        <v>YES</v>
      </c>
    </row>
    <row r="1159" spans="1:10" x14ac:dyDescent="0.35">
      <c r="A1159">
        <v>3158</v>
      </c>
      <c r="B1159" t="s">
        <v>1190</v>
      </c>
      <c r="C1159" t="s">
        <v>17</v>
      </c>
      <c r="D1159" t="s">
        <v>10</v>
      </c>
      <c r="E1159">
        <v>45967</v>
      </c>
      <c r="F1159">
        <v>25618</v>
      </c>
      <c r="G1159">
        <v>23854</v>
      </c>
      <c r="H1159" t="s">
        <v>29</v>
      </c>
      <c r="I1159" t="str" cm="1">
        <f t="array" ref="I1159">_xlfn.IFS(G1159=0,"Not Paid",G1159=F1159,"Fully Paid",G1159&lt;F1159,"Partially Paid")</f>
        <v>Partially Paid</v>
      </c>
      <c r="J1159" t="str">
        <f t="shared" si="18"/>
        <v>NO</v>
      </c>
    </row>
    <row r="1160" spans="1:10" x14ac:dyDescent="0.35">
      <c r="A1160">
        <v>3159</v>
      </c>
      <c r="B1160" t="s">
        <v>1191</v>
      </c>
      <c r="C1160" t="s">
        <v>56</v>
      </c>
      <c r="D1160" t="s">
        <v>14</v>
      </c>
      <c r="E1160">
        <v>45890</v>
      </c>
      <c r="F1160">
        <v>57004</v>
      </c>
      <c r="G1160">
        <v>47587</v>
      </c>
      <c r="H1160" t="s">
        <v>38</v>
      </c>
      <c r="I1160" t="str" cm="1">
        <f t="array" ref="I1160">_xlfn.IFS(G1160=0,"Not Paid",G1160=F1160,"Fully Paid",G1160&lt;F1160,"Partially Paid")</f>
        <v>Partially Paid</v>
      </c>
      <c r="J1160" t="str">
        <f t="shared" si="18"/>
        <v>YES</v>
      </c>
    </row>
    <row r="1161" spans="1:10" x14ac:dyDescent="0.35">
      <c r="A1161">
        <v>3160</v>
      </c>
      <c r="B1161" t="s">
        <v>1192</v>
      </c>
      <c r="C1161" t="s">
        <v>56</v>
      </c>
      <c r="D1161" t="s">
        <v>10</v>
      </c>
      <c r="E1161">
        <v>45922</v>
      </c>
      <c r="F1161">
        <v>21920</v>
      </c>
      <c r="G1161">
        <v>12493</v>
      </c>
      <c r="H1161" t="s">
        <v>53</v>
      </c>
      <c r="I1161" t="str" cm="1">
        <f t="array" ref="I1161">_xlfn.IFS(G1161=0,"Not Paid",G1161=F1161,"Fully Paid",G1161&lt;F1161,"Partially Paid")</f>
        <v>Partially Paid</v>
      </c>
      <c r="J1161" t="str">
        <f t="shared" si="18"/>
        <v>NO</v>
      </c>
    </row>
    <row r="1162" spans="1:10" x14ac:dyDescent="0.35">
      <c r="A1162">
        <v>3161</v>
      </c>
      <c r="B1162" t="s">
        <v>1193</v>
      </c>
      <c r="C1162" t="s">
        <v>17</v>
      </c>
      <c r="D1162" t="s">
        <v>27</v>
      </c>
      <c r="E1162">
        <v>46001</v>
      </c>
      <c r="F1162">
        <v>24188</v>
      </c>
      <c r="G1162">
        <v>14967</v>
      </c>
      <c r="H1162" t="s">
        <v>25</v>
      </c>
      <c r="I1162" t="str" cm="1">
        <f t="array" ref="I1162">_xlfn.IFS(G1162=0,"Not Paid",G1162=F1162,"Fully Paid",G1162&lt;F1162,"Partially Paid")</f>
        <v>Partially Paid</v>
      </c>
      <c r="J1162" t="str">
        <f t="shared" si="18"/>
        <v>NO</v>
      </c>
    </row>
    <row r="1163" spans="1:10" x14ac:dyDescent="0.35">
      <c r="A1163">
        <v>3162</v>
      </c>
      <c r="B1163" t="s">
        <v>1194</v>
      </c>
      <c r="C1163" t="s">
        <v>45</v>
      </c>
      <c r="D1163" t="s">
        <v>10</v>
      </c>
      <c r="E1163">
        <v>45694</v>
      </c>
      <c r="F1163">
        <v>32207</v>
      </c>
      <c r="G1163">
        <v>29536</v>
      </c>
      <c r="H1163" t="s">
        <v>77</v>
      </c>
      <c r="I1163" t="str" cm="1">
        <f t="array" ref="I1163">_xlfn.IFS(G1163=0,"Not Paid",G1163=F1163,"Fully Paid",G1163&lt;F1163,"Partially Paid")</f>
        <v>Partially Paid</v>
      </c>
      <c r="J1163" t="str">
        <f t="shared" si="18"/>
        <v>NO</v>
      </c>
    </row>
    <row r="1164" spans="1:10" x14ac:dyDescent="0.35">
      <c r="A1164">
        <v>3163</v>
      </c>
      <c r="B1164" t="s">
        <v>1195</v>
      </c>
      <c r="C1164" t="s">
        <v>17</v>
      </c>
      <c r="D1164" t="s">
        <v>10</v>
      </c>
      <c r="E1164">
        <v>45962</v>
      </c>
      <c r="F1164">
        <v>20238</v>
      </c>
      <c r="G1164">
        <v>13719</v>
      </c>
      <c r="H1164" t="s">
        <v>29</v>
      </c>
      <c r="I1164" t="str" cm="1">
        <f t="array" ref="I1164">_xlfn.IFS(G1164=0,"Not Paid",G1164=F1164,"Fully Paid",G1164&lt;F1164,"Partially Paid")</f>
        <v>Partially Paid</v>
      </c>
      <c r="J1164" t="str">
        <f t="shared" si="18"/>
        <v>NO</v>
      </c>
    </row>
    <row r="1165" spans="1:10" x14ac:dyDescent="0.35">
      <c r="A1165">
        <v>3164</v>
      </c>
      <c r="B1165" t="s">
        <v>1196</v>
      </c>
      <c r="C1165" t="s">
        <v>45</v>
      </c>
      <c r="D1165" t="s">
        <v>37</v>
      </c>
      <c r="E1165">
        <v>45698</v>
      </c>
      <c r="F1165">
        <v>52972</v>
      </c>
      <c r="G1165">
        <v>49010</v>
      </c>
      <c r="H1165" t="s">
        <v>77</v>
      </c>
      <c r="I1165" t="str" cm="1">
        <f t="array" ref="I1165">_xlfn.IFS(G1165=0,"Not Paid",G1165=F1165,"Fully Paid",G1165&lt;F1165,"Partially Paid")</f>
        <v>Partially Paid</v>
      </c>
      <c r="J1165" t="str">
        <f t="shared" si="18"/>
        <v>YES</v>
      </c>
    </row>
    <row r="1166" spans="1:10" x14ac:dyDescent="0.35">
      <c r="A1166">
        <v>3165</v>
      </c>
      <c r="B1166" t="s">
        <v>1197</v>
      </c>
      <c r="C1166" t="s">
        <v>45</v>
      </c>
      <c r="D1166" t="s">
        <v>10</v>
      </c>
      <c r="E1166">
        <v>45674</v>
      </c>
      <c r="F1166">
        <v>30799</v>
      </c>
      <c r="G1166">
        <v>18065</v>
      </c>
      <c r="H1166" t="s">
        <v>15</v>
      </c>
      <c r="I1166" t="str" cm="1">
        <f t="array" ref="I1166">_xlfn.IFS(G1166=0,"Not Paid",G1166=F1166,"Fully Paid",G1166&lt;F1166,"Partially Paid")</f>
        <v>Partially Paid</v>
      </c>
      <c r="J1166" t="str">
        <f t="shared" si="18"/>
        <v>NO</v>
      </c>
    </row>
    <row r="1167" spans="1:10" x14ac:dyDescent="0.35">
      <c r="A1167">
        <v>3166</v>
      </c>
      <c r="B1167" t="s">
        <v>1198</v>
      </c>
      <c r="C1167" t="s">
        <v>9</v>
      </c>
      <c r="D1167" t="s">
        <v>37</v>
      </c>
      <c r="E1167">
        <v>46001</v>
      </c>
      <c r="F1167">
        <v>25552</v>
      </c>
      <c r="G1167">
        <v>12430</v>
      </c>
      <c r="H1167" t="s">
        <v>25</v>
      </c>
      <c r="I1167" t="str" cm="1">
        <f t="array" ref="I1167">_xlfn.IFS(G1167=0,"Not Paid",G1167=F1167,"Fully Paid",G1167&lt;F1167,"Partially Paid")</f>
        <v>Partially Paid</v>
      </c>
      <c r="J1167" t="str">
        <f t="shared" si="18"/>
        <v>NO</v>
      </c>
    </row>
    <row r="1168" spans="1:10" x14ac:dyDescent="0.35">
      <c r="A1168">
        <v>3167</v>
      </c>
      <c r="B1168" t="s">
        <v>1199</v>
      </c>
      <c r="C1168" t="s">
        <v>13</v>
      </c>
      <c r="D1168" t="s">
        <v>21</v>
      </c>
      <c r="E1168">
        <v>45934</v>
      </c>
      <c r="F1168">
        <v>48916</v>
      </c>
      <c r="G1168">
        <v>45739</v>
      </c>
      <c r="H1168" t="s">
        <v>22</v>
      </c>
      <c r="I1168" t="str" cm="1">
        <f t="array" ref="I1168">_xlfn.IFS(G1168=0,"Not Paid",G1168=F1168,"Fully Paid",G1168&lt;F1168,"Partially Paid")</f>
        <v>Partially Paid</v>
      </c>
      <c r="J1168" t="str">
        <f t="shared" si="18"/>
        <v>NO</v>
      </c>
    </row>
    <row r="1169" spans="1:10" x14ac:dyDescent="0.35">
      <c r="A1169">
        <v>3168</v>
      </c>
      <c r="B1169" t="s">
        <v>1200</v>
      </c>
      <c r="C1169" t="s">
        <v>45</v>
      </c>
      <c r="D1169" t="s">
        <v>14</v>
      </c>
      <c r="E1169">
        <v>45964</v>
      </c>
      <c r="F1169">
        <v>24927</v>
      </c>
      <c r="G1169">
        <v>21205</v>
      </c>
      <c r="H1169" t="s">
        <v>29</v>
      </c>
      <c r="I1169" t="str" cm="1">
        <f t="array" ref="I1169">_xlfn.IFS(G1169=0,"Not Paid",G1169=F1169,"Fully Paid",G1169&lt;F1169,"Partially Paid")</f>
        <v>Partially Paid</v>
      </c>
      <c r="J1169" t="str">
        <f t="shared" si="18"/>
        <v>NO</v>
      </c>
    </row>
    <row r="1170" spans="1:10" x14ac:dyDescent="0.35">
      <c r="A1170">
        <v>3169</v>
      </c>
      <c r="B1170" t="s">
        <v>1201</v>
      </c>
      <c r="C1170" t="s">
        <v>24</v>
      </c>
      <c r="D1170" t="s">
        <v>37</v>
      </c>
      <c r="E1170">
        <v>45716</v>
      </c>
      <c r="F1170">
        <v>47964</v>
      </c>
      <c r="G1170">
        <v>43058</v>
      </c>
      <c r="H1170" t="s">
        <v>77</v>
      </c>
      <c r="I1170" t="str" cm="1">
        <f t="array" ref="I1170">_xlfn.IFS(G1170=0,"Not Paid",G1170=F1170,"Fully Paid",G1170&lt;F1170,"Partially Paid")</f>
        <v>Partially Paid</v>
      </c>
      <c r="J1170" t="str">
        <f t="shared" si="18"/>
        <v>NO</v>
      </c>
    </row>
    <row r="1171" spans="1:10" x14ac:dyDescent="0.35">
      <c r="A1171">
        <v>3170</v>
      </c>
      <c r="B1171" t="s">
        <v>1202</v>
      </c>
      <c r="C1171" t="s">
        <v>45</v>
      </c>
      <c r="D1171" t="s">
        <v>27</v>
      </c>
      <c r="E1171">
        <v>45840</v>
      </c>
      <c r="F1171">
        <v>31164</v>
      </c>
      <c r="G1171">
        <v>17452</v>
      </c>
      <c r="H1171" t="s">
        <v>43</v>
      </c>
      <c r="I1171" t="str" cm="1">
        <f t="array" ref="I1171">_xlfn.IFS(G1171=0,"Not Paid",G1171=F1171,"Fully Paid",G1171&lt;F1171,"Partially Paid")</f>
        <v>Partially Paid</v>
      </c>
      <c r="J1171" t="str">
        <f t="shared" si="18"/>
        <v>NO</v>
      </c>
    </row>
    <row r="1172" spans="1:10" x14ac:dyDescent="0.35">
      <c r="A1172">
        <v>3171</v>
      </c>
      <c r="B1172" t="s">
        <v>1203</v>
      </c>
      <c r="C1172" t="s">
        <v>45</v>
      </c>
      <c r="D1172" t="s">
        <v>21</v>
      </c>
      <c r="E1172">
        <v>45698</v>
      </c>
      <c r="F1172">
        <v>57158</v>
      </c>
      <c r="G1172">
        <v>49895</v>
      </c>
      <c r="H1172" t="s">
        <v>77</v>
      </c>
      <c r="I1172" t="str" cm="1">
        <f t="array" ref="I1172">_xlfn.IFS(G1172=0,"Not Paid",G1172=F1172,"Fully Paid",G1172&lt;F1172,"Partially Paid")</f>
        <v>Partially Paid</v>
      </c>
      <c r="J1172" t="str">
        <f t="shared" si="18"/>
        <v>YES</v>
      </c>
    </row>
    <row r="1173" spans="1:10" x14ac:dyDescent="0.35">
      <c r="A1173">
        <v>3172</v>
      </c>
      <c r="B1173" t="s">
        <v>1204</v>
      </c>
      <c r="C1173" t="s">
        <v>45</v>
      </c>
      <c r="D1173" t="s">
        <v>37</v>
      </c>
      <c r="E1173">
        <v>45696</v>
      </c>
      <c r="F1173">
        <v>39071</v>
      </c>
      <c r="G1173">
        <v>25372</v>
      </c>
      <c r="H1173" t="s">
        <v>77</v>
      </c>
      <c r="I1173" t="str" cm="1">
        <f t="array" ref="I1173">_xlfn.IFS(G1173=0,"Not Paid",G1173=F1173,"Fully Paid",G1173&lt;F1173,"Partially Paid")</f>
        <v>Partially Paid</v>
      </c>
      <c r="J1173" t="str">
        <f t="shared" si="18"/>
        <v>NO</v>
      </c>
    </row>
    <row r="1174" spans="1:10" x14ac:dyDescent="0.35">
      <c r="A1174">
        <v>3173</v>
      </c>
      <c r="B1174" t="s">
        <v>1205</v>
      </c>
      <c r="C1174" t="s">
        <v>9</v>
      </c>
      <c r="D1174" t="s">
        <v>37</v>
      </c>
      <c r="E1174">
        <v>45849</v>
      </c>
      <c r="F1174">
        <v>26160</v>
      </c>
      <c r="G1174">
        <v>21106</v>
      </c>
      <c r="H1174" t="s">
        <v>43</v>
      </c>
      <c r="I1174" t="str" cm="1">
        <f t="array" ref="I1174">_xlfn.IFS(G1174=0,"Not Paid",G1174=F1174,"Fully Paid",G1174&lt;F1174,"Partially Paid")</f>
        <v>Partially Paid</v>
      </c>
      <c r="J1174" t="str">
        <f t="shared" si="18"/>
        <v>NO</v>
      </c>
    </row>
    <row r="1175" spans="1:10" x14ac:dyDescent="0.35">
      <c r="A1175">
        <v>3174</v>
      </c>
      <c r="B1175" t="s">
        <v>1206</v>
      </c>
      <c r="C1175" t="s">
        <v>9</v>
      </c>
      <c r="D1175" t="s">
        <v>14</v>
      </c>
      <c r="E1175">
        <v>45924</v>
      </c>
      <c r="F1175">
        <v>35810</v>
      </c>
      <c r="G1175">
        <v>26143</v>
      </c>
      <c r="H1175" t="s">
        <v>53</v>
      </c>
      <c r="I1175" t="str" cm="1">
        <f t="array" ref="I1175">_xlfn.IFS(G1175=0,"Not Paid",G1175=F1175,"Fully Paid",G1175&lt;F1175,"Partially Paid")</f>
        <v>Partially Paid</v>
      </c>
      <c r="J1175" t="str">
        <f t="shared" si="18"/>
        <v>NO</v>
      </c>
    </row>
    <row r="1176" spans="1:10" x14ac:dyDescent="0.35">
      <c r="A1176">
        <v>3175</v>
      </c>
      <c r="B1176" t="s">
        <v>1207</v>
      </c>
      <c r="C1176" t="s">
        <v>56</v>
      </c>
      <c r="D1176" t="s">
        <v>27</v>
      </c>
      <c r="E1176">
        <v>45804</v>
      </c>
      <c r="F1176">
        <v>25126</v>
      </c>
      <c r="G1176">
        <v>14038</v>
      </c>
      <c r="H1176" t="s">
        <v>31</v>
      </c>
      <c r="I1176" t="str" cm="1">
        <f t="array" ref="I1176">_xlfn.IFS(G1176=0,"Not Paid",G1176=F1176,"Fully Paid",G1176&lt;F1176,"Partially Paid")</f>
        <v>Partially Paid</v>
      </c>
      <c r="J1176" t="str">
        <f t="shared" si="18"/>
        <v>NO</v>
      </c>
    </row>
    <row r="1177" spans="1:10" x14ac:dyDescent="0.35">
      <c r="A1177">
        <v>3176</v>
      </c>
      <c r="B1177" t="s">
        <v>1208</v>
      </c>
      <c r="C1177" t="s">
        <v>9</v>
      </c>
      <c r="D1177" t="s">
        <v>18</v>
      </c>
      <c r="E1177">
        <v>45990</v>
      </c>
      <c r="F1177">
        <v>50009</v>
      </c>
      <c r="G1177">
        <v>49201</v>
      </c>
      <c r="H1177" t="s">
        <v>29</v>
      </c>
      <c r="I1177" t="str" cm="1">
        <f t="array" ref="I1177">_xlfn.IFS(G1177=0,"Not Paid",G1177=F1177,"Fully Paid",G1177&lt;F1177,"Partially Paid")</f>
        <v>Partially Paid</v>
      </c>
      <c r="J1177" t="str">
        <f t="shared" si="18"/>
        <v>YES</v>
      </c>
    </row>
    <row r="1178" spans="1:10" x14ac:dyDescent="0.35">
      <c r="A1178">
        <v>3177</v>
      </c>
      <c r="B1178" t="s">
        <v>1209</v>
      </c>
      <c r="C1178" t="s">
        <v>24</v>
      </c>
      <c r="D1178" t="s">
        <v>18</v>
      </c>
      <c r="E1178">
        <v>45784</v>
      </c>
      <c r="F1178">
        <v>53584</v>
      </c>
      <c r="G1178">
        <v>44414</v>
      </c>
      <c r="H1178" t="s">
        <v>31</v>
      </c>
      <c r="I1178" t="str" cm="1">
        <f t="array" ref="I1178">_xlfn.IFS(G1178=0,"Not Paid",G1178=F1178,"Fully Paid",G1178&lt;F1178,"Partially Paid")</f>
        <v>Partially Paid</v>
      </c>
      <c r="J1178" t="str">
        <f t="shared" si="18"/>
        <v>YES</v>
      </c>
    </row>
    <row r="1179" spans="1:10" x14ac:dyDescent="0.35">
      <c r="A1179">
        <v>3178</v>
      </c>
      <c r="B1179" t="s">
        <v>1210</v>
      </c>
      <c r="C1179" t="s">
        <v>24</v>
      </c>
      <c r="D1179" t="s">
        <v>37</v>
      </c>
      <c r="E1179">
        <v>45703</v>
      </c>
      <c r="F1179">
        <v>45396</v>
      </c>
      <c r="G1179">
        <v>34741</v>
      </c>
      <c r="H1179" t="s">
        <v>77</v>
      </c>
      <c r="I1179" t="str" cm="1">
        <f t="array" ref="I1179">_xlfn.IFS(G1179=0,"Not Paid",G1179=F1179,"Fully Paid",G1179&lt;F1179,"Partially Paid")</f>
        <v>Partially Paid</v>
      </c>
      <c r="J1179" t="str">
        <f t="shared" si="18"/>
        <v>NO</v>
      </c>
    </row>
    <row r="1180" spans="1:10" x14ac:dyDescent="0.35">
      <c r="A1180">
        <v>3179</v>
      </c>
      <c r="B1180" t="s">
        <v>1211</v>
      </c>
      <c r="C1180" t="s">
        <v>9</v>
      </c>
      <c r="D1180" t="s">
        <v>10</v>
      </c>
      <c r="E1180">
        <v>45702</v>
      </c>
      <c r="F1180">
        <v>20192</v>
      </c>
      <c r="G1180">
        <v>19467</v>
      </c>
      <c r="H1180" t="s">
        <v>77</v>
      </c>
      <c r="I1180" t="str" cm="1">
        <f t="array" ref="I1180">_xlfn.IFS(G1180=0,"Not Paid",G1180=F1180,"Fully Paid",G1180&lt;F1180,"Partially Paid")</f>
        <v>Partially Paid</v>
      </c>
      <c r="J1180" t="str">
        <f t="shared" si="18"/>
        <v>NO</v>
      </c>
    </row>
    <row r="1181" spans="1:10" x14ac:dyDescent="0.35">
      <c r="A1181">
        <v>3180</v>
      </c>
      <c r="B1181" t="s">
        <v>1212</v>
      </c>
      <c r="C1181" t="s">
        <v>17</v>
      </c>
      <c r="D1181" t="s">
        <v>27</v>
      </c>
      <c r="E1181">
        <v>45658</v>
      </c>
      <c r="F1181">
        <v>56413</v>
      </c>
      <c r="G1181">
        <v>45720</v>
      </c>
      <c r="H1181" t="s">
        <v>15</v>
      </c>
      <c r="I1181" t="str" cm="1">
        <f t="array" ref="I1181">_xlfn.IFS(G1181=0,"Not Paid",G1181=F1181,"Fully Paid",G1181&lt;F1181,"Partially Paid")</f>
        <v>Partially Paid</v>
      </c>
      <c r="J1181" t="str">
        <f t="shared" si="18"/>
        <v>YES</v>
      </c>
    </row>
    <row r="1182" spans="1:10" x14ac:dyDescent="0.35">
      <c r="A1182">
        <v>3181</v>
      </c>
      <c r="B1182" t="s">
        <v>1213</v>
      </c>
      <c r="C1182" t="s">
        <v>13</v>
      </c>
      <c r="D1182" t="s">
        <v>21</v>
      </c>
      <c r="E1182">
        <v>45825</v>
      </c>
      <c r="F1182">
        <v>32816</v>
      </c>
      <c r="G1182">
        <v>21262</v>
      </c>
      <c r="H1182" t="s">
        <v>67</v>
      </c>
      <c r="I1182" t="str" cm="1">
        <f t="array" ref="I1182">_xlfn.IFS(G1182=0,"Not Paid",G1182=F1182,"Fully Paid",G1182&lt;F1182,"Partially Paid")</f>
        <v>Partially Paid</v>
      </c>
      <c r="J1182" t="str">
        <f t="shared" si="18"/>
        <v>NO</v>
      </c>
    </row>
    <row r="1183" spans="1:10" x14ac:dyDescent="0.35">
      <c r="A1183">
        <v>3182</v>
      </c>
      <c r="B1183" t="s">
        <v>1214</v>
      </c>
      <c r="C1183" t="s">
        <v>9</v>
      </c>
      <c r="D1183" t="s">
        <v>10</v>
      </c>
      <c r="E1183">
        <v>45765</v>
      </c>
      <c r="F1183">
        <v>59082</v>
      </c>
      <c r="G1183">
        <v>51381</v>
      </c>
      <c r="H1183" t="s">
        <v>11</v>
      </c>
      <c r="I1183" t="str" cm="1">
        <f t="array" ref="I1183">_xlfn.IFS(G1183=0,"Not Paid",G1183=F1183,"Fully Paid",G1183&lt;F1183,"Partially Paid")</f>
        <v>Partially Paid</v>
      </c>
      <c r="J1183" t="str">
        <f t="shared" si="18"/>
        <v>YES</v>
      </c>
    </row>
    <row r="1184" spans="1:10" x14ac:dyDescent="0.35">
      <c r="A1184">
        <v>3183</v>
      </c>
      <c r="B1184" t="s">
        <v>1215</v>
      </c>
      <c r="C1184" t="s">
        <v>45</v>
      </c>
      <c r="D1184" t="s">
        <v>10</v>
      </c>
      <c r="E1184">
        <v>45676</v>
      </c>
      <c r="F1184">
        <v>52130</v>
      </c>
      <c r="G1184">
        <v>50914</v>
      </c>
      <c r="H1184" t="s">
        <v>15</v>
      </c>
      <c r="I1184" t="str" cm="1">
        <f t="array" ref="I1184">_xlfn.IFS(G1184=0,"Not Paid",G1184=F1184,"Fully Paid",G1184&lt;F1184,"Partially Paid")</f>
        <v>Partially Paid</v>
      </c>
      <c r="J1184" t="str">
        <f t="shared" si="18"/>
        <v>YES</v>
      </c>
    </row>
    <row r="1185" spans="1:10" x14ac:dyDescent="0.35">
      <c r="A1185">
        <v>3184</v>
      </c>
      <c r="B1185" t="s">
        <v>1216</v>
      </c>
      <c r="C1185" t="s">
        <v>33</v>
      </c>
      <c r="D1185" t="s">
        <v>27</v>
      </c>
      <c r="E1185">
        <v>45989</v>
      </c>
      <c r="F1185">
        <v>56468</v>
      </c>
      <c r="G1185">
        <v>52417</v>
      </c>
      <c r="H1185" t="s">
        <v>29</v>
      </c>
      <c r="I1185" t="str" cm="1">
        <f t="array" ref="I1185">_xlfn.IFS(G1185=0,"Not Paid",G1185=F1185,"Fully Paid",G1185&lt;F1185,"Partially Paid")</f>
        <v>Partially Paid</v>
      </c>
      <c r="J1185" t="str">
        <f t="shared" si="18"/>
        <v>YES</v>
      </c>
    </row>
    <row r="1186" spans="1:10" x14ac:dyDescent="0.35">
      <c r="A1186">
        <v>3185</v>
      </c>
      <c r="B1186" t="s">
        <v>1217</v>
      </c>
      <c r="C1186" t="s">
        <v>13</v>
      </c>
      <c r="D1186" t="s">
        <v>37</v>
      </c>
      <c r="E1186">
        <v>45729</v>
      </c>
      <c r="F1186">
        <v>50698</v>
      </c>
      <c r="G1186">
        <v>48501</v>
      </c>
      <c r="H1186" t="s">
        <v>19</v>
      </c>
      <c r="I1186" t="str" cm="1">
        <f t="array" ref="I1186">_xlfn.IFS(G1186=0,"Not Paid",G1186=F1186,"Fully Paid",G1186&lt;F1186,"Partially Paid")</f>
        <v>Partially Paid</v>
      </c>
      <c r="J1186" t="str">
        <f t="shared" si="18"/>
        <v>YES</v>
      </c>
    </row>
    <row r="1187" spans="1:10" x14ac:dyDescent="0.35">
      <c r="A1187">
        <v>3186</v>
      </c>
      <c r="B1187" t="s">
        <v>1218</v>
      </c>
      <c r="C1187" t="s">
        <v>13</v>
      </c>
      <c r="D1187" t="s">
        <v>37</v>
      </c>
      <c r="E1187">
        <v>45766</v>
      </c>
      <c r="F1187">
        <v>30655</v>
      </c>
      <c r="G1187">
        <v>16464</v>
      </c>
      <c r="H1187" t="s">
        <v>11</v>
      </c>
      <c r="I1187" t="str" cm="1">
        <f t="array" ref="I1187">_xlfn.IFS(G1187=0,"Not Paid",G1187=F1187,"Fully Paid",G1187&lt;F1187,"Partially Paid")</f>
        <v>Partially Paid</v>
      </c>
      <c r="J1187" t="str">
        <f t="shared" si="18"/>
        <v>NO</v>
      </c>
    </row>
    <row r="1188" spans="1:10" x14ac:dyDescent="0.35">
      <c r="A1188">
        <v>3187</v>
      </c>
      <c r="B1188" t="s">
        <v>1219</v>
      </c>
      <c r="C1188" t="s">
        <v>24</v>
      </c>
      <c r="D1188" t="s">
        <v>37</v>
      </c>
      <c r="E1188">
        <v>45925</v>
      </c>
      <c r="F1188">
        <v>50075</v>
      </c>
      <c r="G1188">
        <v>47269</v>
      </c>
      <c r="H1188" t="s">
        <v>53</v>
      </c>
      <c r="I1188" t="str" cm="1">
        <f t="array" ref="I1188">_xlfn.IFS(G1188=0,"Not Paid",G1188=F1188,"Fully Paid",G1188&lt;F1188,"Partially Paid")</f>
        <v>Partially Paid</v>
      </c>
      <c r="J1188" t="str">
        <f t="shared" si="18"/>
        <v>YES</v>
      </c>
    </row>
    <row r="1189" spans="1:10" x14ac:dyDescent="0.35">
      <c r="A1189">
        <v>3188</v>
      </c>
      <c r="B1189" t="s">
        <v>1220</v>
      </c>
      <c r="C1189" t="s">
        <v>13</v>
      </c>
      <c r="D1189" t="s">
        <v>37</v>
      </c>
      <c r="E1189">
        <v>45897</v>
      </c>
      <c r="F1189">
        <v>29359</v>
      </c>
      <c r="G1189">
        <v>20389</v>
      </c>
      <c r="H1189" t="s">
        <v>38</v>
      </c>
      <c r="I1189" t="str" cm="1">
        <f t="array" ref="I1189">_xlfn.IFS(G1189=0,"Not Paid",G1189=F1189,"Fully Paid",G1189&lt;F1189,"Partially Paid")</f>
        <v>Partially Paid</v>
      </c>
      <c r="J1189" t="str">
        <f t="shared" si="18"/>
        <v>NO</v>
      </c>
    </row>
    <row r="1190" spans="1:10" x14ac:dyDescent="0.35">
      <c r="A1190">
        <v>3189</v>
      </c>
      <c r="B1190" t="s">
        <v>1221</v>
      </c>
      <c r="C1190" t="s">
        <v>9</v>
      </c>
      <c r="D1190" t="s">
        <v>18</v>
      </c>
      <c r="E1190">
        <v>45958</v>
      </c>
      <c r="F1190">
        <v>56661</v>
      </c>
      <c r="G1190">
        <v>55689</v>
      </c>
      <c r="H1190" t="s">
        <v>22</v>
      </c>
      <c r="I1190" t="str" cm="1">
        <f t="array" ref="I1190">_xlfn.IFS(G1190=0,"Not Paid",G1190=F1190,"Fully Paid",G1190&lt;F1190,"Partially Paid")</f>
        <v>Partially Paid</v>
      </c>
      <c r="J1190" t="str">
        <f t="shared" si="18"/>
        <v>YES</v>
      </c>
    </row>
    <row r="1191" spans="1:10" x14ac:dyDescent="0.35">
      <c r="A1191">
        <v>3190</v>
      </c>
      <c r="B1191" t="s">
        <v>1222</v>
      </c>
      <c r="C1191" t="s">
        <v>45</v>
      </c>
      <c r="D1191" t="s">
        <v>37</v>
      </c>
      <c r="E1191">
        <v>45747</v>
      </c>
      <c r="F1191">
        <v>59579</v>
      </c>
      <c r="G1191">
        <v>48577</v>
      </c>
      <c r="H1191" t="s">
        <v>19</v>
      </c>
      <c r="I1191" t="str" cm="1">
        <f t="array" ref="I1191">_xlfn.IFS(G1191=0,"Not Paid",G1191=F1191,"Fully Paid",G1191&lt;F1191,"Partially Paid")</f>
        <v>Partially Paid</v>
      </c>
      <c r="J1191" t="str">
        <f t="shared" si="18"/>
        <v>YES</v>
      </c>
    </row>
    <row r="1192" spans="1:10" x14ac:dyDescent="0.35">
      <c r="A1192">
        <v>3191</v>
      </c>
      <c r="B1192" t="s">
        <v>1223</v>
      </c>
      <c r="C1192" t="s">
        <v>45</v>
      </c>
      <c r="D1192" t="s">
        <v>18</v>
      </c>
      <c r="E1192">
        <v>45760</v>
      </c>
      <c r="F1192">
        <v>53272</v>
      </c>
      <c r="G1192">
        <v>47638</v>
      </c>
      <c r="H1192" t="s">
        <v>11</v>
      </c>
      <c r="I1192" t="str" cm="1">
        <f t="array" ref="I1192">_xlfn.IFS(G1192=0,"Not Paid",G1192=F1192,"Fully Paid",G1192&lt;F1192,"Partially Paid")</f>
        <v>Partially Paid</v>
      </c>
      <c r="J1192" t="str">
        <f t="shared" si="18"/>
        <v>YES</v>
      </c>
    </row>
    <row r="1193" spans="1:10" x14ac:dyDescent="0.35">
      <c r="A1193">
        <v>3192</v>
      </c>
      <c r="B1193" t="s">
        <v>1224</v>
      </c>
      <c r="C1193" t="s">
        <v>56</v>
      </c>
      <c r="D1193" t="s">
        <v>18</v>
      </c>
      <c r="E1193">
        <v>45907</v>
      </c>
      <c r="F1193">
        <v>34671</v>
      </c>
      <c r="G1193">
        <v>20967</v>
      </c>
      <c r="H1193" t="s">
        <v>53</v>
      </c>
      <c r="I1193" t="str" cm="1">
        <f t="array" ref="I1193">_xlfn.IFS(G1193=0,"Not Paid",G1193=F1193,"Fully Paid",G1193&lt;F1193,"Partially Paid")</f>
        <v>Partially Paid</v>
      </c>
      <c r="J1193" t="str">
        <f t="shared" si="18"/>
        <v>NO</v>
      </c>
    </row>
    <row r="1194" spans="1:10" x14ac:dyDescent="0.35">
      <c r="A1194">
        <v>3193</v>
      </c>
      <c r="B1194" t="s">
        <v>1225</v>
      </c>
      <c r="C1194" t="s">
        <v>45</v>
      </c>
      <c r="D1194" t="s">
        <v>37</v>
      </c>
      <c r="E1194">
        <v>45665</v>
      </c>
      <c r="F1194">
        <v>47048</v>
      </c>
      <c r="G1194">
        <v>39565</v>
      </c>
      <c r="H1194" t="s">
        <v>15</v>
      </c>
      <c r="I1194" t="str" cm="1">
        <f t="array" ref="I1194">_xlfn.IFS(G1194=0,"Not Paid",G1194=F1194,"Fully Paid",G1194&lt;F1194,"Partially Paid")</f>
        <v>Partially Paid</v>
      </c>
      <c r="J1194" t="str">
        <f t="shared" si="18"/>
        <v>NO</v>
      </c>
    </row>
    <row r="1195" spans="1:10" x14ac:dyDescent="0.35">
      <c r="A1195">
        <v>3194</v>
      </c>
      <c r="B1195" t="s">
        <v>1226</v>
      </c>
      <c r="C1195" t="s">
        <v>45</v>
      </c>
      <c r="D1195" t="s">
        <v>14</v>
      </c>
      <c r="E1195">
        <v>45810</v>
      </c>
      <c r="F1195">
        <v>30738</v>
      </c>
      <c r="G1195">
        <v>28615</v>
      </c>
      <c r="H1195" t="s">
        <v>67</v>
      </c>
      <c r="I1195" t="str" cm="1">
        <f t="array" ref="I1195">_xlfn.IFS(G1195=0,"Not Paid",G1195=F1195,"Fully Paid",G1195&lt;F1195,"Partially Paid")</f>
        <v>Partially Paid</v>
      </c>
      <c r="J1195" t="str">
        <f t="shared" si="18"/>
        <v>NO</v>
      </c>
    </row>
    <row r="1196" spans="1:10" x14ac:dyDescent="0.35">
      <c r="A1196">
        <v>3195</v>
      </c>
      <c r="B1196" t="s">
        <v>1227</v>
      </c>
      <c r="C1196" t="s">
        <v>24</v>
      </c>
      <c r="D1196" t="s">
        <v>21</v>
      </c>
      <c r="E1196">
        <v>46004</v>
      </c>
      <c r="F1196">
        <v>45963</v>
      </c>
      <c r="G1196">
        <v>37173</v>
      </c>
      <c r="H1196" t="s">
        <v>25</v>
      </c>
      <c r="I1196" t="str" cm="1">
        <f t="array" ref="I1196">_xlfn.IFS(G1196=0,"Not Paid",G1196=F1196,"Fully Paid",G1196&lt;F1196,"Partially Paid")</f>
        <v>Partially Paid</v>
      </c>
      <c r="J1196" t="str">
        <f t="shared" si="18"/>
        <v>NO</v>
      </c>
    </row>
    <row r="1197" spans="1:10" x14ac:dyDescent="0.35">
      <c r="A1197">
        <v>3196</v>
      </c>
      <c r="B1197" t="s">
        <v>1228</v>
      </c>
      <c r="C1197" t="s">
        <v>45</v>
      </c>
      <c r="D1197" t="s">
        <v>10</v>
      </c>
      <c r="E1197">
        <v>45831</v>
      </c>
      <c r="F1197">
        <v>26773</v>
      </c>
      <c r="G1197">
        <v>15240</v>
      </c>
      <c r="H1197" t="s">
        <v>67</v>
      </c>
      <c r="I1197" t="str" cm="1">
        <f t="array" ref="I1197">_xlfn.IFS(G1197=0,"Not Paid",G1197=F1197,"Fully Paid",G1197&lt;F1197,"Partially Paid")</f>
        <v>Partially Paid</v>
      </c>
      <c r="J1197" t="str">
        <f t="shared" si="18"/>
        <v>NO</v>
      </c>
    </row>
    <row r="1198" spans="1:10" x14ac:dyDescent="0.35">
      <c r="A1198">
        <v>3197</v>
      </c>
      <c r="B1198" t="s">
        <v>1229</v>
      </c>
      <c r="C1198" t="s">
        <v>56</v>
      </c>
      <c r="D1198" t="s">
        <v>18</v>
      </c>
      <c r="E1198">
        <v>46000</v>
      </c>
      <c r="F1198">
        <v>56584</v>
      </c>
      <c r="G1198">
        <v>56360</v>
      </c>
      <c r="H1198" t="s">
        <v>25</v>
      </c>
      <c r="I1198" t="str" cm="1">
        <f t="array" ref="I1198">_xlfn.IFS(G1198=0,"Not Paid",G1198=F1198,"Fully Paid",G1198&lt;F1198,"Partially Paid")</f>
        <v>Partially Paid</v>
      </c>
      <c r="J1198" t="str">
        <f t="shared" si="18"/>
        <v>YES</v>
      </c>
    </row>
    <row r="1199" spans="1:10" x14ac:dyDescent="0.35">
      <c r="A1199">
        <v>3198</v>
      </c>
      <c r="B1199" t="s">
        <v>1230</v>
      </c>
      <c r="C1199" t="s">
        <v>33</v>
      </c>
      <c r="D1199" t="s">
        <v>27</v>
      </c>
      <c r="E1199">
        <v>45815</v>
      </c>
      <c r="F1199">
        <v>49894</v>
      </c>
      <c r="G1199">
        <v>36053</v>
      </c>
      <c r="H1199" t="s">
        <v>67</v>
      </c>
      <c r="I1199" t="str" cm="1">
        <f t="array" ref="I1199">_xlfn.IFS(G1199=0,"Not Paid",G1199=F1199,"Fully Paid",G1199&lt;F1199,"Partially Paid")</f>
        <v>Partially Paid</v>
      </c>
      <c r="J1199" t="str">
        <f t="shared" si="18"/>
        <v>NO</v>
      </c>
    </row>
    <row r="1200" spans="1:10" x14ac:dyDescent="0.35">
      <c r="A1200">
        <v>3199</v>
      </c>
      <c r="B1200" t="s">
        <v>1231</v>
      </c>
      <c r="C1200" t="s">
        <v>9</v>
      </c>
      <c r="D1200" t="s">
        <v>27</v>
      </c>
      <c r="E1200">
        <v>45872</v>
      </c>
      <c r="F1200">
        <v>20717</v>
      </c>
      <c r="G1200">
        <v>6269</v>
      </c>
      <c r="H1200" t="s">
        <v>38</v>
      </c>
      <c r="I1200" t="str" cm="1">
        <f t="array" ref="I1200">_xlfn.IFS(G1200=0,"Not Paid",G1200=F1200,"Fully Paid",G1200&lt;F1200,"Partially Paid")</f>
        <v>Partially Paid</v>
      </c>
      <c r="J1200" t="str">
        <f t="shared" si="18"/>
        <v>NO</v>
      </c>
    </row>
    <row r="1201" spans="1:10" x14ac:dyDescent="0.35">
      <c r="A1201">
        <v>3200</v>
      </c>
      <c r="B1201" t="s">
        <v>1232</v>
      </c>
      <c r="C1201" t="s">
        <v>24</v>
      </c>
      <c r="D1201" t="s">
        <v>21</v>
      </c>
      <c r="E1201">
        <v>45834</v>
      </c>
      <c r="F1201">
        <v>31676</v>
      </c>
      <c r="G1201">
        <v>17090</v>
      </c>
      <c r="H1201" t="s">
        <v>67</v>
      </c>
      <c r="I1201" t="str" cm="1">
        <f t="array" ref="I1201">_xlfn.IFS(G1201=0,"Not Paid",G1201=F1201,"Fully Paid",G1201&lt;F1201,"Partially Paid")</f>
        <v>Partially Paid</v>
      </c>
      <c r="J1201" t="str">
        <f t="shared" si="18"/>
        <v>NO</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3"/>
  <sheetViews>
    <sheetView zoomScaleNormal="100" workbookViewId="0">
      <selection activeCell="H26" sqref="H26"/>
    </sheetView>
  </sheetViews>
  <sheetFormatPr defaultRowHeight="14.5" x14ac:dyDescent="0.35"/>
  <cols>
    <col min="2" max="2" width="13.90625" customWidth="1"/>
    <col min="3" max="3" width="14.54296875" customWidth="1"/>
    <col min="4" max="4" width="15.6328125" customWidth="1"/>
  </cols>
  <sheetData>
    <row r="1" spans="1:4" x14ac:dyDescent="0.35">
      <c r="A1" s="2" t="s">
        <v>7</v>
      </c>
      <c r="B1" s="2" t="s">
        <v>1256</v>
      </c>
      <c r="C1" s="4" t="s">
        <v>1255</v>
      </c>
      <c r="D1" s="2" t="s">
        <v>1254</v>
      </c>
    </row>
    <row r="2" spans="1:4" x14ac:dyDescent="0.35">
      <c r="A2" t="s">
        <v>29</v>
      </c>
      <c r="B2" t="s">
        <v>1250</v>
      </c>
      <c r="C2" s="6">
        <v>349892</v>
      </c>
      <c r="D2">
        <v>1974</v>
      </c>
    </row>
    <row r="3" spans="1:4" x14ac:dyDescent="0.35">
      <c r="A3" t="s">
        <v>38</v>
      </c>
      <c r="B3" t="s">
        <v>1253</v>
      </c>
      <c r="C3" s="6">
        <v>349349</v>
      </c>
      <c r="D3">
        <v>1971</v>
      </c>
    </row>
    <row r="4" spans="1:4" x14ac:dyDescent="0.35">
      <c r="A4" t="s">
        <v>38</v>
      </c>
      <c r="B4" t="s">
        <v>1251</v>
      </c>
      <c r="C4" s="6">
        <v>317555</v>
      </c>
      <c r="D4">
        <v>1792</v>
      </c>
    </row>
    <row r="5" spans="1:4" x14ac:dyDescent="0.35">
      <c r="A5" t="s">
        <v>11</v>
      </c>
      <c r="B5" t="s">
        <v>1253</v>
      </c>
      <c r="C5" s="6">
        <v>312281</v>
      </c>
      <c r="D5">
        <v>1762</v>
      </c>
    </row>
    <row r="6" spans="1:4" x14ac:dyDescent="0.35">
      <c r="A6" t="s">
        <v>77</v>
      </c>
      <c r="B6" t="s">
        <v>1250</v>
      </c>
      <c r="C6" s="6">
        <v>306791</v>
      </c>
      <c r="D6">
        <v>1731</v>
      </c>
    </row>
    <row r="7" spans="1:4" x14ac:dyDescent="0.35">
      <c r="A7" t="s">
        <v>22</v>
      </c>
      <c r="B7" t="s">
        <v>1250</v>
      </c>
      <c r="C7" s="6">
        <v>305780</v>
      </c>
      <c r="D7">
        <v>1725</v>
      </c>
    </row>
    <row r="8" spans="1:4" x14ac:dyDescent="0.35">
      <c r="A8" s="1" t="s">
        <v>15</v>
      </c>
      <c r="B8" t="s">
        <v>1253</v>
      </c>
      <c r="C8" s="6">
        <v>303584</v>
      </c>
      <c r="D8">
        <v>1713</v>
      </c>
    </row>
    <row r="9" spans="1:4" x14ac:dyDescent="0.35">
      <c r="A9" t="s">
        <v>67</v>
      </c>
      <c r="B9" t="s">
        <v>1248</v>
      </c>
      <c r="C9" s="6">
        <v>302203</v>
      </c>
      <c r="D9">
        <v>1705</v>
      </c>
    </row>
    <row r="10" spans="1:4" x14ac:dyDescent="0.35">
      <c r="A10" t="s">
        <v>19</v>
      </c>
      <c r="B10" t="s">
        <v>1248</v>
      </c>
      <c r="C10" s="6">
        <v>298279</v>
      </c>
      <c r="D10">
        <v>1683</v>
      </c>
    </row>
    <row r="11" spans="1:4" x14ac:dyDescent="0.35">
      <c r="A11" t="s">
        <v>53</v>
      </c>
      <c r="B11" t="s">
        <v>1249</v>
      </c>
      <c r="C11" s="6">
        <v>298068</v>
      </c>
      <c r="D11">
        <v>1682</v>
      </c>
    </row>
    <row r="12" spans="1:4" x14ac:dyDescent="0.35">
      <c r="A12" t="s">
        <v>25</v>
      </c>
      <c r="B12" t="s">
        <v>1251</v>
      </c>
      <c r="C12" s="6">
        <v>296468</v>
      </c>
      <c r="D12">
        <v>1673</v>
      </c>
    </row>
    <row r="13" spans="1:4" x14ac:dyDescent="0.35">
      <c r="A13" t="s">
        <v>22</v>
      </c>
      <c r="B13" t="s">
        <v>1249</v>
      </c>
      <c r="C13" s="6">
        <v>292282</v>
      </c>
      <c r="D13">
        <v>1649</v>
      </c>
    </row>
    <row r="14" spans="1:4" x14ac:dyDescent="0.35">
      <c r="A14" t="s">
        <v>38</v>
      </c>
      <c r="B14" t="s">
        <v>1249</v>
      </c>
      <c r="C14" s="6">
        <v>288456</v>
      </c>
      <c r="D14">
        <v>1628</v>
      </c>
    </row>
    <row r="15" spans="1:4" x14ac:dyDescent="0.35">
      <c r="A15" t="s">
        <v>15</v>
      </c>
      <c r="B15" t="s">
        <v>1248</v>
      </c>
      <c r="C15" s="6">
        <v>284988</v>
      </c>
      <c r="D15">
        <v>1608</v>
      </c>
    </row>
    <row r="16" spans="1:4" x14ac:dyDescent="0.35">
      <c r="A16" t="s">
        <v>11</v>
      </c>
      <c r="B16" t="s">
        <v>1251</v>
      </c>
      <c r="C16" s="6">
        <v>281946</v>
      </c>
      <c r="D16">
        <v>1591</v>
      </c>
    </row>
    <row r="17" spans="1:4" x14ac:dyDescent="0.35">
      <c r="A17" t="s">
        <v>43</v>
      </c>
      <c r="B17" t="s">
        <v>1253</v>
      </c>
      <c r="C17" s="6">
        <v>270558</v>
      </c>
      <c r="D17">
        <v>1526</v>
      </c>
    </row>
    <row r="18" spans="1:4" x14ac:dyDescent="0.35">
      <c r="A18" t="s">
        <v>77</v>
      </c>
      <c r="B18" t="s">
        <v>1253</v>
      </c>
      <c r="C18" s="6">
        <v>269840</v>
      </c>
      <c r="D18">
        <v>1522</v>
      </c>
    </row>
    <row r="19" spans="1:4" x14ac:dyDescent="0.35">
      <c r="A19" t="s">
        <v>67</v>
      </c>
      <c r="B19" t="s">
        <v>1252</v>
      </c>
      <c r="C19" s="6">
        <v>267994</v>
      </c>
      <c r="D19">
        <v>1512</v>
      </c>
    </row>
    <row r="20" spans="1:4" x14ac:dyDescent="0.35">
      <c r="A20" t="s">
        <v>53</v>
      </c>
      <c r="B20" t="s">
        <v>1253</v>
      </c>
      <c r="C20" s="6">
        <v>266444</v>
      </c>
      <c r="D20">
        <v>1503</v>
      </c>
    </row>
    <row r="21" spans="1:4" x14ac:dyDescent="0.35">
      <c r="A21" t="s">
        <v>67</v>
      </c>
      <c r="B21" t="s">
        <v>1253</v>
      </c>
      <c r="C21" s="6">
        <v>261098</v>
      </c>
      <c r="D21">
        <v>1473</v>
      </c>
    </row>
    <row r="22" spans="1:4" x14ac:dyDescent="0.35">
      <c r="A22" t="s">
        <v>31</v>
      </c>
      <c r="B22" t="s">
        <v>1249</v>
      </c>
      <c r="C22" s="6">
        <v>253296</v>
      </c>
      <c r="D22">
        <v>1429</v>
      </c>
    </row>
    <row r="23" spans="1:4" x14ac:dyDescent="0.35">
      <c r="A23" t="s">
        <v>29</v>
      </c>
      <c r="B23" t="s">
        <v>1253</v>
      </c>
      <c r="C23" s="6">
        <v>251355</v>
      </c>
      <c r="D23">
        <v>1418</v>
      </c>
    </row>
    <row r="24" spans="1:4" x14ac:dyDescent="0.35">
      <c r="A24" t="s">
        <v>77</v>
      </c>
      <c r="B24" t="s">
        <v>1251</v>
      </c>
      <c r="C24" s="6">
        <v>238052</v>
      </c>
      <c r="D24">
        <v>1343</v>
      </c>
    </row>
    <row r="25" spans="1:4" x14ac:dyDescent="0.35">
      <c r="A25" t="s">
        <v>19</v>
      </c>
      <c r="B25" t="s">
        <v>1253</v>
      </c>
      <c r="C25" s="6">
        <v>236081</v>
      </c>
      <c r="D25">
        <v>1332</v>
      </c>
    </row>
    <row r="26" spans="1:4" x14ac:dyDescent="0.35">
      <c r="A26" t="s">
        <v>31</v>
      </c>
      <c r="B26" t="s">
        <v>1253</v>
      </c>
      <c r="C26" s="6">
        <v>233598</v>
      </c>
      <c r="D26">
        <v>1318</v>
      </c>
    </row>
    <row r="27" spans="1:4" x14ac:dyDescent="0.35">
      <c r="A27" t="s">
        <v>31</v>
      </c>
      <c r="B27" t="s">
        <v>1248</v>
      </c>
      <c r="C27" s="6">
        <v>231625</v>
      </c>
      <c r="D27">
        <v>1307</v>
      </c>
    </row>
    <row r="28" spans="1:4" x14ac:dyDescent="0.35">
      <c r="A28" t="s">
        <v>67</v>
      </c>
      <c r="B28" t="s">
        <v>1249</v>
      </c>
      <c r="C28" s="6">
        <v>231078</v>
      </c>
      <c r="D28">
        <v>1304</v>
      </c>
    </row>
    <row r="29" spans="1:4" x14ac:dyDescent="0.35">
      <c r="A29" t="s">
        <v>25</v>
      </c>
      <c r="B29" t="s">
        <v>1252</v>
      </c>
      <c r="C29" s="6">
        <v>229934</v>
      </c>
      <c r="D29">
        <v>1297</v>
      </c>
    </row>
    <row r="30" spans="1:4" x14ac:dyDescent="0.35">
      <c r="A30" t="s">
        <v>38</v>
      </c>
      <c r="B30" t="s">
        <v>1252</v>
      </c>
      <c r="C30" s="6">
        <v>229599</v>
      </c>
      <c r="D30">
        <v>1295</v>
      </c>
    </row>
    <row r="31" spans="1:4" x14ac:dyDescent="0.35">
      <c r="A31" t="s">
        <v>15</v>
      </c>
      <c r="B31" t="s">
        <v>1250</v>
      </c>
      <c r="C31" s="6">
        <v>222580</v>
      </c>
      <c r="D31">
        <v>1256</v>
      </c>
    </row>
    <row r="32" spans="1:4" x14ac:dyDescent="0.35">
      <c r="A32" t="s">
        <v>29</v>
      </c>
      <c r="B32" t="s">
        <v>1252</v>
      </c>
      <c r="C32" s="6">
        <v>218277</v>
      </c>
      <c r="D32">
        <v>1231</v>
      </c>
    </row>
    <row r="33" spans="1:4" x14ac:dyDescent="0.35">
      <c r="A33" t="s">
        <v>19</v>
      </c>
      <c r="B33" t="s">
        <v>1249</v>
      </c>
      <c r="C33" s="6">
        <v>214379</v>
      </c>
      <c r="D33">
        <v>1209</v>
      </c>
    </row>
    <row r="34" spans="1:4" x14ac:dyDescent="0.35">
      <c r="A34" t="s">
        <v>19</v>
      </c>
      <c r="B34" t="s">
        <v>1251</v>
      </c>
      <c r="C34" s="6">
        <v>212854</v>
      </c>
      <c r="D34">
        <v>1201</v>
      </c>
    </row>
    <row r="35" spans="1:4" x14ac:dyDescent="0.35">
      <c r="A35" t="s">
        <v>43</v>
      </c>
      <c r="B35" t="s">
        <v>1252</v>
      </c>
      <c r="C35" s="6">
        <v>211949</v>
      </c>
      <c r="D35">
        <v>1196</v>
      </c>
    </row>
    <row r="36" spans="1:4" x14ac:dyDescent="0.35">
      <c r="A36" t="s">
        <v>43</v>
      </c>
      <c r="B36" t="s">
        <v>1250</v>
      </c>
      <c r="C36" s="6">
        <v>210758</v>
      </c>
      <c r="D36">
        <v>1189</v>
      </c>
    </row>
    <row r="37" spans="1:4" x14ac:dyDescent="0.35">
      <c r="A37" t="s">
        <v>15</v>
      </c>
      <c r="B37" t="s">
        <v>1252</v>
      </c>
      <c r="C37" s="6">
        <v>207886</v>
      </c>
      <c r="D37">
        <v>1173</v>
      </c>
    </row>
    <row r="38" spans="1:4" x14ac:dyDescent="0.35">
      <c r="A38" t="s">
        <v>31</v>
      </c>
      <c r="B38" t="s">
        <v>1252</v>
      </c>
      <c r="C38" s="6">
        <v>203447</v>
      </c>
      <c r="D38">
        <v>1148</v>
      </c>
    </row>
    <row r="39" spans="1:4" x14ac:dyDescent="0.35">
      <c r="A39" t="s">
        <v>25</v>
      </c>
      <c r="B39" t="s">
        <v>1253</v>
      </c>
      <c r="C39" s="6">
        <v>199954</v>
      </c>
      <c r="D39">
        <v>1128</v>
      </c>
    </row>
    <row r="40" spans="1:4" x14ac:dyDescent="0.35">
      <c r="A40" t="s">
        <v>53</v>
      </c>
      <c r="B40" t="s">
        <v>1248</v>
      </c>
      <c r="C40" s="6">
        <v>198805</v>
      </c>
      <c r="D40">
        <v>1122</v>
      </c>
    </row>
    <row r="41" spans="1:4" x14ac:dyDescent="0.35">
      <c r="A41" t="s">
        <v>22</v>
      </c>
      <c r="B41" t="s">
        <v>1251</v>
      </c>
      <c r="C41" s="6">
        <v>197035</v>
      </c>
      <c r="D41">
        <v>1112</v>
      </c>
    </row>
    <row r="42" spans="1:4" x14ac:dyDescent="0.35">
      <c r="A42" t="s">
        <v>29</v>
      </c>
      <c r="B42" t="s">
        <v>1251</v>
      </c>
      <c r="C42" s="6">
        <v>195243</v>
      </c>
      <c r="D42">
        <v>1101</v>
      </c>
    </row>
    <row r="43" spans="1:4" x14ac:dyDescent="0.35">
      <c r="A43" t="s">
        <v>22</v>
      </c>
      <c r="B43" t="s">
        <v>1253</v>
      </c>
      <c r="C43" s="6">
        <v>190657</v>
      </c>
      <c r="D43">
        <v>1076</v>
      </c>
    </row>
    <row r="44" spans="1:4" x14ac:dyDescent="0.35">
      <c r="A44" t="s">
        <v>11</v>
      </c>
      <c r="B44" t="s">
        <v>1249</v>
      </c>
      <c r="C44" s="6">
        <v>187138</v>
      </c>
      <c r="D44">
        <v>1056</v>
      </c>
    </row>
    <row r="45" spans="1:4" x14ac:dyDescent="0.35">
      <c r="A45" t="s">
        <v>19</v>
      </c>
      <c r="B45" t="s">
        <v>1252</v>
      </c>
      <c r="C45" s="6">
        <v>185966</v>
      </c>
      <c r="D45">
        <v>1049</v>
      </c>
    </row>
    <row r="46" spans="1:4" x14ac:dyDescent="0.35">
      <c r="A46" t="s">
        <v>11</v>
      </c>
      <c r="B46" t="s">
        <v>1252</v>
      </c>
      <c r="C46" s="6">
        <v>183297</v>
      </c>
      <c r="D46">
        <v>1034</v>
      </c>
    </row>
    <row r="47" spans="1:4" x14ac:dyDescent="0.35">
      <c r="A47" t="s">
        <v>22</v>
      </c>
      <c r="B47" t="s">
        <v>1252</v>
      </c>
      <c r="C47" s="6">
        <v>179428</v>
      </c>
      <c r="D47">
        <v>1012</v>
      </c>
    </row>
    <row r="48" spans="1:4" x14ac:dyDescent="0.35">
      <c r="A48" t="s">
        <v>53</v>
      </c>
      <c r="B48" t="s">
        <v>1252</v>
      </c>
      <c r="C48" s="6">
        <v>178119</v>
      </c>
      <c r="D48">
        <v>1005</v>
      </c>
    </row>
    <row r="49" spans="1:4" x14ac:dyDescent="0.35">
      <c r="A49" t="s">
        <v>19</v>
      </c>
      <c r="B49" t="s">
        <v>1250</v>
      </c>
      <c r="C49" s="6">
        <v>174352</v>
      </c>
      <c r="D49">
        <v>984</v>
      </c>
    </row>
    <row r="50" spans="1:4" x14ac:dyDescent="0.35">
      <c r="A50" t="s">
        <v>53</v>
      </c>
      <c r="B50" t="s">
        <v>1250</v>
      </c>
      <c r="C50" s="6">
        <v>169837</v>
      </c>
      <c r="D50">
        <v>958</v>
      </c>
    </row>
    <row r="51" spans="1:4" x14ac:dyDescent="0.35">
      <c r="A51" t="s">
        <v>77</v>
      </c>
      <c r="B51" t="s">
        <v>1248</v>
      </c>
      <c r="C51" s="6">
        <v>166128</v>
      </c>
      <c r="D51">
        <v>937</v>
      </c>
    </row>
    <row r="52" spans="1:4" x14ac:dyDescent="0.35">
      <c r="A52" t="s">
        <v>15</v>
      </c>
      <c r="B52" t="s">
        <v>1249</v>
      </c>
      <c r="C52" s="6">
        <v>160166</v>
      </c>
      <c r="D52">
        <v>903</v>
      </c>
    </row>
    <row r="53" spans="1:4" x14ac:dyDescent="0.35">
      <c r="A53" t="s">
        <v>25</v>
      </c>
      <c r="B53" t="s">
        <v>1250</v>
      </c>
      <c r="C53" s="6">
        <v>155152</v>
      </c>
      <c r="D53">
        <v>875</v>
      </c>
    </row>
    <row r="54" spans="1:4" x14ac:dyDescent="0.35">
      <c r="A54" t="s">
        <v>67</v>
      </c>
      <c r="B54" t="s">
        <v>1250</v>
      </c>
      <c r="C54" s="6">
        <v>154211</v>
      </c>
      <c r="D54">
        <v>870</v>
      </c>
    </row>
    <row r="55" spans="1:4" x14ac:dyDescent="0.35">
      <c r="A55" t="s">
        <v>15</v>
      </c>
      <c r="B55" t="s">
        <v>1251</v>
      </c>
      <c r="C55" s="6">
        <v>153537</v>
      </c>
      <c r="D55">
        <v>866</v>
      </c>
    </row>
    <row r="56" spans="1:4" x14ac:dyDescent="0.35">
      <c r="A56" t="s">
        <v>22</v>
      </c>
      <c r="B56" t="s">
        <v>1248</v>
      </c>
      <c r="C56" s="6">
        <v>144518</v>
      </c>
      <c r="D56">
        <v>815</v>
      </c>
    </row>
    <row r="57" spans="1:4" x14ac:dyDescent="0.35">
      <c r="A57" t="s">
        <v>77</v>
      </c>
      <c r="B57" t="s">
        <v>1249</v>
      </c>
      <c r="C57" s="6">
        <v>141253</v>
      </c>
      <c r="D57">
        <v>797</v>
      </c>
    </row>
    <row r="58" spans="1:4" x14ac:dyDescent="0.35">
      <c r="A58" t="s">
        <v>29</v>
      </c>
      <c r="B58" t="s">
        <v>1249</v>
      </c>
      <c r="C58" s="6">
        <v>128311</v>
      </c>
      <c r="D58">
        <v>724</v>
      </c>
    </row>
    <row r="59" spans="1:4" x14ac:dyDescent="0.35">
      <c r="A59" t="s">
        <v>53</v>
      </c>
      <c r="B59" t="s">
        <v>1251</v>
      </c>
      <c r="C59" s="6">
        <v>127003</v>
      </c>
      <c r="D59">
        <v>716</v>
      </c>
    </row>
    <row r="60" spans="1:4" x14ac:dyDescent="0.35">
      <c r="A60" t="s">
        <v>11</v>
      </c>
      <c r="B60" t="s">
        <v>1248</v>
      </c>
      <c r="C60" s="6">
        <v>115149</v>
      </c>
      <c r="D60">
        <v>649</v>
      </c>
    </row>
    <row r="61" spans="1:4" x14ac:dyDescent="0.35">
      <c r="A61" t="s">
        <v>43</v>
      </c>
      <c r="B61" t="s">
        <v>1251</v>
      </c>
      <c r="C61" s="6">
        <v>114553</v>
      </c>
      <c r="D61">
        <v>646</v>
      </c>
    </row>
    <row r="62" spans="1:4" x14ac:dyDescent="0.35">
      <c r="A62" t="s">
        <v>31</v>
      </c>
      <c r="B62" t="s">
        <v>1250</v>
      </c>
      <c r="C62" s="6">
        <v>114169</v>
      </c>
      <c r="D62">
        <v>644</v>
      </c>
    </row>
    <row r="63" spans="1:4" x14ac:dyDescent="0.35">
      <c r="A63" t="s">
        <v>11</v>
      </c>
      <c r="B63" t="s">
        <v>1250</v>
      </c>
      <c r="C63" s="6">
        <v>113346</v>
      </c>
      <c r="D63">
        <v>639</v>
      </c>
    </row>
    <row r="64" spans="1:4" x14ac:dyDescent="0.35">
      <c r="A64" t="s">
        <v>77</v>
      </c>
      <c r="B64" t="s">
        <v>1252</v>
      </c>
      <c r="C64" s="6">
        <v>109785</v>
      </c>
      <c r="D64">
        <v>619</v>
      </c>
    </row>
    <row r="65" spans="1:4" x14ac:dyDescent="0.35">
      <c r="A65" t="s">
        <v>43</v>
      </c>
      <c r="B65" t="s">
        <v>1249</v>
      </c>
      <c r="C65" s="6">
        <v>107766</v>
      </c>
      <c r="D65">
        <v>608</v>
      </c>
    </row>
    <row r="66" spans="1:4" x14ac:dyDescent="0.35">
      <c r="A66" t="s">
        <v>43</v>
      </c>
      <c r="B66" t="s">
        <v>1248</v>
      </c>
      <c r="C66" s="6">
        <v>106422</v>
      </c>
      <c r="D66">
        <v>600</v>
      </c>
    </row>
    <row r="67" spans="1:4" x14ac:dyDescent="0.35">
      <c r="A67" t="s">
        <v>38</v>
      </c>
      <c r="B67" t="s">
        <v>1250</v>
      </c>
      <c r="C67" s="6">
        <v>103202</v>
      </c>
      <c r="D67">
        <v>582</v>
      </c>
    </row>
    <row r="68" spans="1:4" x14ac:dyDescent="0.35">
      <c r="A68" t="s">
        <v>29</v>
      </c>
      <c r="B68" t="s">
        <v>1248</v>
      </c>
      <c r="C68" s="6">
        <v>97692</v>
      </c>
      <c r="D68">
        <v>551</v>
      </c>
    </row>
    <row r="69" spans="1:4" x14ac:dyDescent="0.35">
      <c r="A69" t="s">
        <v>38</v>
      </c>
      <c r="B69" t="s">
        <v>1248</v>
      </c>
      <c r="C69" s="6">
        <v>95855</v>
      </c>
      <c r="D69">
        <v>540</v>
      </c>
    </row>
    <row r="70" spans="1:4" x14ac:dyDescent="0.35">
      <c r="A70" t="s">
        <v>31</v>
      </c>
      <c r="B70" t="s">
        <v>1251</v>
      </c>
      <c r="C70" s="6">
        <v>80695</v>
      </c>
      <c r="D70">
        <v>455</v>
      </c>
    </row>
    <row r="71" spans="1:4" x14ac:dyDescent="0.35">
      <c r="A71" t="s">
        <v>25</v>
      </c>
      <c r="B71" t="s">
        <v>1249</v>
      </c>
      <c r="C71" s="6">
        <v>79926</v>
      </c>
      <c r="D71">
        <v>451</v>
      </c>
    </row>
    <row r="72" spans="1:4" x14ac:dyDescent="0.35">
      <c r="A72" t="s">
        <v>25</v>
      </c>
      <c r="B72" t="s">
        <v>1248</v>
      </c>
      <c r="C72" s="6">
        <v>78969</v>
      </c>
      <c r="D72">
        <v>445</v>
      </c>
    </row>
    <row r="73" spans="1:4" x14ac:dyDescent="0.35">
      <c r="A73" t="s">
        <v>67</v>
      </c>
      <c r="B73" t="s">
        <v>1251</v>
      </c>
      <c r="C73" s="6">
        <v>76881</v>
      </c>
      <c r="D73">
        <v>433</v>
      </c>
    </row>
  </sheetData>
  <sortState xmlns:xlrd2="http://schemas.microsoft.com/office/spreadsheetml/2017/richdata2" ref="A2:D73">
    <sortCondition descending="1" ref="C2:C7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
  <sheetViews>
    <sheetView workbookViewId="0">
      <selection activeCell="E18" sqref="E18"/>
    </sheetView>
  </sheetViews>
  <sheetFormatPr defaultRowHeight="14.5" x14ac:dyDescent="0.35"/>
  <cols>
    <col min="1" max="1" width="19.26953125" customWidth="1"/>
    <col min="2" max="2" width="16.1796875" customWidth="1"/>
    <col min="3" max="3" width="18.6328125" customWidth="1"/>
    <col min="4" max="4" width="19.90625" customWidth="1"/>
    <col min="5" max="5" width="11.6328125" customWidth="1"/>
    <col min="8" max="8" width="15.90625" bestFit="1" customWidth="1"/>
    <col min="9" max="9" width="21.36328125" bestFit="1" customWidth="1"/>
  </cols>
  <sheetData>
    <row r="1" spans="1:9" x14ac:dyDescent="0.35">
      <c r="A1" t="s">
        <v>1245</v>
      </c>
      <c r="B1" t="s">
        <v>1246</v>
      </c>
      <c r="C1" t="s">
        <v>1244</v>
      </c>
      <c r="D1" t="s">
        <v>1243</v>
      </c>
      <c r="E1" t="s">
        <v>1247</v>
      </c>
      <c r="H1" s="12" t="s">
        <v>1267</v>
      </c>
      <c r="I1" t="s">
        <v>1277</v>
      </c>
    </row>
    <row r="2" spans="1:9" x14ac:dyDescent="0.35">
      <c r="A2" t="s">
        <v>21</v>
      </c>
      <c r="B2" t="s">
        <v>1239</v>
      </c>
      <c r="C2">
        <v>149</v>
      </c>
      <c r="D2">
        <v>3.28</v>
      </c>
      <c r="E2">
        <v>9004</v>
      </c>
      <c r="H2" s="13" t="s">
        <v>21</v>
      </c>
      <c r="I2" s="11">
        <v>190</v>
      </c>
    </row>
    <row r="3" spans="1:9" x14ac:dyDescent="0.35">
      <c r="A3" t="s">
        <v>10</v>
      </c>
      <c r="B3" t="s">
        <v>1242</v>
      </c>
      <c r="C3">
        <v>190</v>
      </c>
      <c r="D3">
        <v>4.3</v>
      </c>
      <c r="E3">
        <v>9001</v>
      </c>
      <c r="H3" s="13" t="s">
        <v>10</v>
      </c>
      <c r="I3" s="11">
        <v>204</v>
      </c>
    </row>
    <row r="4" spans="1:9" x14ac:dyDescent="0.35">
      <c r="A4" t="s">
        <v>10</v>
      </c>
      <c r="B4" t="s">
        <v>1235</v>
      </c>
      <c r="C4">
        <v>196</v>
      </c>
      <c r="D4">
        <v>4.3099999999999996</v>
      </c>
      <c r="E4">
        <v>9008</v>
      </c>
      <c r="H4" s="13" t="s">
        <v>37</v>
      </c>
      <c r="I4" s="11">
        <v>207</v>
      </c>
    </row>
    <row r="5" spans="1:9" x14ac:dyDescent="0.35">
      <c r="A5" t="s">
        <v>14</v>
      </c>
      <c r="B5" t="s">
        <v>1236</v>
      </c>
      <c r="C5">
        <v>122</v>
      </c>
      <c r="D5">
        <v>3.09</v>
      </c>
      <c r="E5">
        <v>9007</v>
      </c>
      <c r="H5" s="13" t="s">
        <v>14</v>
      </c>
      <c r="I5" s="11">
        <v>195</v>
      </c>
    </row>
    <row r="6" spans="1:9" x14ac:dyDescent="0.35">
      <c r="A6" t="s">
        <v>18</v>
      </c>
      <c r="B6" t="s">
        <v>1241</v>
      </c>
      <c r="C6">
        <v>111</v>
      </c>
      <c r="D6">
        <v>4.75</v>
      </c>
      <c r="E6">
        <v>9002</v>
      </c>
      <c r="H6" s="13" t="s">
        <v>18</v>
      </c>
      <c r="I6" s="11">
        <v>206</v>
      </c>
    </row>
    <row r="7" spans="1:9" x14ac:dyDescent="0.35">
      <c r="A7" t="s">
        <v>18</v>
      </c>
      <c r="B7" t="s">
        <v>1237</v>
      </c>
      <c r="C7">
        <v>160</v>
      </c>
      <c r="D7">
        <v>3.21</v>
      </c>
      <c r="E7">
        <v>9006</v>
      </c>
      <c r="H7" s="13" t="s">
        <v>27</v>
      </c>
      <c r="I7" s="11">
        <v>198</v>
      </c>
    </row>
    <row r="8" spans="1:9" x14ac:dyDescent="0.35">
      <c r="A8" t="s">
        <v>27</v>
      </c>
      <c r="B8" t="s">
        <v>1240</v>
      </c>
      <c r="C8">
        <v>167</v>
      </c>
      <c r="D8">
        <v>4.58</v>
      </c>
      <c r="E8">
        <v>9003</v>
      </c>
      <c r="H8" s="13" t="s">
        <v>1268</v>
      </c>
      <c r="I8" s="11">
        <v>1200</v>
      </c>
    </row>
    <row r="9" spans="1:9" x14ac:dyDescent="0.35">
      <c r="A9" t="s">
        <v>27</v>
      </c>
      <c r="B9" t="s">
        <v>1238</v>
      </c>
      <c r="C9">
        <v>71</v>
      </c>
      <c r="D9">
        <v>4.09</v>
      </c>
      <c r="E9">
        <v>9005</v>
      </c>
    </row>
    <row r="10" spans="1:9" x14ac:dyDescent="0.35">
      <c r="C10">
        <f>SUM(Table3[Students_Assigned])</f>
        <v>1166</v>
      </c>
    </row>
    <row r="11" spans="1:9" x14ac:dyDescent="0.35">
      <c r="D11">
        <f>MAX(Table3[Satisfaction_Score])</f>
        <v>4.75</v>
      </c>
    </row>
    <row r="13" spans="1:9" x14ac:dyDescent="0.35">
      <c r="D13" t="str">
        <f>INDEX(Table3[Trainer_Name],MATCH(MAX(Table3[Satisfaction_Score]),Table3[Satisfaction_Score],0))</f>
        <v>Meera</v>
      </c>
    </row>
  </sheetData>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5"/>
  <sheetViews>
    <sheetView workbookViewId="0">
      <selection activeCell="C15" sqref="C15"/>
    </sheetView>
  </sheetViews>
  <sheetFormatPr defaultRowHeight="14.5" x14ac:dyDescent="0.35"/>
  <cols>
    <col min="2" max="2" width="17.1796875" customWidth="1"/>
    <col min="3" max="3" width="19.1796875" customWidth="1"/>
  </cols>
  <sheetData>
    <row r="1" spans="1:3" x14ac:dyDescent="0.35">
      <c r="A1" s="2" t="s">
        <v>7</v>
      </c>
      <c r="B1" s="2" t="s">
        <v>1233</v>
      </c>
      <c r="C1" s="7" t="s">
        <v>1234</v>
      </c>
    </row>
    <row r="2" spans="1:3" x14ac:dyDescent="0.35">
      <c r="A2" t="s">
        <v>15</v>
      </c>
      <c r="B2">
        <v>95</v>
      </c>
      <c r="C2" s="6">
        <v>3313031</v>
      </c>
    </row>
    <row r="3" spans="1:3" x14ac:dyDescent="0.35">
      <c r="A3" t="s">
        <v>77</v>
      </c>
      <c r="B3">
        <v>85</v>
      </c>
      <c r="C3" s="6">
        <v>2837630</v>
      </c>
    </row>
    <row r="4" spans="1:3" x14ac:dyDescent="0.35">
      <c r="A4" t="s">
        <v>19</v>
      </c>
      <c r="B4">
        <v>113</v>
      </c>
      <c r="C4" s="6">
        <v>3545893</v>
      </c>
    </row>
    <row r="5" spans="1:3" x14ac:dyDescent="0.35">
      <c r="A5" t="s">
        <v>11</v>
      </c>
      <c r="B5">
        <v>104</v>
      </c>
      <c r="C5" s="6">
        <v>3399338</v>
      </c>
    </row>
    <row r="6" spans="1:3" x14ac:dyDescent="0.35">
      <c r="A6" t="s">
        <v>31</v>
      </c>
      <c r="B6">
        <v>121</v>
      </c>
      <c r="C6" s="6">
        <v>4034138</v>
      </c>
    </row>
    <row r="7" spans="1:3" x14ac:dyDescent="0.35">
      <c r="A7" t="s">
        <v>67</v>
      </c>
      <c r="B7">
        <v>102</v>
      </c>
      <c r="C7" s="6">
        <v>3231986</v>
      </c>
    </row>
    <row r="8" spans="1:3" x14ac:dyDescent="0.35">
      <c r="A8" t="s">
        <v>43</v>
      </c>
      <c r="B8">
        <v>83</v>
      </c>
      <c r="C8" s="6">
        <v>2480854</v>
      </c>
    </row>
    <row r="9" spans="1:3" x14ac:dyDescent="0.35">
      <c r="A9" t="s">
        <v>38</v>
      </c>
      <c r="B9">
        <v>102</v>
      </c>
      <c r="C9" s="6">
        <v>3393793</v>
      </c>
    </row>
    <row r="10" spans="1:3" x14ac:dyDescent="0.35">
      <c r="A10" t="s">
        <v>53</v>
      </c>
      <c r="B10">
        <v>109</v>
      </c>
      <c r="C10" s="6">
        <v>3448691</v>
      </c>
    </row>
    <row r="11" spans="1:3" x14ac:dyDescent="0.35">
      <c r="A11" t="s">
        <v>22</v>
      </c>
      <c r="B11">
        <v>97</v>
      </c>
      <c r="C11" s="6">
        <v>3366455</v>
      </c>
    </row>
    <row r="12" spans="1:3" x14ac:dyDescent="0.35">
      <c r="A12" t="s">
        <v>29</v>
      </c>
      <c r="B12">
        <v>91</v>
      </c>
      <c r="C12" s="6">
        <v>2876138</v>
      </c>
    </row>
    <row r="13" spans="1:3" x14ac:dyDescent="0.35">
      <c r="A13" t="s">
        <v>25</v>
      </c>
      <c r="B13">
        <v>98</v>
      </c>
      <c r="C13" s="6">
        <v>3194551</v>
      </c>
    </row>
    <row r="15" spans="1:3" x14ac:dyDescent="0.35">
      <c r="C15" s="19">
        <f>SUM(C2:C13)</f>
        <v>39122498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6"/>
  <sheetViews>
    <sheetView workbookViewId="0">
      <selection activeCell="A3" sqref="A3:B10"/>
    </sheetView>
  </sheetViews>
  <sheetFormatPr defaultRowHeight="14.5" x14ac:dyDescent="0.35"/>
  <cols>
    <col min="1" max="1" width="15.90625" bestFit="1" customWidth="1"/>
    <col min="2" max="2" width="21.36328125" bestFit="1" customWidth="1"/>
  </cols>
  <sheetData>
    <row r="3" spans="1:2" x14ac:dyDescent="0.35">
      <c r="A3" s="12" t="s">
        <v>1267</v>
      </c>
      <c r="B3" t="s">
        <v>1277</v>
      </c>
    </row>
    <row r="4" spans="1:2" x14ac:dyDescent="0.35">
      <c r="A4" s="13" t="s">
        <v>21</v>
      </c>
      <c r="B4" s="11">
        <v>190</v>
      </c>
    </row>
    <row r="5" spans="1:2" x14ac:dyDescent="0.35">
      <c r="A5" s="13" t="s">
        <v>10</v>
      </c>
      <c r="B5" s="11">
        <v>204</v>
      </c>
    </row>
    <row r="6" spans="1:2" x14ac:dyDescent="0.35">
      <c r="A6" s="13" t="s">
        <v>37</v>
      </c>
      <c r="B6" s="11">
        <v>207</v>
      </c>
    </row>
    <row r="7" spans="1:2" x14ac:dyDescent="0.35">
      <c r="A7" s="13" t="s">
        <v>14</v>
      </c>
      <c r="B7" s="11">
        <v>195</v>
      </c>
    </row>
    <row r="8" spans="1:2" x14ac:dyDescent="0.35">
      <c r="A8" s="13" t="s">
        <v>18</v>
      </c>
      <c r="B8" s="11">
        <v>206</v>
      </c>
    </row>
    <row r="9" spans="1:2" x14ac:dyDescent="0.35">
      <c r="A9" s="13" t="s">
        <v>27</v>
      </c>
      <c r="B9" s="11">
        <v>198</v>
      </c>
    </row>
    <row r="10" spans="1:2" x14ac:dyDescent="0.35">
      <c r="A10" s="13" t="s">
        <v>1268</v>
      </c>
      <c r="B10" s="11">
        <v>1200</v>
      </c>
    </row>
    <row r="14" spans="1:2" x14ac:dyDescent="0.35">
      <c r="B14">
        <f>MAX(B4:B9)</f>
        <v>207</v>
      </c>
    </row>
    <row r="16" spans="1:2" x14ac:dyDescent="0.35">
      <c r="B16" t="str">
        <f>INDEX(A4:A9,MATCH(MAX(B4:B9),B4:B9,0))</f>
        <v>Data Analytics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
  <sheetViews>
    <sheetView workbookViewId="0">
      <selection activeCell="C14" sqref="C14"/>
    </sheetView>
  </sheetViews>
  <sheetFormatPr defaultRowHeight="14.5" x14ac:dyDescent="0.35"/>
  <cols>
    <col min="1" max="1" width="18.08984375" customWidth="1"/>
    <col min="2" max="2" width="18.6328125" customWidth="1"/>
    <col min="3" max="3" width="16.90625" customWidth="1"/>
    <col min="4" max="4" width="21.6328125" customWidth="1"/>
    <col min="5" max="5" width="13.26953125" customWidth="1"/>
    <col min="6" max="6" width="15.26953125" customWidth="1"/>
    <col min="8" max="8" width="14.26953125" customWidth="1"/>
    <col min="11" max="11" width="11.7265625" customWidth="1"/>
  </cols>
  <sheetData>
    <row r="1" spans="1:6" x14ac:dyDescent="0.35">
      <c r="A1" s="2" t="s">
        <v>7</v>
      </c>
      <c r="B1" s="2" t="s">
        <v>1259</v>
      </c>
      <c r="C1" s="3" t="s">
        <v>1260</v>
      </c>
      <c r="D1" s="10" t="s">
        <v>1262</v>
      </c>
      <c r="E1" s="2" t="s">
        <v>1261</v>
      </c>
      <c r="F1" s="10" t="s">
        <v>1263</v>
      </c>
    </row>
    <row r="2" spans="1:6" x14ac:dyDescent="0.35">
      <c r="A2" t="s">
        <v>15</v>
      </c>
      <c r="B2">
        <f>COUNTIFS('Cleaned enrollment data'!H:H,A2)</f>
        <v>95</v>
      </c>
      <c r="C2" s="5">
        <f>SUMIFS('Cleaned Revenue data'!C2:C13,'Cleaned Revenue data'!A2:A13,A2)</f>
        <v>3313031</v>
      </c>
      <c r="D2" s="8">
        <f>SUMIFS('Cleaned Marketing data'!C:C,'Cleaned Marketing data'!A:A,A2)</f>
        <v>1332741</v>
      </c>
      <c r="E2">
        <f>SUMIFS('Cleaned Marketing data'!D:D,'Cleaned Marketing data'!A:A,A2)</f>
        <v>7519</v>
      </c>
      <c r="F2" s="9">
        <f>D2/B2</f>
        <v>14028.852631578948</v>
      </c>
    </row>
    <row r="3" spans="1:6" x14ac:dyDescent="0.35">
      <c r="A3" t="s">
        <v>77</v>
      </c>
      <c r="B3">
        <f>COUNTIFS('Cleaned enrollment data'!H:H,A3)</f>
        <v>85</v>
      </c>
      <c r="C3" s="5">
        <f>SUMIFS('Cleaned Revenue data'!C3:C14,'Cleaned Revenue data'!A3:A14,A3)</f>
        <v>2837630</v>
      </c>
      <c r="D3" s="8">
        <f>SUMIFS('Cleaned Marketing data'!C:C,'Cleaned Marketing data'!A:A,A3)</f>
        <v>1231849</v>
      </c>
      <c r="E3">
        <f>SUMIFS('Cleaned Marketing data'!D:D,'Cleaned Marketing data'!A:A,A3)</f>
        <v>6949</v>
      </c>
      <c r="F3" s="9">
        <f t="shared" ref="F3:F13" si="0">D3/B3</f>
        <v>14492.341176470589</v>
      </c>
    </row>
    <row r="4" spans="1:6" x14ac:dyDescent="0.35">
      <c r="A4" t="s">
        <v>19</v>
      </c>
      <c r="B4">
        <f>COUNTIFS('Cleaned enrollment data'!H:H,A4)</f>
        <v>113</v>
      </c>
      <c r="C4" s="5">
        <f>SUMIFS('Cleaned Revenue data'!C4:C15,'Cleaned Revenue data'!A4:A15,A4)</f>
        <v>3545893</v>
      </c>
      <c r="D4" s="8">
        <f>SUMIFS('Cleaned Marketing data'!C:C,'Cleaned Marketing data'!A:A,A4)</f>
        <v>1321911</v>
      </c>
      <c r="E4">
        <f>SUMIFS('Cleaned Marketing data'!D:D,'Cleaned Marketing data'!A:A,A4)</f>
        <v>7458</v>
      </c>
      <c r="F4" s="9">
        <f t="shared" si="0"/>
        <v>11698.327433628319</v>
      </c>
    </row>
    <row r="5" spans="1:6" x14ac:dyDescent="0.35">
      <c r="A5" t="s">
        <v>11</v>
      </c>
      <c r="B5">
        <f>COUNTIFS('Cleaned enrollment data'!H:H,A5)</f>
        <v>104</v>
      </c>
      <c r="C5" s="5">
        <f>SUMIFS('Cleaned Revenue data'!C5:C16,'Cleaned Revenue data'!A5:A16,A5)</f>
        <v>3399338</v>
      </c>
      <c r="D5" s="8">
        <f>SUMIFS('Cleaned Marketing data'!C:C,'Cleaned Marketing data'!A:A,A5)</f>
        <v>1193157</v>
      </c>
      <c r="E5">
        <f>SUMIFS('Cleaned Marketing data'!D:D,'Cleaned Marketing data'!A:A,A5)</f>
        <v>6731</v>
      </c>
      <c r="F5" s="9">
        <f t="shared" si="0"/>
        <v>11472.663461538461</v>
      </c>
    </row>
    <row r="6" spans="1:6" x14ac:dyDescent="0.35">
      <c r="A6" t="s">
        <v>31</v>
      </c>
      <c r="B6">
        <f>COUNTIFS('Cleaned enrollment data'!H:H,A6)</f>
        <v>121</v>
      </c>
      <c r="C6" s="5">
        <f>SUMIFS('Cleaned Revenue data'!C6:C17,'Cleaned Revenue data'!A6:A17,A6)</f>
        <v>4034138</v>
      </c>
      <c r="D6" s="8">
        <f>SUMIFS('Cleaned Marketing data'!C:C,'Cleaned Marketing data'!A:A,A6)</f>
        <v>1116830</v>
      </c>
      <c r="E6">
        <f>SUMIFS('Cleaned Marketing data'!D:D,'Cleaned Marketing data'!A:A,A6)</f>
        <v>6301</v>
      </c>
      <c r="F6" s="9">
        <f t="shared" si="0"/>
        <v>9230</v>
      </c>
    </row>
    <row r="7" spans="1:6" x14ac:dyDescent="0.35">
      <c r="A7" t="s">
        <v>67</v>
      </c>
      <c r="B7">
        <f>COUNTIFS('Cleaned enrollment data'!H:H,A7)</f>
        <v>102</v>
      </c>
      <c r="C7" s="5">
        <f>SUMIFS('Cleaned Revenue data'!C7:C18,'Cleaned Revenue data'!A7:A18,A7)</f>
        <v>3231986</v>
      </c>
      <c r="D7" s="8">
        <f>SUMIFS('Cleaned Marketing data'!C:C,'Cleaned Marketing data'!A:A,A7)</f>
        <v>1293465</v>
      </c>
      <c r="E7">
        <f>SUMIFS('Cleaned Marketing data'!D:D,'Cleaned Marketing data'!A:A,A7)</f>
        <v>7297</v>
      </c>
      <c r="F7" s="9">
        <f t="shared" si="0"/>
        <v>12681.029411764706</v>
      </c>
    </row>
    <row r="8" spans="1:6" x14ac:dyDescent="0.35">
      <c r="A8" t="s">
        <v>43</v>
      </c>
      <c r="B8">
        <f>COUNTIFS('Cleaned enrollment data'!H:H,A8)</f>
        <v>83</v>
      </c>
      <c r="C8" s="5">
        <f>SUMIFS('Cleaned Revenue data'!C8:C19,'Cleaned Revenue data'!A8:A19,A8)</f>
        <v>2480854</v>
      </c>
      <c r="D8" s="8">
        <f>SUMIFS('Cleaned Marketing data'!C:C,'Cleaned Marketing data'!A:A,A8)</f>
        <v>1022006</v>
      </c>
      <c r="E8">
        <f>SUMIFS('Cleaned Marketing data'!D:D,'Cleaned Marketing data'!A:A,A8)</f>
        <v>5765</v>
      </c>
      <c r="F8" s="9">
        <f t="shared" si="0"/>
        <v>12313.325301204819</v>
      </c>
    </row>
    <row r="9" spans="1:6" x14ac:dyDescent="0.35">
      <c r="A9" t="s">
        <v>38</v>
      </c>
      <c r="B9">
        <f>COUNTIFS('Cleaned enrollment data'!H:H,A9)</f>
        <v>102</v>
      </c>
      <c r="C9" s="5">
        <f>SUMIFS('Cleaned Revenue data'!C9:C20,'Cleaned Revenue data'!A9:A20,A9)</f>
        <v>3393793</v>
      </c>
      <c r="D9" s="8">
        <f>SUMIFS('Cleaned Marketing data'!C:C,'Cleaned Marketing data'!A:A,A9)</f>
        <v>1384016</v>
      </c>
      <c r="E9">
        <f>SUMIFS('Cleaned Marketing data'!D:D,'Cleaned Marketing data'!A:A,A9)</f>
        <v>7808</v>
      </c>
      <c r="F9" s="9">
        <f t="shared" si="0"/>
        <v>13568.784313725489</v>
      </c>
    </row>
    <row r="10" spans="1:6" x14ac:dyDescent="0.35">
      <c r="A10" t="s">
        <v>53</v>
      </c>
      <c r="B10">
        <f>COUNTIFS('Cleaned enrollment data'!H:H,A10)</f>
        <v>109</v>
      </c>
      <c r="C10" s="5">
        <f>SUMIFS('Cleaned Revenue data'!C10:C21,'Cleaned Revenue data'!A10:A21,A10)</f>
        <v>3448691</v>
      </c>
      <c r="D10" s="8">
        <f>SUMIFS('Cleaned Marketing data'!C:C,'Cleaned Marketing data'!A:A,A10)</f>
        <v>1238276</v>
      </c>
      <c r="E10">
        <f>SUMIFS('Cleaned Marketing data'!D:D,'Cleaned Marketing data'!A:A,A10)</f>
        <v>6986</v>
      </c>
      <c r="F10" s="9">
        <f t="shared" si="0"/>
        <v>11360.330275229358</v>
      </c>
    </row>
    <row r="11" spans="1:6" x14ac:dyDescent="0.35">
      <c r="A11" t="s">
        <v>22</v>
      </c>
      <c r="B11">
        <f>COUNTIFS('Cleaned enrollment data'!H:H,A11)</f>
        <v>97</v>
      </c>
      <c r="C11" s="5">
        <f>SUMIFS('Cleaned Revenue data'!C11:C22,'Cleaned Revenue data'!A11:A22,A11)</f>
        <v>3366455</v>
      </c>
      <c r="D11" s="8">
        <f>SUMIFS('Cleaned Marketing data'!C:C,'Cleaned Marketing data'!A:A,A11)</f>
        <v>1309700</v>
      </c>
      <c r="E11">
        <f>SUMIFS('Cleaned Marketing data'!D:D,'Cleaned Marketing data'!A:A,A11)</f>
        <v>7389</v>
      </c>
      <c r="F11" s="9">
        <f t="shared" si="0"/>
        <v>13502.061855670103</v>
      </c>
    </row>
    <row r="12" spans="1:6" x14ac:dyDescent="0.35">
      <c r="A12" t="s">
        <v>29</v>
      </c>
      <c r="B12">
        <f>COUNTIFS('Cleaned enrollment data'!H:H,A12)</f>
        <v>91</v>
      </c>
      <c r="C12" s="5">
        <f>SUMIFS('Cleaned Revenue data'!C12:C23,'Cleaned Revenue data'!A12:A23,A12)</f>
        <v>2876138</v>
      </c>
      <c r="D12" s="8">
        <f>SUMIFS('Cleaned Marketing data'!C:C,'Cleaned Marketing data'!A:A,A12)</f>
        <v>1240770</v>
      </c>
      <c r="E12">
        <f>SUMIFS('Cleaned Marketing data'!D:D,'Cleaned Marketing data'!A:A,A12)</f>
        <v>6999</v>
      </c>
      <c r="F12" s="9">
        <f t="shared" si="0"/>
        <v>13634.835164835165</v>
      </c>
    </row>
    <row r="13" spans="1:6" x14ac:dyDescent="0.35">
      <c r="A13" t="s">
        <v>25</v>
      </c>
      <c r="B13">
        <f>COUNTIFS('Cleaned enrollment data'!H:H,A13)</f>
        <v>98</v>
      </c>
      <c r="C13" s="5">
        <f>SUMIFS('Cleaned Revenue data'!C13:C24,'Cleaned Revenue data'!A13:A24,A13)</f>
        <v>3194551</v>
      </c>
      <c r="D13" s="8">
        <f>SUMIFS('Cleaned Marketing data'!C:C,'Cleaned Marketing data'!A:A,A13)</f>
        <v>1040403</v>
      </c>
      <c r="E13">
        <f>SUMIFS('Cleaned Marketing data'!D:D,'Cleaned Marketing data'!A:A,A13)</f>
        <v>5869</v>
      </c>
      <c r="F13" s="9">
        <f t="shared" si="0"/>
        <v>10616.357142857143</v>
      </c>
    </row>
    <row r="14" spans="1:6" x14ac:dyDescent="0.35">
      <c r="B14">
        <f>SUM(B2:B13)</f>
        <v>1200</v>
      </c>
      <c r="C14" s="9">
        <f>SUM(C2:C13)</f>
        <v>39122498</v>
      </c>
      <c r="D14" s="9">
        <f>SUM(D2:D13)</f>
        <v>14725124</v>
      </c>
      <c r="F14" s="9">
        <f>SUM(F2:F13)</f>
        <v>148598.90816850311</v>
      </c>
    </row>
    <row r="19" spans="4:4" x14ac:dyDescent="0.35">
      <c r="D19" s="9">
        <f>D14/B14</f>
        <v>12270.936666666666</v>
      </c>
    </row>
  </sheetData>
  <phoneticPr fontId="18" type="noConversion"/>
  <pageMargins left="0.7" right="0.7" top="0.75" bottom="0.75" header="0.3" footer="0.3"/>
  <ignoredErrors>
    <ignoredError sqref="C3:C13"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01"/>
  <sheetViews>
    <sheetView zoomScale="85" workbookViewId="0">
      <selection activeCell="G6" sqref="G6"/>
    </sheetView>
  </sheetViews>
  <sheetFormatPr defaultRowHeight="14.5" x14ac:dyDescent="0.35"/>
  <cols>
    <col min="1" max="1" width="13.90625" customWidth="1"/>
    <col min="2" max="2" width="17.08984375" customWidth="1"/>
    <col min="3" max="3" width="17.453125" customWidth="1"/>
    <col min="4" max="4" width="16.7265625" customWidth="1"/>
  </cols>
  <sheetData>
    <row r="1" spans="1:4" x14ac:dyDescent="0.35">
      <c r="A1" s="2" t="s">
        <v>1266</v>
      </c>
      <c r="B1" s="2" t="s">
        <v>3</v>
      </c>
      <c r="C1" s="2" t="s">
        <v>1264</v>
      </c>
      <c r="D1" s="2" t="s">
        <v>1265</v>
      </c>
    </row>
    <row r="2" spans="1:4" x14ac:dyDescent="0.35">
      <c r="A2" t="s">
        <v>8</v>
      </c>
      <c r="B2" t="s">
        <v>10</v>
      </c>
      <c r="C2" t="str">
        <f>IFERROR(VLOOKUP(B2,'Cleaned Trainer Data'!$A$2:$E$9,2,FALSE),"No Trainer Assigned")</f>
        <v>Arun</v>
      </c>
      <c r="D2">
        <f>IFERROR(VLOOKUP(B2,'Cleaned Trainer Data'!$A$2:$E$11,4,FALSE),"0")</f>
        <v>4.3</v>
      </c>
    </row>
    <row r="3" spans="1:4" x14ac:dyDescent="0.35">
      <c r="A3" t="s">
        <v>12</v>
      </c>
      <c r="B3" t="s">
        <v>14</v>
      </c>
      <c r="C3" t="str">
        <f>IFERROR(VLOOKUP(B3,'Cleaned Trainer Data'!$A$2:$E$9,2,FALSE),"No Trainer Assigned")</f>
        <v>Vishal</v>
      </c>
      <c r="D3">
        <f>IFERROR(VLOOKUP(B3,'Cleaned Trainer Data'!$A$2:$E$11,4,FALSE),"0")</f>
        <v>3.09</v>
      </c>
    </row>
    <row r="4" spans="1:4" x14ac:dyDescent="0.35">
      <c r="A4" t="s">
        <v>16</v>
      </c>
      <c r="B4" t="s">
        <v>18</v>
      </c>
      <c r="C4" t="str">
        <f>IFERROR(VLOOKUP(B4,'Cleaned Trainer Data'!$A$2:$E$9,2,FALSE),"No Trainer Assigned")</f>
        <v>Meera</v>
      </c>
      <c r="D4">
        <f>IFERROR(VLOOKUP(B4,'Cleaned Trainer Data'!$A$2:$E$11,4,FALSE),"0")</f>
        <v>4.75</v>
      </c>
    </row>
    <row r="5" spans="1:4" x14ac:dyDescent="0.35">
      <c r="A5" t="s">
        <v>20</v>
      </c>
      <c r="B5" t="s">
        <v>21</v>
      </c>
      <c r="C5" t="str">
        <f>IFERROR(VLOOKUP(B5,'Cleaned Trainer Data'!$A$2:$E$9,2,FALSE),"No Trainer Assigned")</f>
        <v>Kavya</v>
      </c>
      <c r="D5">
        <f>IFERROR(VLOOKUP(B5,'Cleaned Trainer Data'!$A$2:$E$11,4,FALSE),"0")</f>
        <v>3.28</v>
      </c>
    </row>
    <row r="6" spans="1:4" x14ac:dyDescent="0.35">
      <c r="A6" t="s">
        <v>23</v>
      </c>
      <c r="B6" t="s">
        <v>18</v>
      </c>
      <c r="C6" t="str">
        <f>IFERROR(VLOOKUP(B6,'Cleaned Trainer Data'!$A$2:$E$9,2,FALSE),"No Trainer Assigned")</f>
        <v>Meera</v>
      </c>
      <c r="D6">
        <f>IFERROR(VLOOKUP(B6,'Cleaned Trainer Data'!$A$2:$E$11,4,FALSE),"0")</f>
        <v>4.75</v>
      </c>
    </row>
    <row r="7" spans="1:4" x14ac:dyDescent="0.35">
      <c r="A7" t="s">
        <v>26</v>
      </c>
      <c r="B7" t="s">
        <v>27</v>
      </c>
      <c r="C7" t="str">
        <f>IFERROR(VLOOKUP(B7,'Cleaned Trainer Data'!$A$2:$E$9,2,FALSE),"No Trainer Assigned")</f>
        <v>Joseph</v>
      </c>
      <c r="D7">
        <f>IFERROR(VLOOKUP(B7,'Cleaned Trainer Data'!$A$2:$E$11,4,FALSE),"0")</f>
        <v>4.58</v>
      </c>
    </row>
    <row r="8" spans="1:4" x14ac:dyDescent="0.35">
      <c r="A8" t="s">
        <v>28</v>
      </c>
      <c r="B8" t="s">
        <v>10</v>
      </c>
      <c r="C8" t="str">
        <f>IFERROR(VLOOKUP(B8,'Cleaned Trainer Data'!$A$2:$E$9,2,FALSE),"No Trainer Assigned")</f>
        <v>Arun</v>
      </c>
      <c r="D8">
        <f>IFERROR(VLOOKUP(B8,'Cleaned Trainer Data'!$A$2:$E$11,4,FALSE),"0")</f>
        <v>4.3</v>
      </c>
    </row>
    <row r="9" spans="1:4" x14ac:dyDescent="0.35">
      <c r="A9" t="s">
        <v>30</v>
      </c>
      <c r="B9" t="s">
        <v>27</v>
      </c>
      <c r="C9" t="str">
        <f>IFERROR(VLOOKUP(B9,'Cleaned Trainer Data'!$A$2:$E$9,2,FALSE),"No Trainer Assigned")</f>
        <v>Joseph</v>
      </c>
      <c r="D9">
        <f>IFERROR(VLOOKUP(B9,'Cleaned Trainer Data'!$A$2:$E$11,4,FALSE),"0")</f>
        <v>4.58</v>
      </c>
    </row>
    <row r="10" spans="1:4" x14ac:dyDescent="0.35">
      <c r="A10" t="s">
        <v>32</v>
      </c>
      <c r="B10" t="s">
        <v>21</v>
      </c>
      <c r="C10" t="str">
        <f>IFERROR(VLOOKUP(B10,'Cleaned Trainer Data'!$A$2:$E$9,2,FALSE),"No Trainer Assigned")</f>
        <v>Kavya</v>
      </c>
      <c r="D10">
        <f>IFERROR(VLOOKUP(B10,'Cleaned Trainer Data'!$A$2:$E$11,4,FALSE),"0")</f>
        <v>3.28</v>
      </c>
    </row>
    <row r="11" spans="1:4" x14ac:dyDescent="0.35">
      <c r="A11" t="s">
        <v>34</v>
      </c>
      <c r="B11" t="s">
        <v>14</v>
      </c>
      <c r="C11" t="str">
        <f>IFERROR(VLOOKUP(B11,'Cleaned Trainer Data'!$A$2:$E$9,2,FALSE),"No Trainer Assigned")</f>
        <v>Vishal</v>
      </c>
      <c r="D11">
        <f>IFERROR(VLOOKUP(B11,'Cleaned Trainer Data'!$A$2:$E$11,4,FALSE),"0")</f>
        <v>3.09</v>
      </c>
    </row>
    <row r="12" spans="1:4" x14ac:dyDescent="0.35">
      <c r="A12" t="s">
        <v>35</v>
      </c>
      <c r="B12" t="s">
        <v>21</v>
      </c>
      <c r="C12" t="str">
        <f>IFERROR(VLOOKUP(B12,'Cleaned Trainer Data'!$A$2:$E$9,2,FALSE),"No Trainer Assigned")</f>
        <v>Kavya</v>
      </c>
      <c r="D12">
        <f>IFERROR(VLOOKUP(B12,'Cleaned Trainer Data'!$A$2:$E$11,4,FALSE),"0")</f>
        <v>3.28</v>
      </c>
    </row>
    <row r="13" spans="1:4" x14ac:dyDescent="0.35">
      <c r="A13" t="s">
        <v>36</v>
      </c>
      <c r="B13" t="s">
        <v>37</v>
      </c>
      <c r="C13" t="str">
        <f>IFERROR(VLOOKUP(B13,'Cleaned Trainer Data'!$A$2:$E$9,2,FALSE),"No Trainer Assigned")</f>
        <v>No Trainer Assigned</v>
      </c>
      <c r="D13" t="str">
        <f>IFERROR(VLOOKUP(B13,'Cleaned Trainer Data'!$A$2:$E$11,4,FALSE),"0")</f>
        <v>0</v>
      </c>
    </row>
    <row r="14" spans="1:4" x14ac:dyDescent="0.35">
      <c r="A14" t="s">
        <v>39</v>
      </c>
      <c r="B14" t="s">
        <v>21</v>
      </c>
      <c r="C14" t="str">
        <f>IFERROR(VLOOKUP(B14,'Cleaned Trainer Data'!$A$2:$E$9,2,FALSE),"No Trainer Assigned")</f>
        <v>Kavya</v>
      </c>
      <c r="D14">
        <f>IFERROR(VLOOKUP(B14,'Cleaned Trainer Data'!$A$2:$E$11,4,FALSE),"0")</f>
        <v>3.28</v>
      </c>
    </row>
    <row r="15" spans="1:4" x14ac:dyDescent="0.35">
      <c r="A15" t="s">
        <v>40</v>
      </c>
      <c r="B15" t="s">
        <v>37</v>
      </c>
      <c r="C15" t="str">
        <f>IFERROR(VLOOKUP(B15,'Cleaned Trainer Data'!$A$2:$E$9,2,FALSE),"No Trainer Assigned")</f>
        <v>No Trainer Assigned</v>
      </c>
      <c r="D15" t="str">
        <f>IFERROR(VLOOKUP(B15,'Cleaned Trainer Data'!$A$2:$E$11,4,FALSE),"0")</f>
        <v>0</v>
      </c>
    </row>
    <row r="16" spans="1:4" x14ac:dyDescent="0.35">
      <c r="A16" t="s">
        <v>41</v>
      </c>
      <c r="B16" t="s">
        <v>21</v>
      </c>
      <c r="C16" t="str">
        <f>IFERROR(VLOOKUP(B16,'Cleaned Trainer Data'!$A$2:$E$9,2,FALSE),"No Trainer Assigned")</f>
        <v>Kavya</v>
      </c>
      <c r="D16">
        <f>IFERROR(VLOOKUP(B16,'Cleaned Trainer Data'!$A$2:$E$11,4,FALSE),"0")</f>
        <v>3.28</v>
      </c>
    </row>
    <row r="17" spans="1:4" x14ac:dyDescent="0.35">
      <c r="A17" t="s">
        <v>42</v>
      </c>
      <c r="B17" t="s">
        <v>37</v>
      </c>
      <c r="C17" t="str">
        <f>IFERROR(VLOOKUP(B17,'Cleaned Trainer Data'!$A$2:$E$9,2,FALSE),"No Trainer Assigned")</f>
        <v>No Trainer Assigned</v>
      </c>
      <c r="D17" t="str">
        <f>IFERROR(VLOOKUP(B17,'Cleaned Trainer Data'!$A$2:$E$11,4,FALSE),"0")</f>
        <v>0</v>
      </c>
    </row>
    <row r="18" spans="1:4" x14ac:dyDescent="0.35">
      <c r="A18" t="s">
        <v>44</v>
      </c>
      <c r="B18" t="s">
        <v>10</v>
      </c>
      <c r="C18" t="str">
        <f>IFERROR(VLOOKUP(B18,'Cleaned Trainer Data'!$A$2:$E$9,2,FALSE),"No Trainer Assigned")</f>
        <v>Arun</v>
      </c>
      <c r="D18">
        <f>IFERROR(VLOOKUP(B18,'Cleaned Trainer Data'!$A$2:$E$11,4,FALSE),"0")</f>
        <v>4.3</v>
      </c>
    </row>
    <row r="19" spans="1:4" x14ac:dyDescent="0.35">
      <c r="A19" t="s">
        <v>46</v>
      </c>
      <c r="B19" t="s">
        <v>27</v>
      </c>
      <c r="C19" t="str">
        <f>IFERROR(VLOOKUP(B19,'Cleaned Trainer Data'!$A$2:$E$9,2,FALSE),"No Trainer Assigned")</f>
        <v>Joseph</v>
      </c>
      <c r="D19">
        <f>IFERROR(VLOOKUP(B19,'Cleaned Trainer Data'!$A$2:$E$11,4,FALSE),"0")</f>
        <v>4.58</v>
      </c>
    </row>
    <row r="20" spans="1:4" x14ac:dyDescent="0.35">
      <c r="A20" t="s">
        <v>47</v>
      </c>
      <c r="B20" t="s">
        <v>27</v>
      </c>
      <c r="C20" t="str">
        <f>IFERROR(VLOOKUP(B20,'Cleaned Trainer Data'!$A$2:$E$9,2,FALSE),"No Trainer Assigned")</f>
        <v>Joseph</v>
      </c>
      <c r="D20">
        <f>IFERROR(VLOOKUP(B20,'Cleaned Trainer Data'!$A$2:$E$11,4,FALSE),"0")</f>
        <v>4.58</v>
      </c>
    </row>
    <row r="21" spans="1:4" x14ac:dyDescent="0.35">
      <c r="A21" t="s">
        <v>48</v>
      </c>
      <c r="B21" t="s">
        <v>18</v>
      </c>
      <c r="C21" t="str">
        <f>IFERROR(VLOOKUP(B21,'Cleaned Trainer Data'!$A$2:$E$9,2,FALSE),"No Trainer Assigned")</f>
        <v>Meera</v>
      </c>
      <c r="D21">
        <f>IFERROR(VLOOKUP(B21,'Cleaned Trainer Data'!$A$2:$E$11,4,FALSE),"0")</f>
        <v>4.75</v>
      </c>
    </row>
    <row r="22" spans="1:4" x14ac:dyDescent="0.35">
      <c r="A22" t="s">
        <v>49</v>
      </c>
      <c r="B22" t="s">
        <v>27</v>
      </c>
      <c r="C22" t="str">
        <f>IFERROR(VLOOKUP(B22,'Cleaned Trainer Data'!$A$2:$E$9,2,FALSE),"No Trainer Assigned")</f>
        <v>Joseph</v>
      </c>
      <c r="D22">
        <f>IFERROR(VLOOKUP(B22,'Cleaned Trainer Data'!$A$2:$E$11,4,FALSE),"0")</f>
        <v>4.58</v>
      </c>
    </row>
    <row r="23" spans="1:4" x14ac:dyDescent="0.35">
      <c r="A23" t="s">
        <v>50</v>
      </c>
      <c r="B23" t="s">
        <v>14</v>
      </c>
      <c r="C23" t="str">
        <f>IFERROR(VLOOKUP(B23,'Cleaned Trainer Data'!$A$2:$E$9,2,FALSE),"No Trainer Assigned")</f>
        <v>Vishal</v>
      </c>
      <c r="D23">
        <f>IFERROR(VLOOKUP(B23,'Cleaned Trainer Data'!$A$2:$E$11,4,FALSE),"0")</f>
        <v>3.09</v>
      </c>
    </row>
    <row r="24" spans="1:4" x14ac:dyDescent="0.35">
      <c r="A24" t="s">
        <v>51</v>
      </c>
      <c r="B24" t="s">
        <v>21</v>
      </c>
      <c r="C24" t="str">
        <f>IFERROR(VLOOKUP(B24,'Cleaned Trainer Data'!$A$2:$E$9,2,FALSE),"No Trainer Assigned")</f>
        <v>Kavya</v>
      </c>
      <c r="D24">
        <f>IFERROR(VLOOKUP(B24,'Cleaned Trainer Data'!$A$2:$E$11,4,FALSE),"0")</f>
        <v>3.28</v>
      </c>
    </row>
    <row r="25" spans="1:4" x14ac:dyDescent="0.35">
      <c r="A25" t="s">
        <v>52</v>
      </c>
      <c r="B25" t="s">
        <v>18</v>
      </c>
      <c r="C25" t="str">
        <f>IFERROR(VLOOKUP(B25,'Cleaned Trainer Data'!$A$2:$E$9,2,FALSE),"No Trainer Assigned")</f>
        <v>Meera</v>
      </c>
      <c r="D25">
        <f>IFERROR(VLOOKUP(B25,'Cleaned Trainer Data'!$A$2:$E$11,4,FALSE),"0")</f>
        <v>4.75</v>
      </c>
    </row>
    <row r="26" spans="1:4" x14ac:dyDescent="0.35">
      <c r="A26" t="s">
        <v>54</v>
      </c>
      <c r="B26" t="s">
        <v>14</v>
      </c>
      <c r="C26" t="str">
        <f>IFERROR(VLOOKUP(B26,'Cleaned Trainer Data'!$A$2:$E$9,2,FALSE),"No Trainer Assigned")</f>
        <v>Vishal</v>
      </c>
      <c r="D26">
        <f>IFERROR(VLOOKUP(B26,'Cleaned Trainer Data'!$A$2:$E$11,4,FALSE),"0")</f>
        <v>3.09</v>
      </c>
    </row>
    <row r="27" spans="1:4" x14ac:dyDescent="0.35">
      <c r="A27" t="s">
        <v>55</v>
      </c>
      <c r="B27" t="s">
        <v>14</v>
      </c>
      <c r="C27" t="str">
        <f>IFERROR(VLOOKUP(B27,'Cleaned Trainer Data'!$A$2:$E$9,2,FALSE),"No Trainer Assigned")</f>
        <v>Vishal</v>
      </c>
      <c r="D27">
        <f>IFERROR(VLOOKUP(B27,'Cleaned Trainer Data'!$A$2:$E$11,4,FALSE),"0")</f>
        <v>3.09</v>
      </c>
    </row>
    <row r="28" spans="1:4" x14ac:dyDescent="0.35">
      <c r="A28" t="s">
        <v>57</v>
      </c>
      <c r="B28" t="s">
        <v>37</v>
      </c>
      <c r="C28" t="str">
        <f>IFERROR(VLOOKUP(B28,'Cleaned Trainer Data'!$A$2:$E$9,2,FALSE),"No Trainer Assigned")</f>
        <v>No Trainer Assigned</v>
      </c>
      <c r="D28" t="str">
        <f>IFERROR(VLOOKUP(B28,'Cleaned Trainer Data'!$A$2:$E$11,4,FALSE),"0")</f>
        <v>0</v>
      </c>
    </row>
    <row r="29" spans="1:4" x14ac:dyDescent="0.35">
      <c r="A29" t="s">
        <v>58</v>
      </c>
      <c r="B29" t="s">
        <v>27</v>
      </c>
      <c r="C29" t="str">
        <f>IFERROR(VLOOKUP(B29,'Cleaned Trainer Data'!$A$2:$E$9,2,FALSE),"No Trainer Assigned")</f>
        <v>Joseph</v>
      </c>
      <c r="D29">
        <f>IFERROR(VLOOKUP(B29,'Cleaned Trainer Data'!$A$2:$E$11,4,FALSE),"0")</f>
        <v>4.58</v>
      </c>
    </row>
    <row r="30" spans="1:4" x14ac:dyDescent="0.35">
      <c r="A30" t="s">
        <v>59</v>
      </c>
      <c r="B30" t="s">
        <v>10</v>
      </c>
      <c r="C30" t="str">
        <f>IFERROR(VLOOKUP(B30,'Cleaned Trainer Data'!$A$2:$E$9,2,FALSE),"No Trainer Assigned")</f>
        <v>Arun</v>
      </c>
      <c r="D30">
        <f>IFERROR(VLOOKUP(B30,'Cleaned Trainer Data'!$A$2:$E$11,4,FALSE),"0")</f>
        <v>4.3</v>
      </c>
    </row>
    <row r="31" spans="1:4" x14ac:dyDescent="0.35">
      <c r="A31" t="s">
        <v>60</v>
      </c>
      <c r="B31" t="s">
        <v>10</v>
      </c>
      <c r="C31" t="str">
        <f>IFERROR(VLOOKUP(B31,'Cleaned Trainer Data'!$A$2:$E$9,2,FALSE),"No Trainer Assigned")</f>
        <v>Arun</v>
      </c>
      <c r="D31">
        <f>IFERROR(VLOOKUP(B31,'Cleaned Trainer Data'!$A$2:$E$11,4,FALSE),"0")</f>
        <v>4.3</v>
      </c>
    </row>
    <row r="32" spans="1:4" x14ac:dyDescent="0.35">
      <c r="A32" t="s">
        <v>61</v>
      </c>
      <c r="B32" t="s">
        <v>18</v>
      </c>
      <c r="C32" t="str">
        <f>IFERROR(VLOOKUP(B32,'Cleaned Trainer Data'!$A$2:$E$9,2,FALSE),"No Trainer Assigned")</f>
        <v>Meera</v>
      </c>
      <c r="D32">
        <f>IFERROR(VLOOKUP(B32,'Cleaned Trainer Data'!$A$2:$E$11,4,FALSE),"0")</f>
        <v>4.75</v>
      </c>
    </row>
    <row r="33" spans="1:4" x14ac:dyDescent="0.35">
      <c r="A33" t="s">
        <v>62</v>
      </c>
      <c r="B33" t="s">
        <v>10</v>
      </c>
      <c r="C33" t="str">
        <f>IFERROR(VLOOKUP(B33,'Cleaned Trainer Data'!$A$2:$E$9,2,FALSE),"No Trainer Assigned")</f>
        <v>Arun</v>
      </c>
      <c r="D33">
        <f>IFERROR(VLOOKUP(B33,'Cleaned Trainer Data'!$A$2:$E$11,4,FALSE),"0")</f>
        <v>4.3</v>
      </c>
    </row>
    <row r="34" spans="1:4" x14ac:dyDescent="0.35">
      <c r="A34" t="s">
        <v>63</v>
      </c>
      <c r="B34" t="s">
        <v>21</v>
      </c>
      <c r="C34" t="str">
        <f>IFERROR(VLOOKUP(B34,'Cleaned Trainer Data'!$A$2:$E$9,2,FALSE),"No Trainer Assigned")</f>
        <v>Kavya</v>
      </c>
      <c r="D34">
        <f>IFERROR(VLOOKUP(B34,'Cleaned Trainer Data'!$A$2:$E$11,4,FALSE),"0")</f>
        <v>3.28</v>
      </c>
    </row>
    <row r="35" spans="1:4" x14ac:dyDescent="0.35">
      <c r="A35" t="s">
        <v>64</v>
      </c>
      <c r="B35" t="s">
        <v>10</v>
      </c>
      <c r="C35" t="str">
        <f>IFERROR(VLOOKUP(B35,'Cleaned Trainer Data'!$A$2:$E$9,2,FALSE),"No Trainer Assigned")</f>
        <v>Arun</v>
      </c>
      <c r="D35">
        <f>IFERROR(VLOOKUP(B35,'Cleaned Trainer Data'!$A$2:$E$11,4,FALSE),"0")</f>
        <v>4.3</v>
      </c>
    </row>
    <row r="36" spans="1:4" x14ac:dyDescent="0.35">
      <c r="A36" t="s">
        <v>65</v>
      </c>
      <c r="B36" t="s">
        <v>18</v>
      </c>
      <c r="C36" t="str">
        <f>IFERROR(VLOOKUP(B36,'Cleaned Trainer Data'!$A$2:$E$9,2,FALSE),"No Trainer Assigned")</f>
        <v>Meera</v>
      </c>
      <c r="D36">
        <f>IFERROR(VLOOKUP(B36,'Cleaned Trainer Data'!$A$2:$E$11,4,FALSE),"0")</f>
        <v>4.75</v>
      </c>
    </row>
    <row r="37" spans="1:4" x14ac:dyDescent="0.35">
      <c r="A37" t="s">
        <v>66</v>
      </c>
      <c r="B37" t="s">
        <v>10</v>
      </c>
      <c r="C37" t="str">
        <f>IFERROR(VLOOKUP(B37,'Cleaned Trainer Data'!$A$2:$E$9,2,FALSE),"No Trainer Assigned")</f>
        <v>Arun</v>
      </c>
      <c r="D37">
        <f>IFERROR(VLOOKUP(B37,'Cleaned Trainer Data'!$A$2:$E$11,4,FALSE),"0")</f>
        <v>4.3</v>
      </c>
    </row>
    <row r="38" spans="1:4" x14ac:dyDescent="0.35">
      <c r="A38" t="s">
        <v>68</v>
      </c>
      <c r="B38" t="s">
        <v>21</v>
      </c>
      <c r="C38" t="str">
        <f>IFERROR(VLOOKUP(B38,'Cleaned Trainer Data'!$A$2:$E$9,2,FALSE),"No Trainer Assigned")</f>
        <v>Kavya</v>
      </c>
      <c r="D38">
        <f>IFERROR(VLOOKUP(B38,'Cleaned Trainer Data'!$A$2:$E$11,4,FALSE),"0")</f>
        <v>3.28</v>
      </c>
    </row>
    <row r="39" spans="1:4" x14ac:dyDescent="0.35">
      <c r="A39" t="s">
        <v>69</v>
      </c>
      <c r="B39" t="s">
        <v>37</v>
      </c>
      <c r="C39" t="str">
        <f>IFERROR(VLOOKUP(B39,'Cleaned Trainer Data'!$A$2:$E$9,2,FALSE),"No Trainer Assigned")</f>
        <v>No Trainer Assigned</v>
      </c>
      <c r="D39" t="str">
        <f>IFERROR(VLOOKUP(B39,'Cleaned Trainer Data'!$A$2:$E$11,4,FALSE),"0")</f>
        <v>0</v>
      </c>
    </row>
    <row r="40" spans="1:4" x14ac:dyDescent="0.35">
      <c r="A40" t="s">
        <v>70</v>
      </c>
      <c r="B40" t="s">
        <v>18</v>
      </c>
      <c r="C40" t="str">
        <f>IFERROR(VLOOKUP(B40,'Cleaned Trainer Data'!$A$2:$E$9,2,FALSE),"No Trainer Assigned")</f>
        <v>Meera</v>
      </c>
      <c r="D40">
        <f>IFERROR(VLOOKUP(B40,'Cleaned Trainer Data'!$A$2:$E$11,4,FALSE),"0")</f>
        <v>4.75</v>
      </c>
    </row>
    <row r="41" spans="1:4" x14ac:dyDescent="0.35">
      <c r="A41" t="s">
        <v>71</v>
      </c>
      <c r="B41" t="s">
        <v>37</v>
      </c>
      <c r="C41" t="str">
        <f>IFERROR(VLOOKUP(B41,'Cleaned Trainer Data'!$A$2:$E$9,2,FALSE),"No Trainer Assigned")</f>
        <v>No Trainer Assigned</v>
      </c>
      <c r="D41" t="str">
        <f>IFERROR(VLOOKUP(B41,'Cleaned Trainer Data'!$A$2:$E$11,4,FALSE),"0")</f>
        <v>0</v>
      </c>
    </row>
    <row r="42" spans="1:4" x14ac:dyDescent="0.35">
      <c r="A42" t="s">
        <v>72</v>
      </c>
      <c r="B42" t="s">
        <v>37</v>
      </c>
      <c r="C42" t="str">
        <f>IFERROR(VLOOKUP(B42,'Cleaned Trainer Data'!$A$2:$E$9,2,FALSE),"No Trainer Assigned")</f>
        <v>No Trainer Assigned</v>
      </c>
      <c r="D42" t="str">
        <f>IFERROR(VLOOKUP(B42,'Cleaned Trainer Data'!$A$2:$E$11,4,FALSE),"0")</f>
        <v>0</v>
      </c>
    </row>
    <row r="43" spans="1:4" x14ac:dyDescent="0.35">
      <c r="A43" t="s">
        <v>73</v>
      </c>
      <c r="B43" t="s">
        <v>37</v>
      </c>
      <c r="C43" t="str">
        <f>IFERROR(VLOOKUP(B43,'Cleaned Trainer Data'!$A$2:$E$9,2,FALSE),"No Trainer Assigned")</f>
        <v>No Trainer Assigned</v>
      </c>
      <c r="D43" t="str">
        <f>IFERROR(VLOOKUP(B43,'Cleaned Trainer Data'!$A$2:$E$11,4,FALSE),"0")</f>
        <v>0</v>
      </c>
    </row>
    <row r="44" spans="1:4" x14ac:dyDescent="0.35">
      <c r="A44" t="s">
        <v>74</v>
      </c>
      <c r="B44" t="s">
        <v>14</v>
      </c>
      <c r="C44" t="str">
        <f>IFERROR(VLOOKUP(B44,'Cleaned Trainer Data'!$A$2:$E$9,2,FALSE),"No Trainer Assigned")</f>
        <v>Vishal</v>
      </c>
      <c r="D44">
        <f>IFERROR(VLOOKUP(B44,'Cleaned Trainer Data'!$A$2:$E$11,4,FALSE),"0")</f>
        <v>3.09</v>
      </c>
    </row>
    <row r="45" spans="1:4" x14ac:dyDescent="0.35">
      <c r="A45" t="s">
        <v>75</v>
      </c>
      <c r="B45" t="s">
        <v>27</v>
      </c>
      <c r="C45" t="str">
        <f>IFERROR(VLOOKUP(B45,'Cleaned Trainer Data'!$A$2:$E$9,2,FALSE),"No Trainer Assigned")</f>
        <v>Joseph</v>
      </c>
      <c r="D45">
        <f>IFERROR(VLOOKUP(B45,'Cleaned Trainer Data'!$A$2:$E$11,4,FALSE),"0")</f>
        <v>4.58</v>
      </c>
    </row>
    <row r="46" spans="1:4" x14ac:dyDescent="0.35">
      <c r="A46" t="s">
        <v>76</v>
      </c>
      <c r="B46" t="s">
        <v>14</v>
      </c>
      <c r="C46" t="str">
        <f>IFERROR(VLOOKUP(B46,'Cleaned Trainer Data'!$A$2:$E$9,2,FALSE),"No Trainer Assigned")</f>
        <v>Vishal</v>
      </c>
      <c r="D46">
        <f>IFERROR(VLOOKUP(B46,'Cleaned Trainer Data'!$A$2:$E$11,4,FALSE),"0")</f>
        <v>3.09</v>
      </c>
    </row>
    <row r="47" spans="1:4" x14ac:dyDescent="0.35">
      <c r="A47" t="s">
        <v>78</v>
      </c>
      <c r="B47" t="s">
        <v>27</v>
      </c>
      <c r="C47" t="str">
        <f>IFERROR(VLOOKUP(B47,'Cleaned Trainer Data'!$A$2:$E$9,2,FALSE),"No Trainer Assigned")</f>
        <v>Joseph</v>
      </c>
      <c r="D47">
        <f>IFERROR(VLOOKUP(B47,'Cleaned Trainer Data'!$A$2:$E$11,4,FALSE),"0")</f>
        <v>4.58</v>
      </c>
    </row>
    <row r="48" spans="1:4" x14ac:dyDescent="0.35">
      <c r="A48" t="s">
        <v>79</v>
      </c>
      <c r="B48" t="s">
        <v>37</v>
      </c>
      <c r="C48" t="str">
        <f>IFERROR(VLOOKUP(B48,'Cleaned Trainer Data'!$A$2:$E$9,2,FALSE),"No Trainer Assigned")</f>
        <v>No Trainer Assigned</v>
      </c>
      <c r="D48" t="str">
        <f>IFERROR(VLOOKUP(B48,'Cleaned Trainer Data'!$A$2:$E$11,4,FALSE),"0")</f>
        <v>0</v>
      </c>
    </row>
    <row r="49" spans="1:4" x14ac:dyDescent="0.35">
      <c r="A49" t="s">
        <v>80</v>
      </c>
      <c r="B49" t="s">
        <v>18</v>
      </c>
      <c r="C49" t="str">
        <f>IFERROR(VLOOKUP(B49,'Cleaned Trainer Data'!$A$2:$E$9,2,FALSE),"No Trainer Assigned")</f>
        <v>Meera</v>
      </c>
      <c r="D49">
        <f>IFERROR(VLOOKUP(B49,'Cleaned Trainer Data'!$A$2:$E$11,4,FALSE),"0")</f>
        <v>4.75</v>
      </c>
    </row>
    <row r="50" spans="1:4" x14ac:dyDescent="0.35">
      <c r="A50" t="s">
        <v>81</v>
      </c>
      <c r="B50" t="s">
        <v>27</v>
      </c>
      <c r="C50" t="str">
        <f>IFERROR(VLOOKUP(B50,'Cleaned Trainer Data'!$A$2:$E$9,2,FALSE),"No Trainer Assigned")</f>
        <v>Joseph</v>
      </c>
      <c r="D50">
        <f>IFERROR(VLOOKUP(B50,'Cleaned Trainer Data'!$A$2:$E$11,4,FALSE),"0")</f>
        <v>4.58</v>
      </c>
    </row>
    <row r="51" spans="1:4" x14ac:dyDescent="0.35">
      <c r="A51" t="s">
        <v>82</v>
      </c>
      <c r="B51" t="s">
        <v>21</v>
      </c>
      <c r="C51" t="str">
        <f>IFERROR(VLOOKUP(B51,'Cleaned Trainer Data'!$A$2:$E$9,2,FALSE),"No Trainer Assigned")</f>
        <v>Kavya</v>
      </c>
      <c r="D51">
        <f>IFERROR(VLOOKUP(B51,'Cleaned Trainer Data'!$A$2:$E$11,4,FALSE),"0")</f>
        <v>3.28</v>
      </c>
    </row>
    <row r="52" spans="1:4" x14ac:dyDescent="0.35">
      <c r="A52" t="s">
        <v>83</v>
      </c>
      <c r="B52" t="s">
        <v>21</v>
      </c>
      <c r="C52" t="str">
        <f>IFERROR(VLOOKUP(B52,'Cleaned Trainer Data'!$A$2:$E$9,2,FALSE),"No Trainer Assigned")</f>
        <v>Kavya</v>
      </c>
      <c r="D52">
        <f>IFERROR(VLOOKUP(B52,'Cleaned Trainer Data'!$A$2:$E$11,4,FALSE),"0")</f>
        <v>3.28</v>
      </c>
    </row>
    <row r="53" spans="1:4" x14ac:dyDescent="0.35">
      <c r="A53" t="s">
        <v>84</v>
      </c>
      <c r="B53" t="s">
        <v>10</v>
      </c>
      <c r="C53" t="str">
        <f>IFERROR(VLOOKUP(B53,'Cleaned Trainer Data'!$A$2:$E$9,2,FALSE),"No Trainer Assigned")</f>
        <v>Arun</v>
      </c>
      <c r="D53">
        <f>IFERROR(VLOOKUP(B53,'Cleaned Trainer Data'!$A$2:$E$11,4,FALSE),"0")</f>
        <v>4.3</v>
      </c>
    </row>
    <row r="54" spans="1:4" x14ac:dyDescent="0.35">
      <c r="A54" t="s">
        <v>85</v>
      </c>
      <c r="B54" t="s">
        <v>27</v>
      </c>
      <c r="C54" t="str">
        <f>IFERROR(VLOOKUP(B54,'Cleaned Trainer Data'!$A$2:$E$9,2,FALSE),"No Trainer Assigned")</f>
        <v>Joseph</v>
      </c>
      <c r="D54">
        <f>IFERROR(VLOOKUP(B54,'Cleaned Trainer Data'!$A$2:$E$11,4,FALSE),"0")</f>
        <v>4.58</v>
      </c>
    </row>
    <row r="55" spans="1:4" x14ac:dyDescent="0.35">
      <c r="A55" t="s">
        <v>86</v>
      </c>
      <c r="B55" t="s">
        <v>18</v>
      </c>
      <c r="C55" t="str">
        <f>IFERROR(VLOOKUP(B55,'Cleaned Trainer Data'!$A$2:$E$9,2,FALSE),"No Trainer Assigned")</f>
        <v>Meera</v>
      </c>
      <c r="D55">
        <f>IFERROR(VLOOKUP(B55,'Cleaned Trainer Data'!$A$2:$E$11,4,FALSE),"0")</f>
        <v>4.75</v>
      </c>
    </row>
    <row r="56" spans="1:4" x14ac:dyDescent="0.35">
      <c r="A56" t="s">
        <v>87</v>
      </c>
      <c r="B56" t="s">
        <v>14</v>
      </c>
      <c r="C56" t="str">
        <f>IFERROR(VLOOKUP(B56,'Cleaned Trainer Data'!$A$2:$E$9,2,FALSE),"No Trainer Assigned")</f>
        <v>Vishal</v>
      </c>
      <c r="D56">
        <f>IFERROR(VLOOKUP(B56,'Cleaned Trainer Data'!$A$2:$E$11,4,FALSE),"0")</f>
        <v>3.09</v>
      </c>
    </row>
    <row r="57" spans="1:4" x14ac:dyDescent="0.35">
      <c r="A57" t="s">
        <v>88</v>
      </c>
      <c r="B57" t="s">
        <v>37</v>
      </c>
      <c r="C57" t="str">
        <f>IFERROR(VLOOKUP(B57,'Cleaned Trainer Data'!$A$2:$E$9,2,FALSE),"No Trainer Assigned")</f>
        <v>No Trainer Assigned</v>
      </c>
      <c r="D57" t="str">
        <f>IFERROR(VLOOKUP(B57,'Cleaned Trainer Data'!$A$2:$E$11,4,FALSE),"0")</f>
        <v>0</v>
      </c>
    </row>
    <row r="58" spans="1:4" x14ac:dyDescent="0.35">
      <c r="A58" t="s">
        <v>89</v>
      </c>
      <c r="B58" t="s">
        <v>10</v>
      </c>
      <c r="C58" t="str">
        <f>IFERROR(VLOOKUP(B58,'Cleaned Trainer Data'!$A$2:$E$9,2,FALSE),"No Trainer Assigned")</f>
        <v>Arun</v>
      </c>
      <c r="D58">
        <f>IFERROR(VLOOKUP(B58,'Cleaned Trainer Data'!$A$2:$E$11,4,FALSE),"0")</f>
        <v>4.3</v>
      </c>
    </row>
    <row r="59" spans="1:4" x14ac:dyDescent="0.35">
      <c r="A59" t="s">
        <v>90</v>
      </c>
      <c r="B59" t="s">
        <v>21</v>
      </c>
      <c r="C59" t="str">
        <f>IFERROR(VLOOKUP(B59,'Cleaned Trainer Data'!$A$2:$E$9,2,FALSE),"No Trainer Assigned")</f>
        <v>Kavya</v>
      </c>
      <c r="D59">
        <f>IFERROR(VLOOKUP(B59,'Cleaned Trainer Data'!$A$2:$E$11,4,FALSE),"0")</f>
        <v>3.28</v>
      </c>
    </row>
    <row r="60" spans="1:4" x14ac:dyDescent="0.35">
      <c r="A60" t="s">
        <v>91</v>
      </c>
      <c r="B60" t="s">
        <v>14</v>
      </c>
      <c r="C60" t="str">
        <f>IFERROR(VLOOKUP(B60,'Cleaned Trainer Data'!$A$2:$E$9,2,FALSE),"No Trainer Assigned")</f>
        <v>Vishal</v>
      </c>
      <c r="D60">
        <f>IFERROR(VLOOKUP(B60,'Cleaned Trainer Data'!$A$2:$E$11,4,FALSE),"0")</f>
        <v>3.09</v>
      </c>
    </row>
    <row r="61" spans="1:4" x14ac:dyDescent="0.35">
      <c r="A61" t="s">
        <v>92</v>
      </c>
      <c r="B61" t="s">
        <v>14</v>
      </c>
      <c r="C61" t="str">
        <f>IFERROR(VLOOKUP(B61,'Cleaned Trainer Data'!$A$2:$E$9,2,FALSE),"No Trainer Assigned")</f>
        <v>Vishal</v>
      </c>
      <c r="D61">
        <f>IFERROR(VLOOKUP(B61,'Cleaned Trainer Data'!$A$2:$E$11,4,FALSE),"0")</f>
        <v>3.09</v>
      </c>
    </row>
    <row r="62" spans="1:4" x14ac:dyDescent="0.35">
      <c r="A62" t="s">
        <v>93</v>
      </c>
      <c r="B62" t="s">
        <v>37</v>
      </c>
      <c r="C62" t="str">
        <f>IFERROR(VLOOKUP(B62,'Cleaned Trainer Data'!$A$2:$E$9,2,FALSE),"No Trainer Assigned")</f>
        <v>No Trainer Assigned</v>
      </c>
      <c r="D62" t="str">
        <f>IFERROR(VLOOKUP(B62,'Cleaned Trainer Data'!$A$2:$E$11,4,FALSE),"0")</f>
        <v>0</v>
      </c>
    </row>
    <row r="63" spans="1:4" x14ac:dyDescent="0.35">
      <c r="A63" t="s">
        <v>94</v>
      </c>
      <c r="B63" t="s">
        <v>27</v>
      </c>
      <c r="C63" t="str">
        <f>IFERROR(VLOOKUP(B63,'Cleaned Trainer Data'!$A$2:$E$9,2,FALSE),"No Trainer Assigned")</f>
        <v>Joseph</v>
      </c>
      <c r="D63">
        <f>IFERROR(VLOOKUP(B63,'Cleaned Trainer Data'!$A$2:$E$11,4,FALSE),"0")</f>
        <v>4.58</v>
      </c>
    </row>
    <row r="64" spans="1:4" x14ac:dyDescent="0.35">
      <c r="A64" t="s">
        <v>95</v>
      </c>
      <c r="B64" t="s">
        <v>21</v>
      </c>
      <c r="C64" t="str">
        <f>IFERROR(VLOOKUP(B64,'Cleaned Trainer Data'!$A$2:$E$9,2,FALSE),"No Trainer Assigned")</f>
        <v>Kavya</v>
      </c>
      <c r="D64">
        <f>IFERROR(VLOOKUP(B64,'Cleaned Trainer Data'!$A$2:$E$11,4,FALSE),"0")</f>
        <v>3.28</v>
      </c>
    </row>
    <row r="65" spans="1:4" x14ac:dyDescent="0.35">
      <c r="A65" t="s">
        <v>96</v>
      </c>
      <c r="B65" t="s">
        <v>18</v>
      </c>
      <c r="C65" t="str">
        <f>IFERROR(VLOOKUP(B65,'Cleaned Trainer Data'!$A$2:$E$9,2,FALSE),"No Trainer Assigned")</f>
        <v>Meera</v>
      </c>
      <c r="D65">
        <f>IFERROR(VLOOKUP(B65,'Cleaned Trainer Data'!$A$2:$E$11,4,FALSE),"0")</f>
        <v>4.75</v>
      </c>
    </row>
    <row r="66" spans="1:4" x14ac:dyDescent="0.35">
      <c r="A66" t="s">
        <v>97</v>
      </c>
      <c r="B66" t="s">
        <v>14</v>
      </c>
      <c r="C66" t="str">
        <f>IFERROR(VLOOKUP(B66,'Cleaned Trainer Data'!$A$2:$E$9,2,FALSE),"No Trainer Assigned")</f>
        <v>Vishal</v>
      </c>
      <c r="D66">
        <f>IFERROR(VLOOKUP(B66,'Cleaned Trainer Data'!$A$2:$E$11,4,FALSE),"0")</f>
        <v>3.09</v>
      </c>
    </row>
    <row r="67" spans="1:4" x14ac:dyDescent="0.35">
      <c r="A67" t="s">
        <v>98</v>
      </c>
      <c r="B67" t="s">
        <v>37</v>
      </c>
      <c r="C67" t="str">
        <f>IFERROR(VLOOKUP(B67,'Cleaned Trainer Data'!$A$2:$E$9,2,FALSE),"No Trainer Assigned")</f>
        <v>No Trainer Assigned</v>
      </c>
      <c r="D67" t="str">
        <f>IFERROR(VLOOKUP(B67,'Cleaned Trainer Data'!$A$2:$E$11,4,FALSE),"0")</f>
        <v>0</v>
      </c>
    </row>
    <row r="68" spans="1:4" x14ac:dyDescent="0.35">
      <c r="A68" t="s">
        <v>99</v>
      </c>
      <c r="B68" t="s">
        <v>18</v>
      </c>
      <c r="C68" t="str">
        <f>IFERROR(VLOOKUP(B68,'Cleaned Trainer Data'!$A$2:$E$9,2,FALSE),"No Trainer Assigned")</f>
        <v>Meera</v>
      </c>
      <c r="D68">
        <f>IFERROR(VLOOKUP(B68,'Cleaned Trainer Data'!$A$2:$E$11,4,FALSE),"0")</f>
        <v>4.75</v>
      </c>
    </row>
    <row r="69" spans="1:4" x14ac:dyDescent="0.35">
      <c r="A69" t="s">
        <v>100</v>
      </c>
      <c r="B69" t="s">
        <v>27</v>
      </c>
      <c r="C69" t="str">
        <f>IFERROR(VLOOKUP(B69,'Cleaned Trainer Data'!$A$2:$E$9,2,FALSE),"No Trainer Assigned")</f>
        <v>Joseph</v>
      </c>
      <c r="D69">
        <f>IFERROR(VLOOKUP(B69,'Cleaned Trainer Data'!$A$2:$E$11,4,FALSE),"0")</f>
        <v>4.58</v>
      </c>
    </row>
    <row r="70" spans="1:4" x14ac:dyDescent="0.35">
      <c r="A70" t="s">
        <v>101</v>
      </c>
      <c r="B70" t="s">
        <v>21</v>
      </c>
      <c r="C70" t="str">
        <f>IFERROR(VLOOKUP(B70,'Cleaned Trainer Data'!$A$2:$E$9,2,FALSE),"No Trainer Assigned")</f>
        <v>Kavya</v>
      </c>
      <c r="D70">
        <f>IFERROR(VLOOKUP(B70,'Cleaned Trainer Data'!$A$2:$E$11,4,FALSE),"0")</f>
        <v>3.28</v>
      </c>
    </row>
    <row r="71" spans="1:4" x14ac:dyDescent="0.35">
      <c r="A71" t="s">
        <v>102</v>
      </c>
      <c r="B71" t="s">
        <v>27</v>
      </c>
      <c r="C71" t="str">
        <f>IFERROR(VLOOKUP(B71,'Cleaned Trainer Data'!$A$2:$E$9,2,FALSE),"No Trainer Assigned")</f>
        <v>Joseph</v>
      </c>
      <c r="D71">
        <f>IFERROR(VLOOKUP(B71,'Cleaned Trainer Data'!$A$2:$E$11,4,FALSE),"0")</f>
        <v>4.58</v>
      </c>
    </row>
    <row r="72" spans="1:4" x14ac:dyDescent="0.35">
      <c r="A72" t="s">
        <v>103</v>
      </c>
      <c r="B72" t="s">
        <v>14</v>
      </c>
      <c r="C72" t="str">
        <f>IFERROR(VLOOKUP(B72,'Cleaned Trainer Data'!$A$2:$E$9,2,FALSE),"No Trainer Assigned")</f>
        <v>Vishal</v>
      </c>
      <c r="D72">
        <f>IFERROR(VLOOKUP(B72,'Cleaned Trainer Data'!$A$2:$E$11,4,FALSE),"0")</f>
        <v>3.09</v>
      </c>
    </row>
    <row r="73" spans="1:4" x14ac:dyDescent="0.35">
      <c r="A73" t="s">
        <v>104</v>
      </c>
      <c r="B73" t="s">
        <v>18</v>
      </c>
      <c r="C73" t="str">
        <f>IFERROR(VLOOKUP(B73,'Cleaned Trainer Data'!$A$2:$E$9,2,FALSE),"No Trainer Assigned")</f>
        <v>Meera</v>
      </c>
      <c r="D73">
        <f>IFERROR(VLOOKUP(B73,'Cleaned Trainer Data'!$A$2:$E$11,4,FALSE),"0")</f>
        <v>4.75</v>
      </c>
    </row>
    <row r="74" spans="1:4" x14ac:dyDescent="0.35">
      <c r="A74" t="s">
        <v>105</v>
      </c>
      <c r="B74" t="s">
        <v>18</v>
      </c>
      <c r="C74" t="str">
        <f>IFERROR(VLOOKUP(B74,'Cleaned Trainer Data'!$A$2:$E$9,2,FALSE),"No Trainer Assigned")</f>
        <v>Meera</v>
      </c>
      <c r="D74">
        <f>IFERROR(VLOOKUP(B74,'Cleaned Trainer Data'!$A$2:$E$11,4,FALSE),"0")</f>
        <v>4.75</v>
      </c>
    </row>
    <row r="75" spans="1:4" x14ac:dyDescent="0.35">
      <c r="A75" t="s">
        <v>106</v>
      </c>
      <c r="B75" t="s">
        <v>18</v>
      </c>
      <c r="C75" t="str">
        <f>IFERROR(VLOOKUP(B75,'Cleaned Trainer Data'!$A$2:$E$9,2,FALSE),"No Trainer Assigned")</f>
        <v>Meera</v>
      </c>
      <c r="D75">
        <f>IFERROR(VLOOKUP(B75,'Cleaned Trainer Data'!$A$2:$E$11,4,FALSE),"0")</f>
        <v>4.75</v>
      </c>
    </row>
    <row r="76" spans="1:4" x14ac:dyDescent="0.35">
      <c r="A76" t="s">
        <v>107</v>
      </c>
      <c r="B76" t="s">
        <v>14</v>
      </c>
      <c r="C76" t="str">
        <f>IFERROR(VLOOKUP(B76,'Cleaned Trainer Data'!$A$2:$E$9,2,FALSE),"No Trainer Assigned")</f>
        <v>Vishal</v>
      </c>
      <c r="D76">
        <f>IFERROR(VLOOKUP(B76,'Cleaned Trainer Data'!$A$2:$E$11,4,FALSE),"0")</f>
        <v>3.09</v>
      </c>
    </row>
    <row r="77" spans="1:4" x14ac:dyDescent="0.35">
      <c r="A77" t="s">
        <v>108</v>
      </c>
      <c r="B77" t="s">
        <v>14</v>
      </c>
      <c r="C77" t="str">
        <f>IFERROR(VLOOKUP(B77,'Cleaned Trainer Data'!$A$2:$E$9,2,FALSE),"No Trainer Assigned")</f>
        <v>Vishal</v>
      </c>
      <c r="D77">
        <f>IFERROR(VLOOKUP(B77,'Cleaned Trainer Data'!$A$2:$E$11,4,FALSE),"0")</f>
        <v>3.09</v>
      </c>
    </row>
    <row r="78" spans="1:4" x14ac:dyDescent="0.35">
      <c r="A78" t="s">
        <v>109</v>
      </c>
      <c r="B78" t="s">
        <v>27</v>
      </c>
      <c r="C78" t="str">
        <f>IFERROR(VLOOKUP(B78,'Cleaned Trainer Data'!$A$2:$E$9,2,FALSE),"No Trainer Assigned")</f>
        <v>Joseph</v>
      </c>
      <c r="D78">
        <f>IFERROR(VLOOKUP(B78,'Cleaned Trainer Data'!$A$2:$E$11,4,FALSE),"0")</f>
        <v>4.58</v>
      </c>
    </row>
    <row r="79" spans="1:4" x14ac:dyDescent="0.35">
      <c r="A79" t="s">
        <v>110</v>
      </c>
      <c r="B79" t="s">
        <v>10</v>
      </c>
      <c r="C79" t="str">
        <f>IFERROR(VLOOKUP(B79,'Cleaned Trainer Data'!$A$2:$E$9,2,FALSE),"No Trainer Assigned")</f>
        <v>Arun</v>
      </c>
      <c r="D79">
        <f>IFERROR(VLOOKUP(B79,'Cleaned Trainer Data'!$A$2:$E$11,4,FALSE),"0")</f>
        <v>4.3</v>
      </c>
    </row>
    <row r="80" spans="1:4" x14ac:dyDescent="0.35">
      <c r="A80" t="s">
        <v>111</v>
      </c>
      <c r="B80" t="s">
        <v>27</v>
      </c>
      <c r="C80" t="str">
        <f>IFERROR(VLOOKUP(B80,'Cleaned Trainer Data'!$A$2:$E$9,2,FALSE),"No Trainer Assigned")</f>
        <v>Joseph</v>
      </c>
      <c r="D80">
        <f>IFERROR(VLOOKUP(B80,'Cleaned Trainer Data'!$A$2:$E$11,4,FALSE),"0")</f>
        <v>4.58</v>
      </c>
    </row>
    <row r="81" spans="1:4" x14ac:dyDescent="0.35">
      <c r="A81" t="s">
        <v>112</v>
      </c>
      <c r="B81" t="s">
        <v>21</v>
      </c>
      <c r="C81" t="str">
        <f>IFERROR(VLOOKUP(B81,'Cleaned Trainer Data'!$A$2:$E$9,2,FALSE),"No Trainer Assigned")</f>
        <v>Kavya</v>
      </c>
      <c r="D81">
        <f>IFERROR(VLOOKUP(B81,'Cleaned Trainer Data'!$A$2:$E$11,4,FALSE),"0")</f>
        <v>3.28</v>
      </c>
    </row>
    <row r="82" spans="1:4" x14ac:dyDescent="0.35">
      <c r="A82" t="s">
        <v>113</v>
      </c>
      <c r="B82" t="s">
        <v>37</v>
      </c>
      <c r="C82" t="str">
        <f>IFERROR(VLOOKUP(B82,'Cleaned Trainer Data'!$A$2:$E$9,2,FALSE),"No Trainer Assigned")</f>
        <v>No Trainer Assigned</v>
      </c>
      <c r="D82" t="str">
        <f>IFERROR(VLOOKUP(B82,'Cleaned Trainer Data'!$A$2:$E$11,4,FALSE),"0")</f>
        <v>0</v>
      </c>
    </row>
    <row r="83" spans="1:4" x14ac:dyDescent="0.35">
      <c r="A83" t="s">
        <v>114</v>
      </c>
      <c r="B83" t="s">
        <v>18</v>
      </c>
      <c r="C83" t="str">
        <f>IFERROR(VLOOKUP(B83,'Cleaned Trainer Data'!$A$2:$E$9,2,FALSE),"No Trainer Assigned")</f>
        <v>Meera</v>
      </c>
      <c r="D83">
        <f>IFERROR(VLOOKUP(B83,'Cleaned Trainer Data'!$A$2:$E$11,4,FALSE),"0")</f>
        <v>4.75</v>
      </c>
    </row>
    <row r="84" spans="1:4" x14ac:dyDescent="0.35">
      <c r="A84" t="s">
        <v>115</v>
      </c>
      <c r="B84" t="s">
        <v>10</v>
      </c>
      <c r="C84" t="str">
        <f>IFERROR(VLOOKUP(B84,'Cleaned Trainer Data'!$A$2:$E$9,2,FALSE),"No Trainer Assigned")</f>
        <v>Arun</v>
      </c>
      <c r="D84">
        <f>IFERROR(VLOOKUP(B84,'Cleaned Trainer Data'!$A$2:$E$11,4,FALSE),"0")</f>
        <v>4.3</v>
      </c>
    </row>
    <row r="85" spans="1:4" x14ac:dyDescent="0.35">
      <c r="A85" t="s">
        <v>116</v>
      </c>
      <c r="B85" t="s">
        <v>37</v>
      </c>
      <c r="C85" t="str">
        <f>IFERROR(VLOOKUP(B85,'Cleaned Trainer Data'!$A$2:$E$9,2,FALSE),"No Trainer Assigned")</f>
        <v>No Trainer Assigned</v>
      </c>
      <c r="D85" t="str">
        <f>IFERROR(VLOOKUP(B85,'Cleaned Trainer Data'!$A$2:$E$11,4,FALSE),"0")</f>
        <v>0</v>
      </c>
    </row>
    <row r="86" spans="1:4" x14ac:dyDescent="0.35">
      <c r="A86" t="s">
        <v>117</v>
      </c>
      <c r="B86" t="s">
        <v>10</v>
      </c>
      <c r="C86" t="str">
        <f>IFERROR(VLOOKUP(B86,'Cleaned Trainer Data'!$A$2:$E$9,2,FALSE),"No Trainer Assigned")</f>
        <v>Arun</v>
      </c>
      <c r="D86">
        <f>IFERROR(VLOOKUP(B86,'Cleaned Trainer Data'!$A$2:$E$11,4,FALSE),"0")</f>
        <v>4.3</v>
      </c>
    </row>
    <row r="87" spans="1:4" x14ac:dyDescent="0.35">
      <c r="A87" t="s">
        <v>118</v>
      </c>
      <c r="B87" t="s">
        <v>27</v>
      </c>
      <c r="C87" t="str">
        <f>IFERROR(VLOOKUP(B87,'Cleaned Trainer Data'!$A$2:$E$9,2,FALSE),"No Trainer Assigned")</f>
        <v>Joseph</v>
      </c>
      <c r="D87">
        <f>IFERROR(VLOOKUP(B87,'Cleaned Trainer Data'!$A$2:$E$11,4,FALSE),"0")</f>
        <v>4.58</v>
      </c>
    </row>
    <row r="88" spans="1:4" x14ac:dyDescent="0.35">
      <c r="A88" t="s">
        <v>119</v>
      </c>
      <c r="B88" t="s">
        <v>14</v>
      </c>
      <c r="C88" t="str">
        <f>IFERROR(VLOOKUP(B88,'Cleaned Trainer Data'!$A$2:$E$9,2,FALSE),"No Trainer Assigned")</f>
        <v>Vishal</v>
      </c>
      <c r="D88">
        <f>IFERROR(VLOOKUP(B88,'Cleaned Trainer Data'!$A$2:$E$11,4,FALSE),"0")</f>
        <v>3.09</v>
      </c>
    </row>
    <row r="89" spans="1:4" x14ac:dyDescent="0.35">
      <c r="A89" t="s">
        <v>120</v>
      </c>
      <c r="B89" t="s">
        <v>18</v>
      </c>
      <c r="C89" t="str">
        <f>IFERROR(VLOOKUP(B89,'Cleaned Trainer Data'!$A$2:$E$9,2,FALSE),"No Trainer Assigned")</f>
        <v>Meera</v>
      </c>
      <c r="D89">
        <f>IFERROR(VLOOKUP(B89,'Cleaned Trainer Data'!$A$2:$E$11,4,FALSE),"0")</f>
        <v>4.75</v>
      </c>
    </row>
    <row r="90" spans="1:4" x14ac:dyDescent="0.35">
      <c r="A90" t="s">
        <v>121</v>
      </c>
      <c r="B90" t="s">
        <v>27</v>
      </c>
      <c r="C90" t="str">
        <f>IFERROR(VLOOKUP(B90,'Cleaned Trainer Data'!$A$2:$E$9,2,FALSE),"No Trainer Assigned")</f>
        <v>Joseph</v>
      </c>
      <c r="D90">
        <f>IFERROR(VLOOKUP(B90,'Cleaned Trainer Data'!$A$2:$E$11,4,FALSE),"0")</f>
        <v>4.58</v>
      </c>
    </row>
    <row r="91" spans="1:4" x14ac:dyDescent="0.35">
      <c r="A91" t="s">
        <v>122</v>
      </c>
      <c r="B91" t="s">
        <v>37</v>
      </c>
      <c r="C91" t="str">
        <f>IFERROR(VLOOKUP(B91,'Cleaned Trainer Data'!$A$2:$E$9,2,FALSE),"No Trainer Assigned")</f>
        <v>No Trainer Assigned</v>
      </c>
      <c r="D91" t="str">
        <f>IFERROR(VLOOKUP(B91,'Cleaned Trainer Data'!$A$2:$E$11,4,FALSE),"0")</f>
        <v>0</v>
      </c>
    </row>
    <row r="92" spans="1:4" x14ac:dyDescent="0.35">
      <c r="A92" t="s">
        <v>123</v>
      </c>
      <c r="B92" t="s">
        <v>37</v>
      </c>
      <c r="C92" t="str">
        <f>IFERROR(VLOOKUP(B92,'Cleaned Trainer Data'!$A$2:$E$9,2,FALSE),"No Trainer Assigned")</f>
        <v>No Trainer Assigned</v>
      </c>
      <c r="D92" t="str">
        <f>IFERROR(VLOOKUP(B92,'Cleaned Trainer Data'!$A$2:$E$11,4,FALSE),"0")</f>
        <v>0</v>
      </c>
    </row>
    <row r="93" spans="1:4" x14ac:dyDescent="0.35">
      <c r="A93" t="s">
        <v>124</v>
      </c>
      <c r="B93" t="s">
        <v>37</v>
      </c>
      <c r="C93" t="str">
        <f>IFERROR(VLOOKUP(B93,'Cleaned Trainer Data'!$A$2:$E$9,2,FALSE),"No Trainer Assigned")</f>
        <v>No Trainer Assigned</v>
      </c>
      <c r="D93" t="str">
        <f>IFERROR(VLOOKUP(B93,'Cleaned Trainer Data'!$A$2:$E$11,4,FALSE),"0")</f>
        <v>0</v>
      </c>
    </row>
    <row r="94" spans="1:4" x14ac:dyDescent="0.35">
      <c r="A94" t="s">
        <v>125</v>
      </c>
      <c r="B94" t="s">
        <v>37</v>
      </c>
      <c r="C94" t="str">
        <f>IFERROR(VLOOKUP(B94,'Cleaned Trainer Data'!$A$2:$E$9,2,FALSE),"No Trainer Assigned")</f>
        <v>No Trainer Assigned</v>
      </c>
      <c r="D94" t="str">
        <f>IFERROR(VLOOKUP(B94,'Cleaned Trainer Data'!$A$2:$E$11,4,FALSE),"0")</f>
        <v>0</v>
      </c>
    </row>
    <row r="95" spans="1:4" x14ac:dyDescent="0.35">
      <c r="A95" t="s">
        <v>126</v>
      </c>
      <c r="B95" t="s">
        <v>37</v>
      </c>
      <c r="C95" t="str">
        <f>IFERROR(VLOOKUP(B95,'Cleaned Trainer Data'!$A$2:$E$9,2,FALSE),"No Trainer Assigned")</f>
        <v>No Trainer Assigned</v>
      </c>
      <c r="D95" t="str">
        <f>IFERROR(VLOOKUP(B95,'Cleaned Trainer Data'!$A$2:$E$11,4,FALSE),"0")</f>
        <v>0</v>
      </c>
    </row>
    <row r="96" spans="1:4" x14ac:dyDescent="0.35">
      <c r="A96" t="s">
        <v>127</v>
      </c>
      <c r="B96" t="s">
        <v>10</v>
      </c>
      <c r="C96" t="str">
        <f>IFERROR(VLOOKUP(B96,'Cleaned Trainer Data'!$A$2:$E$9,2,FALSE),"No Trainer Assigned")</f>
        <v>Arun</v>
      </c>
      <c r="D96">
        <f>IFERROR(VLOOKUP(B96,'Cleaned Trainer Data'!$A$2:$E$11,4,FALSE),"0")</f>
        <v>4.3</v>
      </c>
    </row>
    <row r="97" spans="1:4" x14ac:dyDescent="0.35">
      <c r="A97" t="s">
        <v>128</v>
      </c>
      <c r="B97" t="s">
        <v>27</v>
      </c>
      <c r="C97" t="str">
        <f>IFERROR(VLOOKUP(B97,'Cleaned Trainer Data'!$A$2:$E$9,2,FALSE),"No Trainer Assigned")</f>
        <v>Joseph</v>
      </c>
      <c r="D97">
        <f>IFERROR(VLOOKUP(B97,'Cleaned Trainer Data'!$A$2:$E$11,4,FALSE),"0")</f>
        <v>4.58</v>
      </c>
    </row>
    <row r="98" spans="1:4" x14ac:dyDescent="0.35">
      <c r="A98" t="s">
        <v>129</v>
      </c>
      <c r="B98" t="s">
        <v>18</v>
      </c>
      <c r="C98" t="str">
        <f>IFERROR(VLOOKUP(B98,'Cleaned Trainer Data'!$A$2:$E$9,2,FALSE),"No Trainer Assigned")</f>
        <v>Meera</v>
      </c>
      <c r="D98">
        <f>IFERROR(VLOOKUP(B98,'Cleaned Trainer Data'!$A$2:$E$11,4,FALSE),"0")</f>
        <v>4.75</v>
      </c>
    </row>
    <row r="99" spans="1:4" x14ac:dyDescent="0.35">
      <c r="A99" t="s">
        <v>130</v>
      </c>
      <c r="B99" t="s">
        <v>14</v>
      </c>
      <c r="C99" t="str">
        <f>IFERROR(VLOOKUP(B99,'Cleaned Trainer Data'!$A$2:$E$9,2,FALSE),"No Trainer Assigned")</f>
        <v>Vishal</v>
      </c>
      <c r="D99">
        <f>IFERROR(VLOOKUP(B99,'Cleaned Trainer Data'!$A$2:$E$11,4,FALSE),"0")</f>
        <v>3.09</v>
      </c>
    </row>
    <row r="100" spans="1:4" x14ac:dyDescent="0.35">
      <c r="A100" t="s">
        <v>131</v>
      </c>
      <c r="B100" t="s">
        <v>14</v>
      </c>
      <c r="C100" t="str">
        <f>IFERROR(VLOOKUP(B100,'Cleaned Trainer Data'!$A$2:$E$9,2,FALSE),"No Trainer Assigned")</f>
        <v>Vishal</v>
      </c>
      <c r="D100">
        <f>IFERROR(VLOOKUP(B100,'Cleaned Trainer Data'!$A$2:$E$11,4,FALSE),"0")</f>
        <v>3.09</v>
      </c>
    </row>
    <row r="101" spans="1:4" x14ac:dyDescent="0.35">
      <c r="A101" t="s">
        <v>132</v>
      </c>
      <c r="B101" t="s">
        <v>27</v>
      </c>
      <c r="C101" t="str">
        <f>IFERROR(VLOOKUP(B101,'Cleaned Trainer Data'!$A$2:$E$9,2,FALSE),"No Trainer Assigned")</f>
        <v>Joseph</v>
      </c>
      <c r="D101">
        <f>IFERROR(VLOOKUP(B101,'Cleaned Trainer Data'!$A$2:$E$11,4,FALSE),"0")</f>
        <v>4.58</v>
      </c>
    </row>
    <row r="102" spans="1:4" x14ac:dyDescent="0.35">
      <c r="A102" t="s">
        <v>133</v>
      </c>
      <c r="B102" t="s">
        <v>27</v>
      </c>
      <c r="C102" t="str">
        <f>IFERROR(VLOOKUP(B102,'Cleaned Trainer Data'!$A$2:$E$9,2,FALSE),"No Trainer Assigned")</f>
        <v>Joseph</v>
      </c>
      <c r="D102">
        <f>IFERROR(VLOOKUP(B102,'Cleaned Trainer Data'!$A$2:$E$11,4,FALSE),"0")</f>
        <v>4.58</v>
      </c>
    </row>
    <row r="103" spans="1:4" x14ac:dyDescent="0.35">
      <c r="A103" t="s">
        <v>134</v>
      </c>
      <c r="B103" t="s">
        <v>14</v>
      </c>
      <c r="C103" t="str">
        <f>IFERROR(VLOOKUP(B103,'Cleaned Trainer Data'!$A$2:$E$9,2,FALSE),"No Trainer Assigned")</f>
        <v>Vishal</v>
      </c>
      <c r="D103">
        <f>IFERROR(VLOOKUP(B103,'Cleaned Trainer Data'!$A$2:$E$11,4,FALSE),"0")</f>
        <v>3.09</v>
      </c>
    </row>
    <row r="104" spans="1:4" x14ac:dyDescent="0.35">
      <c r="A104" t="s">
        <v>135</v>
      </c>
      <c r="B104" t="s">
        <v>14</v>
      </c>
      <c r="C104" t="str">
        <f>IFERROR(VLOOKUP(B104,'Cleaned Trainer Data'!$A$2:$E$9,2,FALSE),"No Trainer Assigned")</f>
        <v>Vishal</v>
      </c>
      <c r="D104">
        <f>IFERROR(VLOOKUP(B104,'Cleaned Trainer Data'!$A$2:$E$11,4,FALSE),"0")</f>
        <v>3.09</v>
      </c>
    </row>
    <row r="105" spans="1:4" x14ac:dyDescent="0.35">
      <c r="A105" t="s">
        <v>136</v>
      </c>
      <c r="B105" t="s">
        <v>10</v>
      </c>
      <c r="C105" t="str">
        <f>IFERROR(VLOOKUP(B105,'Cleaned Trainer Data'!$A$2:$E$9,2,FALSE),"No Trainer Assigned")</f>
        <v>Arun</v>
      </c>
      <c r="D105">
        <f>IFERROR(VLOOKUP(B105,'Cleaned Trainer Data'!$A$2:$E$11,4,FALSE),"0")</f>
        <v>4.3</v>
      </c>
    </row>
    <row r="106" spans="1:4" x14ac:dyDescent="0.35">
      <c r="A106" t="s">
        <v>137</v>
      </c>
      <c r="B106" t="s">
        <v>21</v>
      </c>
      <c r="C106" t="str">
        <f>IFERROR(VLOOKUP(B106,'Cleaned Trainer Data'!$A$2:$E$9,2,FALSE),"No Trainer Assigned")</f>
        <v>Kavya</v>
      </c>
      <c r="D106">
        <f>IFERROR(VLOOKUP(B106,'Cleaned Trainer Data'!$A$2:$E$11,4,FALSE),"0")</f>
        <v>3.28</v>
      </c>
    </row>
    <row r="107" spans="1:4" x14ac:dyDescent="0.35">
      <c r="A107" t="s">
        <v>138</v>
      </c>
      <c r="B107" t="s">
        <v>18</v>
      </c>
      <c r="C107" t="str">
        <f>IFERROR(VLOOKUP(B107,'Cleaned Trainer Data'!$A$2:$E$9,2,FALSE),"No Trainer Assigned")</f>
        <v>Meera</v>
      </c>
      <c r="D107">
        <f>IFERROR(VLOOKUP(B107,'Cleaned Trainer Data'!$A$2:$E$11,4,FALSE),"0")</f>
        <v>4.75</v>
      </c>
    </row>
    <row r="108" spans="1:4" x14ac:dyDescent="0.35">
      <c r="A108" t="s">
        <v>139</v>
      </c>
      <c r="B108" t="s">
        <v>37</v>
      </c>
      <c r="C108" t="str">
        <f>IFERROR(VLOOKUP(B108,'Cleaned Trainer Data'!$A$2:$E$9,2,FALSE),"No Trainer Assigned")</f>
        <v>No Trainer Assigned</v>
      </c>
      <c r="D108" t="str">
        <f>IFERROR(VLOOKUP(B108,'Cleaned Trainer Data'!$A$2:$E$11,4,FALSE),"0")</f>
        <v>0</v>
      </c>
    </row>
    <row r="109" spans="1:4" x14ac:dyDescent="0.35">
      <c r="A109" t="s">
        <v>140</v>
      </c>
      <c r="B109" t="s">
        <v>21</v>
      </c>
      <c r="C109" t="str">
        <f>IFERROR(VLOOKUP(B109,'Cleaned Trainer Data'!$A$2:$E$9,2,FALSE),"No Trainer Assigned")</f>
        <v>Kavya</v>
      </c>
      <c r="D109">
        <f>IFERROR(VLOOKUP(B109,'Cleaned Trainer Data'!$A$2:$E$11,4,FALSE),"0")</f>
        <v>3.28</v>
      </c>
    </row>
    <row r="110" spans="1:4" x14ac:dyDescent="0.35">
      <c r="A110" t="s">
        <v>141</v>
      </c>
      <c r="B110" t="s">
        <v>27</v>
      </c>
      <c r="C110" t="str">
        <f>IFERROR(VLOOKUP(B110,'Cleaned Trainer Data'!$A$2:$E$9,2,FALSE),"No Trainer Assigned")</f>
        <v>Joseph</v>
      </c>
      <c r="D110">
        <f>IFERROR(VLOOKUP(B110,'Cleaned Trainer Data'!$A$2:$E$11,4,FALSE),"0")</f>
        <v>4.58</v>
      </c>
    </row>
    <row r="111" spans="1:4" x14ac:dyDescent="0.35">
      <c r="A111" t="s">
        <v>142</v>
      </c>
      <c r="B111" t="s">
        <v>14</v>
      </c>
      <c r="C111" t="str">
        <f>IFERROR(VLOOKUP(B111,'Cleaned Trainer Data'!$A$2:$E$9,2,FALSE),"No Trainer Assigned")</f>
        <v>Vishal</v>
      </c>
      <c r="D111">
        <f>IFERROR(VLOOKUP(B111,'Cleaned Trainer Data'!$A$2:$E$11,4,FALSE),"0")</f>
        <v>3.09</v>
      </c>
    </row>
    <row r="112" spans="1:4" x14ac:dyDescent="0.35">
      <c r="A112" t="s">
        <v>143</v>
      </c>
      <c r="B112" t="s">
        <v>21</v>
      </c>
      <c r="C112" t="str">
        <f>IFERROR(VLOOKUP(B112,'Cleaned Trainer Data'!$A$2:$E$9,2,FALSE),"No Trainer Assigned")</f>
        <v>Kavya</v>
      </c>
      <c r="D112">
        <f>IFERROR(VLOOKUP(B112,'Cleaned Trainer Data'!$A$2:$E$11,4,FALSE),"0")</f>
        <v>3.28</v>
      </c>
    </row>
    <row r="113" spans="1:4" x14ac:dyDescent="0.35">
      <c r="A113" t="s">
        <v>144</v>
      </c>
      <c r="B113" t="s">
        <v>18</v>
      </c>
      <c r="C113" t="str">
        <f>IFERROR(VLOOKUP(B113,'Cleaned Trainer Data'!$A$2:$E$9,2,FALSE),"No Trainer Assigned")</f>
        <v>Meera</v>
      </c>
      <c r="D113">
        <f>IFERROR(VLOOKUP(B113,'Cleaned Trainer Data'!$A$2:$E$11,4,FALSE),"0")</f>
        <v>4.75</v>
      </c>
    </row>
    <row r="114" spans="1:4" x14ac:dyDescent="0.35">
      <c r="A114" t="s">
        <v>145</v>
      </c>
      <c r="B114" t="s">
        <v>27</v>
      </c>
      <c r="C114" t="str">
        <f>IFERROR(VLOOKUP(B114,'Cleaned Trainer Data'!$A$2:$E$9,2,FALSE),"No Trainer Assigned")</f>
        <v>Joseph</v>
      </c>
      <c r="D114">
        <f>IFERROR(VLOOKUP(B114,'Cleaned Trainer Data'!$A$2:$E$11,4,FALSE),"0")</f>
        <v>4.58</v>
      </c>
    </row>
    <row r="115" spans="1:4" x14ac:dyDescent="0.35">
      <c r="A115" t="s">
        <v>146</v>
      </c>
      <c r="B115" t="s">
        <v>37</v>
      </c>
      <c r="C115" t="str">
        <f>IFERROR(VLOOKUP(B115,'Cleaned Trainer Data'!$A$2:$E$9,2,FALSE),"No Trainer Assigned")</f>
        <v>No Trainer Assigned</v>
      </c>
      <c r="D115" t="str">
        <f>IFERROR(VLOOKUP(B115,'Cleaned Trainer Data'!$A$2:$E$11,4,FALSE),"0")</f>
        <v>0</v>
      </c>
    </row>
    <row r="116" spans="1:4" x14ac:dyDescent="0.35">
      <c r="A116" t="s">
        <v>147</v>
      </c>
      <c r="B116" t="s">
        <v>37</v>
      </c>
      <c r="C116" t="str">
        <f>IFERROR(VLOOKUP(B116,'Cleaned Trainer Data'!$A$2:$E$9,2,FALSE),"No Trainer Assigned")</f>
        <v>No Trainer Assigned</v>
      </c>
      <c r="D116" t="str">
        <f>IFERROR(VLOOKUP(B116,'Cleaned Trainer Data'!$A$2:$E$11,4,FALSE),"0")</f>
        <v>0</v>
      </c>
    </row>
    <row r="117" spans="1:4" x14ac:dyDescent="0.35">
      <c r="A117" t="s">
        <v>148</v>
      </c>
      <c r="B117" t="s">
        <v>18</v>
      </c>
      <c r="C117" t="str">
        <f>IFERROR(VLOOKUP(B117,'Cleaned Trainer Data'!$A$2:$E$9,2,FALSE),"No Trainer Assigned")</f>
        <v>Meera</v>
      </c>
      <c r="D117">
        <f>IFERROR(VLOOKUP(B117,'Cleaned Trainer Data'!$A$2:$E$11,4,FALSE),"0")</f>
        <v>4.75</v>
      </c>
    </row>
    <row r="118" spans="1:4" x14ac:dyDescent="0.35">
      <c r="A118" t="s">
        <v>149</v>
      </c>
      <c r="B118" t="s">
        <v>18</v>
      </c>
      <c r="C118" t="str">
        <f>IFERROR(VLOOKUP(B118,'Cleaned Trainer Data'!$A$2:$E$9,2,FALSE),"No Trainer Assigned")</f>
        <v>Meera</v>
      </c>
      <c r="D118">
        <f>IFERROR(VLOOKUP(B118,'Cleaned Trainer Data'!$A$2:$E$11,4,FALSE),"0")</f>
        <v>4.75</v>
      </c>
    </row>
    <row r="119" spans="1:4" x14ac:dyDescent="0.35">
      <c r="A119" t="s">
        <v>150</v>
      </c>
      <c r="B119" t="s">
        <v>14</v>
      </c>
      <c r="C119" t="str">
        <f>IFERROR(VLOOKUP(B119,'Cleaned Trainer Data'!$A$2:$E$9,2,FALSE),"No Trainer Assigned")</f>
        <v>Vishal</v>
      </c>
      <c r="D119">
        <f>IFERROR(VLOOKUP(B119,'Cleaned Trainer Data'!$A$2:$E$11,4,FALSE),"0")</f>
        <v>3.09</v>
      </c>
    </row>
    <row r="120" spans="1:4" x14ac:dyDescent="0.35">
      <c r="A120" t="s">
        <v>151</v>
      </c>
      <c r="B120" t="s">
        <v>37</v>
      </c>
      <c r="C120" t="str">
        <f>IFERROR(VLOOKUP(B120,'Cleaned Trainer Data'!$A$2:$E$9,2,FALSE),"No Trainer Assigned")</f>
        <v>No Trainer Assigned</v>
      </c>
      <c r="D120" t="str">
        <f>IFERROR(VLOOKUP(B120,'Cleaned Trainer Data'!$A$2:$E$11,4,FALSE),"0")</f>
        <v>0</v>
      </c>
    </row>
    <row r="121" spans="1:4" x14ac:dyDescent="0.35">
      <c r="A121" t="s">
        <v>152</v>
      </c>
      <c r="B121" t="s">
        <v>27</v>
      </c>
      <c r="C121" t="str">
        <f>IFERROR(VLOOKUP(B121,'Cleaned Trainer Data'!$A$2:$E$9,2,FALSE),"No Trainer Assigned")</f>
        <v>Joseph</v>
      </c>
      <c r="D121">
        <f>IFERROR(VLOOKUP(B121,'Cleaned Trainer Data'!$A$2:$E$11,4,FALSE),"0")</f>
        <v>4.58</v>
      </c>
    </row>
    <row r="122" spans="1:4" x14ac:dyDescent="0.35">
      <c r="A122" t="s">
        <v>153</v>
      </c>
      <c r="B122" t="s">
        <v>21</v>
      </c>
      <c r="C122" t="str">
        <f>IFERROR(VLOOKUP(B122,'Cleaned Trainer Data'!$A$2:$E$9,2,FALSE),"No Trainer Assigned")</f>
        <v>Kavya</v>
      </c>
      <c r="D122">
        <f>IFERROR(VLOOKUP(B122,'Cleaned Trainer Data'!$A$2:$E$11,4,FALSE),"0")</f>
        <v>3.28</v>
      </c>
    </row>
    <row r="123" spans="1:4" x14ac:dyDescent="0.35">
      <c r="A123" t="s">
        <v>154</v>
      </c>
      <c r="B123" t="s">
        <v>27</v>
      </c>
      <c r="C123" t="str">
        <f>IFERROR(VLOOKUP(B123,'Cleaned Trainer Data'!$A$2:$E$9,2,FALSE),"No Trainer Assigned")</f>
        <v>Joseph</v>
      </c>
      <c r="D123">
        <f>IFERROR(VLOOKUP(B123,'Cleaned Trainer Data'!$A$2:$E$11,4,FALSE),"0")</f>
        <v>4.58</v>
      </c>
    </row>
    <row r="124" spans="1:4" x14ac:dyDescent="0.35">
      <c r="A124" t="s">
        <v>155</v>
      </c>
      <c r="B124" t="s">
        <v>10</v>
      </c>
      <c r="C124" t="str">
        <f>IFERROR(VLOOKUP(B124,'Cleaned Trainer Data'!$A$2:$E$9,2,FALSE),"No Trainer Assigned")</f>
        <v>Arun</v>
      </c>
      <c r="D124">
        <f>IFERROR(VLOOKUP(B124,'Cleaned Trainer Data'!$A$2:$E$11,4,FALSE),"0")</f>
        <v>4.3</v>
      </c>
    </row>
    <row r="125" spans="1:4" x14ac:dyDescent="0.35">
      <c r="A125" t="s">
        <v>156</v>
      </c>
      <c r="B125" t="s">
        <v>10</v>
      </c>
      <c r="C125" t="str">
        <f>IFERROR(VLOOKUP(B125,'Cleaned Trainer Data'!$A$2:$E$9,2,FALSE),"No Trainer Assigned")</f>
        <v>Arun</v>
      </c>
      <c r="D125">
        <f>IFERROR(VLOOKUP(B125,'Cleaned Trainer Data'!$A$2:$E$11,4,FALSE),"0")</f>
        <v>4.3</v>
      </c>
    </row>
    <row r="126" spans="1:4" x14ac:dyDescent="0.35">
      <c r="A126" t="s">
        <v>157</v>
      </c>
      <c r="B126" t="s">
        <v>18</v>
      </c>
      <c r="C126" t="str">
        <f>IFERROR(VLOOKUP(B126,'Cleaned Trainer Data'!$A$2:$E$9,2,FALSE),"No Trainer Assigned")</f>
        <v>Meera</v>
      </c>
      <c r="D126">
        <f>IFERROR(VLOOKUP(B126,'Cleaned Trainer Data'!$A$2:$E$11,4,FALSE),"0")</f>
        <v>4.75</v>
      </c>
    </row>
    <row r="127" spans="1:4" x14ac:dyDescent="0.35">
      <c r="A127" t="s">
        <v>158</v>
      </c>
      <c r="B127" t="s">
        <v>14</v>
      </c>
      <c r="C127" t="str">
        <f>IFERROR(VLOOKUP(B127,'Cleaned Trainer Data'!$A$2:$E$9,2,FALSE),"No Trainer Assigned")</f>
        <v>Vishal</v>
      </c>
      <c r="D127">
        <f>IFERROR(VLOOKUP(B127,'Cleaned Trainer Data'!$A$2:$E$11,4,FALSE),"0")</f>
        <v>3.09</v>
      </c>
    </row>
    <row r="128" spans="1:4" x14ac:dyDescent="0.35">
      <c r="A128" t="s">
        <v>159</v>
      </c>
      <c r="B128" t="s">
        <v>10</v>
      </c>
      <c r="C128" t="str">
        <f>IFERROR(VLOOKUP(B128,'Cleaned Trainer Data'!$A$2:$E$9,2,FALSE),"No Trainer Assigned")</f>
        <v>Arun</v>
      </c>
      <c r="D128">
        <f>IFERROR(VLOOKUP(B128,'Cleaned Trainer Data'!$A$2:$E$11,4,FALSE),"0")</f>
        <v>4.3</v>
      </c>
    </row>
    <row r="129" spans="1:4" x14ac:dyDescent="0.35">
      <c r="A129" t="s">
        <v>160</v>
      </c>
      <c r="B129" t="s">
        <v>37</v>
      </c>
      <c r="C129" t="str">
        <f>IFERROR(VLOOKUP(B129,'Cleaned Trainer Data'!$A$2:$E$9,2,FALSE),"No Trainer Assigned")</f>
        <v>No Trainer Assigned</v>
      </c>
      <c r="D129" t="str">
        <f>IFERROR(VLOOKUP(B129,'Cleaned Trainer Data'!$A$2:$E$11,4,FALSE),"0")</f>
        <v>0</v>
      </c>
    </row>
    <row r="130" spans="1:4" x14ac:dyDescent="0.35">
      <c r="A130" t="s">
        <v>161</v>
      </c>
      <c r="B130" t="s">
        <v>27</v>
      </c>
      <c r="C130" t="str">
        <f>IFERROR(VLOOKUP(B130,'Cleaned Trainer Data'!$A$2:$E$9,2,FALSE),"No Trainer Assigned")</f>
        <v>Joseph</v>
      </c>
      <c r="D130">
        <f>IFERROR(VLOOKUP(B130,'Cleaned Trainer Data'!$A$2:$E$11,4,FALSE),"0")</f>
        <v>4.58</v>
      </c>
    </row>
    <row r="131" spans="1:4" x14ac:dyDescent="0.35">
      <c r="A131" t="s">
        <v>162</v>
      </c>
      <c r="B131" t="s">
        <v>27</v>
      </c>
      <c r="C131" t="str">
        <f>IFERROR(VLOOKUP(B131,'Cleaned Trainer Data'!$A$2:$E$9,2,FALSE),"No Trainer Assigned")</f>
        <v>Joseph</v>
      </c>
      <c r="D131">
        <f>IFERROR(VLOOKUP(B131,'Cleaned Trainer Data'!$A$2:$E$11,4,FALSE),"0")</f>
        <v>4.58</v>
      </c>
    </row>
    <row r="132" spans="1:4" x14ac:dyDescent="0.35">
      <c r="A132" t="s">
        <v>163</v>
      </c>
      <c r="B132" t="s">
        <v>18</v>
      </c>
      <c r="C132" t="str">
        <f>IFERROR(VLOOKUP(B132,'Cleaned Trainer Data'!$A$2:$E$9,2,FALSE),"No Trainer Assigned")</f>
        <v>Meera</v>
      </c>
      <c r="D132">
        <f>IFERROR(VLOOKUP(B132,'Cleaned Trainer Data'!$A$2:$E$11,4,FALSE),"0")</f>
        <v>4.75</v>
      </c>
    </row>
    <row r="133" spans="1:4" x14ac:dyDescent="0.35">
      <c r="A133" t="s">
        <v>164</v>
      </c>
      <c r="B133" t="s">
        <v>21</v>
      </c>
      <c r="C133" t="str">
        <f>IFERROR(VLOOKUP(B133,'Cleaned Trainer Data'!$A$2:$E$9,2,FALSE),"No Trainer Assigned")</f>
        <v>Kavya</v>
      </c>
      <c r="D133">
        <f>IFERROR(VLOOKUP(B133,'Cleaned Trainer Data'!$A$2:$E$11,4,FALSE),"0")</f>
        <v>3.28</v>
      </c>
    </row>
    <row r="134" spans="1:4" x14ac:dyDescent="0.35">
      <c r="A134" t="s">
        <v>165</v>
      </c>
      <c r="B134" t="s">
        <v>18</v>
      </c>
      <c r="C134" t="str">
        <f>IFERROR(VLOOKUP(B134,'Cleaned Trainer Data'!$A$2:$E$9,2,FALSE),"No Trainer Assigned")</f>
        <v>Meera</v>
      </c>
      <c r="D134">
        <f>IFERROR(VLOOKUP(B134,'Cleaned Trainer Data'!$A$2:$E$11,4,FALSE),"0")</f>
        <v>4.75</v>
      </c>
    </row>
    <row r="135" spans="1:4" x14ac:dyDescent="0.35">
      <c r="A135" t="s">
        <v>166</v>
      </c>
      <c r="B135" t="s">
        <v>21</v>
      </c>
      <c r="C135" t="str">
        <f>IFERROR(VLOOKUP(B135,'Cleaned Trainer Data'!$A$2:$E$9,2,FALSE),"No Trainer Assigned")</f>
        <v>Kavya</v>
      </c>
      <c r="D135">
        <f>IFERROR(VLOOKUP(B135,'Cleaned Trainer Data'!$A$2:$E$11,4,FALSE),"0")</f>
        <v>3.28</v>
      </c>
    </row>
    <row r="136" spans="1:4" x14ac:dyDescent="0.35">
      <c r="A136" t="s">
        <v>167</v>
      </c>
      <c r="B136" t="s">
        <v>18</v>
      </c>
      <c r="C136" t="str">
        <f>IFERROR(VLOOKUP(B136,'Cleaned Trainer Data'!$A$2:$E$9,2,FALSE),"No Trainer Assigned")</f>
        <v>Meera</v>
      </c>
      <c r="D136">
        <f>IFERROR(VLOOKUP(B136,'Cleaned Trainer Data'!$A$2:$E$11,4,FALSE),"0")</f>
        <v>4.75</v>
      </c>
    </row>
    <row r="137" spans="1:4" x14ac:dyDescent="0.35">
      <c r="A137" t="s">
        <v>168</v>
      </c>
      <c r="B137" t="s">
        <v>18</v>
      </c>
      <c r="C137" t="str">
        <f>IFERROR(VLOOKUP(B137,'Cleaned Trainer Data'!$A$2:$E$9,2,FALSE),"No Trainer Assigned")</f>
        <v>Meera</v>
      </c>
      <c r="D137">
        <f>IFERROR(VLOOKUP(B137,'Cleaned Trainer Data'!$A$2:$E$11,4,FALSE),"0")</f>
        <v>4.75</v>
      </c>
    </row>
    <row r="138" spans="1:4" x14ac:dyDescent="0.35">
      <c r="A138" t="s">
        <v>169</v>
      </c>
      <c r="B138" t="s">
        <v>18</v>
      </c>
      <c r="C138" t="str">
        <f>IFERROR(VLOOKUP(B138,'Cleaned Trainer Data'!$A$2:$E$9,2,FALSE),"No Trainer Assigned")</f>
        <v>Meera</v>
      </c>
      <c r="D138">
        <f>IFERROR(VLOOKUP(B138,'Cleaned Trainer Data'!$A$2:$E$11,4,FALSE),"0")</f>
        <v>4.75</v>
      </c>
    </row>
    <row r="139" spans="1:4" x14ac:dyDescent="0.35">
      <c r="A139" t="s">
        <v>170</v>
      </c>
      <c r="B139" t="s">
        <v>21</v>
      </c>
      <c r="C139" t="str">
        <f>IFERROR(VLOOKUP(B139,'Cleaned Trainer Data'!$A$2:$E$9,2,FALSE),"No Trainer Assigned")</f>
        <v>Kavya</v>
      </c>
      <c r="D139">
        <f>IFERROR(VLOOKUP(B139,'Cleaned Trainer Data'!$A$2:$E$11,4,FALSE),"0")</f>
        <v>3.28</v>
      </c>
    </row>
    <row r="140" spans="1:4" x14ac:dyDescent="0.35">
      <c r="A140" t="s">
        <v>171</v>
      </c>
      <c r="B140" t="s">
        <v>21</v>
      </c>
      <c r="C140" t="str">
        <f>IFERROR(VLOOKUP(B140,'Cleaned Trainer Data'!$A$2:$E$9,2,FALSE),"No Trainer Assigned")</f>
        <v>Kavya</v>
      </c>
      <c r="D140">
        <f>IFERROR(VLOOKUP(B140,'Cleaned Trainer Data'!$A$2:$E$11,4,FALSE),"0")</f>
        <v>3.28</v>
      </c>
    </row>
    <row r="141" spans="1:4" x14ac:dyDescent="0.35">
      <c r="A141" t="s">
        <v>172</v>
      </c>
      <c r="B141" t="s">
        <v>18</v>
      </c>
      <c r="C141" t="str">
        <f>IFERROR(VLOOKUP(B141,'Cleaned Trainer Data'!$A$2:$E$9,2,FALSE),"No Trainer Assigned")</f>
        <v>Meera</v>
      </c>
      <c r="D141">
        <f>IFERROR(VLOOKUP(B141,'Cleaned Trainer Data'!$A$2:$E$11,4,FALSE),"0")</f>
        <v>4.75</v>
      </c>
    </row>
    <row r="142" spans="1:4" x14ac:dyDescent="0.35">
      <c r="A142" t="s">
        <v>173</v>
      </c>
      <c r="B142" t="s">
        <v>10</v>
      </c>
      <c r="C142" t="str">
        <f>IFERROR(VLOOKUP(B142,'Cleaned Trainer Data'!$A$2:$E$9,2,FALSE),"No Trainer Assigned")</f>
        <v>Arun</v>
      </c>
      <c r="D142">
        <f>IFERROR(VLOOKUP(B142,'Cleaned Trainer Data'!$A$2:$E$11,4,FALSE),"0")</f>
        <v>4.3</v>
      </c>
    </row>
    <row r="143" spans="1:4" x14ac:dyDescent="0.35">
      <c r="A143" t="s">
        <v>174</v>
      </c>
      <c r="B143" t="s">
        <v>14</v>
      </c>
      <c r="C143" t="str">
        <f>IFERROR(VLOOKUP(B143,'Cleaned Trainer Data'!$A$2:$E$9,2,FALSE),"No Trainer Assigned")</f>
        <v>Vishal</v>
      </c>
      <c r="D143">
        <f>IFERROR(VLOOKUP(B143,'Cleaned Trainer Data'!$A$2:$E$11,4,FALSE),"0")</f>
        <v>3.09</v>
      </c>
    </row>
    <row r="144" spans="1:4" x14ac:dyDescent="0.35">
      <c r="A144" t="s">
        <v>175</v>
      </c>
      <c r="B144" t="s">
        <v>14</v>
      </c>
      <c r="C144" t="str">
        <f>IFERROR(VLOOKUP(B144,'Cleaned Trainer Data'!$A$2:$E$9,2,FALSE),"No Trainer Assigned")</f>
        <v>Vishal</v>
      </c>
      <c r="D144">
        <f>IFERROR(VLOOKUP(B144,'Cleaned Trainer Data'!$A$2:$E$11,4,FALSE),"0")</f>
        <v>3.09</v>
      </c>
    </row>
    <row r="145" spans="1:4" x14ac:dyDescent="0.35">
      <c r="A145" t="s">
        <v>176</v>
      </c>
      <c r="B145" t="s">
        <v>14</v>
      </c>
      <c r="C145" t="str">
        <f>IFERROR(VLOOKUP(B145,'Cleaned Trainer Data'!$A$2:$E$9,2,FALSE),"No Trainer Assigned")</f>
        <v>Vishal</v>
      </c>
      <c r="D145">
        <f>IFERROR(VLOOKUP(B145,'Cleaned Trainer Data'!$A$2:$E$11,4,FALSE),"0")</f>
        <v>3.09</v>
      </c>
    </row>
    <row r="146" spans="1:4" x14ac:dyDescent="0.35">
      <c r="A146" t="s">
        <v>177</v>
      </c>
      <c r="B146" t="s">
        <v>21</v>
      </c>
      <c r="C146" t="str">
        <f>IFERROR(VLOOKUP(B146,'Cleaned Trainer Data'!$A$2:$E$9,2,FALSE),"No Trainer Assigned")</f>
        <v>Kavya</v>
      </c>
      <c r="D146">
        <f>IFERROR(VLOOKUP(B146,'Cleaned Trainer Data'!$A$2:$E$11,4,FALSE),"0")</f>
        <v>3.28</v>
      </c>
    </row>
    <row r="147" spans="1:4" x14ac:dyDescent="0.35">
      <c r="A147" t="s">
        <v>178</v>
      </c>
      <c r="B147" t="s">
        <v>21</v>
      </c>
      <c r="C147" t="str">
        <f>IFERROR(VLOOKUP(B147,'Cleaned Trainer Data'!$A$2:$E$9,2,FALSE),"No Trainer Assigned")</f>
        <v>Kavya</v>
      </c>
      <c r="D147">
        <f>IFERROR(VLOOKUP(B147,'Cleaned Trainer Data'!$A$2:$E$11,4,FALSE),"0")</f>
        <v>3.28</v>
      </c>
    </row>
    <row r="148" spans="1:4" x14ac:dyDescent="0.35">
      <c r="A148" t="s">
        <v>179</v>
      </c>
      <c r="B148" t="s">
        <v>10</v>
      </c>
      <c r="C148" t="str">
        <f>IFERROR(VLOOKUP(B148,'Cleaned Trainer Data'!$A$2:$E$9,2,FALSE),"No Trainer Assigned")</f>
        <v>Arun</v>
      </c>
      <c r="D148">
        <f>IFERROR(VLOOKUP(B148,'Cleaned Trainer Data'!$A$2:$E$11,4,FALSE),"0")</f>
        <v>4.3</v>
      </c>
    </row>
    <row r="149" spans="1:4" x14ac:dyDescent="0.35">
      <c r="A149" t="s">
        <v>180</v>
      </c>
      <c r="B149" t="s">
        <v>14</v>
      </c>
      <c r="C149" t="str">
        <f>IFERROR(VLOOKUP(B149,'Cleaned Trainer Data'!$A$2:$E$9,2,FALSE),"No Trainer Assigned")</f>
        <v>Vishal</v>
      </c>
      <c r="D149">
        <f>IFERROR(VLOOKUP(B149,'Cleaned Trainer Data'!$A$2:$E$11,4,FALSE),"0")</f>
        <v>3.09</v>
      </c>
    </row>
    <row r="150" spans="1:4" x14ac:dyDescent="0.35">
      <c r="A150" t="s">
        <v>181</v>
      </c>
      <c r="B150" t="s">
        <v>14</v>
      </c>
      <c r="C150" t="str">
        <f>IFERROR(VLOOKUP(B150,'Cleaned Trainer Data'!$A$2:$E$9,2,FALSE),"No Trainer Assigned")</f>
        <v>Vishal</v>
      </c>
      <c r="D150">
        <f>IFERROR(VLOOKUP(B150,'Cleaned Trainer Data'!$A$2:$E$11,4,FALSE),"0")</f>
        <v>3.09</v>
      </c>
    </row>
    <row r="151" spans="1:4" x14ac:dyDescent="0.35">
      <c r="A151" t="s">
        <v>182</v>
      </c>
      <c r="B151" t="s">
        <v>18</v>
      </c>
      <c r="C151" t="str">
        <f>IFERROR(VLOOKUP(B151,'Cleaned Trainer Data'!$A$2:$E$9,2,FALSE),"No Trainer Assigned")</f>
        <v>Meera</v>
      </c>
      <c r="D151">
        <f>IFERROR(VLOOKUP(B151,'Cleaned Trainer Data'!$A$2:$E$11,4,FALSE),"0")</f>
        <v>4.75</v>
      </c>
    </row>
    <row r="152" spans="1:4" x14ac:dyDescent="0.35">
      <c r="A152" t="s">
        <v>183</v>
      </c>
      <c r="B152" t="s">
        <v>21</v>
      </c>
      <c r="C152" t="str">
        <f>IFERROR(VLOOKUP(B152,'Cleaned Trainer Data'!$A$2:$E$9,2,FALSE),"No Trainer Assigned")</f>
        <v>Kavya</v>
      </c>
      <c r="D152">
        <f>IFERROR(VLOOKUP(B152,'Cleaned Trainer Data'!$A$2:$E$11,4,FALSE),"0")</f>
        <v>3.28</v>
      </c>
    </row>
    <row r="153" spans="1:4" x14ac:dyDescent="0.35">
      <c r="A153" t="s">
        <v>184</v>
      </c>
      <c r="B153" t="s">
        <v>14</v>
      </c>
      <c r="C153" t="str">
        <f>IFERROR(VLOOKUP(B153,'Cleaned Trainer Data'!$A$2:$E$9,2,FALSE),"No Trainer Assigned")</f>
        <v>Vishal</v>
      </c>
      <c r="D153">
        <f>IFERROR(VLOOKUP(B153,'Cleaned Trainer Data'!$A$2:$E$11,4,FALSE),"0")</f>
        <v>3.09</v>
      </c>
    </row>
    <row r="154" spans="1:4" x14ac:dyDescent="0.35">
      <c r="A154" t="s">
        <v>185</v>
      </c>
      <c r="B154" t="s">
        <v>27</v>
      </c>
      <c r="C154" t="str">
        <f>IFERROR(VLOOKUP(B154,'Cleaned Trainer Data'!$A$2:$E$9,2,FALSE),"No Trainer Assigned")</f>
        <v>Joseph</v>
      </c>
      <c r="D154">
        <f>IFERROR(VLOOKUP(B154,'Cleaned Trainer Data'!$A$2:$E$11,4,FALSE),"0")</f>
        <v>4.58</v>
      </c>
    </row>
    <row r="155" spans="1:4" x14ac:dyDescent="0.35">
      <c r="A155" t="s">
        <v>186</v>
      </c>
      <c r="B155" t="s">
        <v>10</v>
      </c>
      <c r="C155" t="str">
        <f>IFERROR(VLOOKUP(B155,'Cleaned Trainer Data'!$A$2:$E$9,2,FALSE),"No Trainer Assigned")</f>
        <v>Arun</v>
      </c>
      <c r="D155">
        <f>IFERROR(VLOOKUP(B155,'Cleaned Trainer Data'!$A$2:$E$11,4,FALSE),"0")</f>
        <v>4.3</v>
      </c>
    </row>
    <row r="156" spans="1:4" x14ac:dyDescent="0.35">
      <c r="A156" t="s">
        <v>187</v>
      </c>
      <c r="B156" t="s">
        <v>27</v>
      </c>
      <c r="C156" t="str">
        <f>IFERROR(VLOOKUP(B156,'Cleaned Trainer Data'!$A$2:$E$9,2,FALSE),"No Trainer Assigned")</f>
        <v>Joseph</v>
      </c>
      <c r="D156">
        <f>IFERROR(VLOOKUP(B156,'Cleaned Trainer Data'!$A$2:$E$11,4,FALSE),"0")</f>
        <v>4.58</v>
      </c>
    </row>
    <row r="157" spans="1:4" x14ac:dyDescent="0.35">
      <c r="A157" t="s">
        <v>188</v>
      </c>
      <c r="B157" t="s">
        <v>27</v>
      </c>
      <c r="C157" t="str">
        <f>IFERROR(VLOOKUP(B157,'Cleaned Trainer Data'!$A$2:$E$9,2,FALSE),"No Trainer Assigned")</f>
        <v>Joseph</v>
      </c>
      <c r="D157">
        <f>IFERROR(VLOOKUP(B157,'Cleaned Trainer Data'!$A$2:$E$11,4,FALSE),"0")</f>
        <v>4.58</v>
      </c>
    </row>
    <row r="158" spans="1:4" x14ac:dyDescent="0.35">
      <c r="A158" t="s">
        <v>189</v>
      </c>
      <c r="B158" t="s">
        <v>10</v>
      </c>
      <c r="C158" t="str">
        <f>IFERROR(VLOOKUP(B158,'Cleaned Trainer Data'!$A$2:$E$9,2,FALSE),"No Trainer Assigned")</f>
        <v>Arun</v>
      </c>
      <c r="D158">
        <f>IFERROR(VLOOKUP(B158,'Cleaned Trainer Data'!$A$2:$E$11,4,FALSE),"0")</f>
        <v>4.3</v>
      </c>
    </row>
    <row r="159" spans="1:4" x14ac:dyDescent="0.35">
      <c r="A159" t="s">
        <v>190</v>
      </c>
      <c r="B159" t="s">
        <v>27</v>
      </c>
      <c r="C159" t="str">
        <f>IFERROR(VLOOKUP(B159,'Cleaned Trainer Data'!$A$2:$E$9,2,FALSE),"No Trainer Assigned")</f>
        <v>Joseph</v>
      </c>
      <c r="D159">
        <f>IFERROR(VLOOKUP(B159,'Cleaned Trainer Data'!$A$2:$E$11,4,FALSE),"0")</f>
        <v>4.58</v>
      </c>
    </row>
    <row r="160" spans="1:4" x14ac:dyDescent="0.35">
      <c r="A160" t="s">
        <v>191</v>
      </c>
      <c r="B160" t="s">
        <v>14</v>
      </c>
      <c r="C160" t="str">
        <f>IFERROR(VLOOKUP(B160,'Cleaned Trainer Data'!$A$2:$E$9,2,FALSE),"No Trainer Assigned")</f>
        <v>Vishal</v>
      </c>
      <c r="D160">
        <f>IFERROR(VLOOKUP(B160,'Cleaned Trainer Data'!$A$2:$E$11,4,FALSE),"0")</f>
        <v>3.09</v>
      </c>
    </row>
    <row r="161" spans="1:4" x14ac:dyDescent="0.35">
      <c r="A161" t="s">
        <v>192</v>
      </c>
      <c r="B161" t="s">
        <v>21</v>
      </c>
      <c r="C161" t="str">
        <f>IFERROR(VLOOKUP(B161,'Cleaned Trainer Data'!$A$2:$E$9,2,FALSE),"No Trainer Assigned")</f>
        <v>Kavya</v>
      </c>
      <c r="D161">
        <f>IFERROR(VLOOKUP(B161,'Cleaned Trainer Data'!$A$2:$E$11,4,FALSE),"0")</f>
        <v>3.28</v>
      </c>
    </row>
    <row r="162" spans="1:4" x14ac:dyDescent="0.35">
      <c r="A162" t="s">
        <v>193</v>
      </c>
      <c r="B162" t="s">
        <v>10</v>
      </c>
      <c r="C162" t="str">
        <f>IFERROR(VLOOKUP(B162,'Cleaned Trainer Data'!$A$2:$E$9,2,FALSE),"No Trainer Assigned")</f>
        <v>Arun</v>
      </c>
      <c r="D162">
        <f>IFERROR(VLOOKUP(B162,'Cleaned Trainer Data'!$A$2:$E$11,4,FALSE),"0")</f>
        <v>4.3</v>
      </c>
    </row>
    <row r="163" spans="1:4" x14ac:dyDescent="0.35">
      <c r="A163" t="s">
        <v>194</v>
      </c>
      <c r="B163" t="s">
        <v>18</v>
      </c>
      <c r="C163" t="str">
        <f>IFERROR(VLOOKUP(B163,'Cleaned Trainer Data'!$A$2:$E$9,2,FALSE),"No Trainer Assigned")</f>
        <v>Meera</v>
      </c>
      <c r="D163">
        <f>IFERROR(VLOOKUP(B163,'Cleaned Trainer Data'!$A$2:$E$11,4,FALSE),"0")</f>
        <v>4.75</v>
      </c>
    </row>
    <row r="164" spans="1:4" x14ac:dyDescent="0.35">
      <c r="A164" t="s">
        <v>195</v>
      </c>
      <c r="B164" t="s">
        <v>27</v>
      </c>
      <c r="C164" t="str">
        <f>IFERROR(VLOOKUP(B164,'Cleaned Trainer Data'!$A$2:$E$9,2,FALSE),"No Trainer Assigned")</f>
        <v>Joseph</v>
      </c>
      <c r="D164">
        <f>IFERROR(VLOOKUP(B164,'Cleaned Trainer Data'!$A$2:$E$11,4,FALSE),"0")</f>
        <v>4.58</v>
      </c>
    </row>
    <row r="165" spans="1:4" x14ac:dyDescent="0.35">
      <c r="A165" t="s">
        <v>196</v>
      </c>
      <c r="B165" t="s">
        <v>10</v>
      </c>
      <c r="C165" t="str">
        <f>IFERROR(VLOOKUP(B165,'Cleaned Trainer Data'!$A$2:$E$9,2,FALSE),"No Trainer Assigned")</f>
        <v>Arun</v>
      </c>
      <c r="D165">
        <f>IFERROR(VLOOKUP(B165,'Cleaned Trainer Data'!$A$2:$E$11,4,FALSE),"0")</f>
        <v>4.3</v>
      </c>
    </row>
    <row r="166" spans="1:4" x14ac:dyDescent="0.35">
      <c r="A166" t="s">
        <v>197</v>
      </c>
      <c r="B166" t="s">
        <v>37</v>
      </c>
      <c r="C166" t="str">
        <f>IFERROR(VLOOKUP(B166,'Cleaned Trainer Data'!$A$2:$E$9,2,FALSE),"No Trainer Assigned")</f>
        <v>No Trainer Assigned</v>
      </c>
      <c r="D166" t="str">
        <f>IFERROR(VLOOKUP(B166,'Cleaned Trainer Data'!$A$2:$E$11,4,FALSE),"0")</f>
        <v>0</v>
      </c>
    </row>
    <row r="167" spans="1:4" x14ac:dyDescent="0.35">
      <c r="A167" t="s">
        <v>198</v>
      </c>
      <c r="B167" t="s">
        <v>37</v>
      </c>
      <c r="C167" t="str">
        <f>IFERROR(VLOOKUP(B167,'Cleaned Trainer Data'!$A$2:$E$9,2,FALSE),"No Trainer Assigned")</f>
        <v>No Trainer Assigned</v>
      </c>
      <c r="D167" t="str">
        <f>IFERROR(VLOOKUP(B167,'Cleaned Trainer Data'!$A$2:$E$11,4,FALSE),"0")</f>
        <v>0</v>
      </c>
    </row>
    <row r="168" spans="1:4" x14ac:dyDescent="0.35">
      <c r="A168" t="s">
        <v>199</v>
      </c>
      <c r="B168" t="s">
        <v>21</v>
      </c>
      <c r="C168" t="str">
        <f>IFERROR(VLOOKUP(B168,'Cleaned Trainer Data'!$A$2:$E$9,2,FALSE),"No Trainer Assigned")</f>
        <v>Kavya</v>
      </c>
      <c r="D168">
        <f>IFERROR(VLOOKUP(B168,'Cleaned Trainer Data'!$A$2:$E$11,4,FALSE),"0")</f>
        <v>3.28</v>
      </c>
    </row>
    <row r="169" spans="1:4" x14ac:dyDescent="0.35">
      <c r="A169" t="s">
        <v>200</v>
      </c>
      <c r="B169" t="s">
        <v>14</v>
      </c>
      <c r="C169" t="str">
        <f>IFERROR(VLOOKUP(B169,'Cleaned Trainer Data'!$A$2:$E$9,2,FALSE),"No Trainer Assigned")</f>
        <v>Vishal</v>
      </c>
      <c r="D169">
        <f>IFERROR(VLOOKUP(B169,'Cleaned Trainer Data'!$A$2:$E$11,4,FALSE),"0")</f>
        <v>3.09</v>
      </c>
    </row>
    <row r="170" spans="1:4" x14ac:dyDescent="0.35">
      <c r="A170" t="s">
        <v>201</v>
      </c>
      <c r="B170" t="s">
        <v>21</v>
      </c>
      <c r="C170" t="str">
        <f>IFERROR(VLOOKUP(B170,'Cleaned Trainer Data'!$A$2:$E$9,2,FALSE),"No Trainer Assigned")</f>
        <v>Kavya</v>
      </c>
      <c r="D170">
        <f>IFERROR(VLOOKUP(B170,'Cleaned Trainer Data'!$A$2:$E$11,4,FALSE),"0")</f>
        <v>3.28</v>
      </c>
    </row>
    <row r="171" spans="1:4" x14ac:dyDescent="0.35">
      <c r="A171" t="s">
        <v>202</v>
      </c>
      <c r="B171" t="s">
        <v>21</v>
      </c>
      <c r="C171" t="str">
        <f>IFERROR(VLOOKUP(B171,'Cleaned Trainer Data'!$A$2:$E$9,2,FALSE),"No Trainer Assigned")</f>
        <v>Kavya</v>
      </c>
      <c r="D171">
        <f>IFERROR(VLOOKUP(B171,'Cleaned Trainer Data'!$A$2:$E$11,4,FALSE),"0")</f>
        <v>3.28</v>
      </c>
    </row>
    <row r="172" spans="1:4" x14ac:dyDescent="0.35">
      <c r="A172" t="s">
        <v>203</v>
      </c>
      <c r="B172" t="s">
        <v>21</v>
      </c>
      <c r="C172" t="str">
        <f>IFERROR(VLOOKUP(B172,'Cleaned Trainer Data'!$A$2:$E$9,2,FALSE),"No Trainer Assigned")</f>
        <v>Kavya</v>
      </c>
      <c r="D172">
        <f>IFERROR(VLOOKUP(B172,'Cleaned Trainer Data'!$A$2:$E$11,4,FALSE),"0")</f>
        <v>3.28</v>
      </c>
    </row>
    <row r="173" spans="1:4" x14ac:dyDescent="0.35">
      <c r="A173" t="s">
        <v>204</v>
      </c>
      <c r="B173" t="s">
        <v>21</v>
      </c>
      <c r="C173" t="str">
        <f>IFERROR(VLOOKUP(B173,'Cleaned Trainer Data'!$A$2:$E$9,2,FALSE),"No Trainer Assigned")</f>
        <v>Kavya</v>
      </c>
      <c r="D173">
        <f>IFERROR(VLOOKUP(B173,'Cleaned Trainer Data'!$A$2:$E$11,4,FALSE),"0")</f>
        <v>3.28</v>
      </c>
    </row>
    <row r="174" spans="1:4" x14ac:dyDescent="0.35">
      <c r="A174" t="s">
        <v>205</v>
      </c>
      <c r="B174" t="s">
        <v>18</v>
      </c>
      <c r="C174" t="str">
        <f>IFERROR(VLOOKUP(B174,'Cleaned Trainer Data'!$A$2:$E$9,2,FALSE),"No Trainer Assigned")</f>
        <v>Meera</v>
      </c>
      <c r="D174">
        <f>IFERROR(VLOOKUP(B174,'Cleaned Trainer Data'!$A$2:$E$11,4,FALSE),"0")</f>
        <v>4.75</v>
      </c>
    </row>
    <row r="175" spans="1:4" x14ac:dyDescent="0.35">
      <c r="A175" t="s">
        <v>206</v>
      </c>
      <c r="B175" t="s">
        <v>18</v>
      </c>
      <c r="C175" t="str">
        <f>IFERROR(VLOOKUP(B175,'Cleaned Trainer Data'!$A$2:$E$9,2,FALSE),"No Trainer Assigned")</f>
        <v>Meera</v>
      </c>
      <c r="D175">
        <f>IFERROR(VLOOKUP(B175,'Cleaned Trainer Data'!$A$2:$E$11,4,FALSE),"0")</f>
        <v>4.75</v>
      </c>
    </row>
    <row r="176" spans="1:4" x14ac:dyDescent="0.35">
      <c r="A176" t="s">
        <v>207</v>
      </c>
      <c r="B176" t="s">
        <v>10</v>
      </c>
      <c r="C176" t="str">
        <f>IFERROR(VLOOKUP(B176,'Cleaned Trainer Data'!$A$2:$E$9,2,FALSE),"No Trainer Assigned")</f>
        <v>Arun</v>
      </c>
      <c r="D176">
        <f>IFERROR(VLOOKUP(B176,'Cleaned Trainer Data'!$A$2:$E$11,4,FALSE),"0")</f>
        <v>4.3</v>
      </c>
    </row>
    <row r="177" spans="1:4" x14ac:dyDescent="0.35">
      <c r="A177" t="s">
        <v>208</v>
      </c>
      <c r="B177" t="s">
        <v>37</v>
      </c>
      <c r="C177" t="str">
        <f>IFERROR(VLOOKUP(B177,'Cleaned Trainer Data'!$A$2:$E$9,2,FALSE),"No Trainer Assigned")</f>
        <v>No Trainer Assigned</v>
      </c>
      <c r="D177" t="str">
        <f>IFERROR(VLOOKUP(B177,'Cleaned Trainer Data'!$A$2:$E$11,4,FALSE),"0")</f>
        <v>0</v>
      </c>
    </row>
    <row r="178" spans="1:4" x14ac:dyDescent="0.35">
      <c r="A178" t="s">
        <v>209</v>
      </c>
      <c r="B178" t="s">
        <v>21</v>
      </c>
      <c r="C178" t="str">
        <f>IFERROR(VLOOKUP(B178,'Cleaned Trainer Data'!$A$2:$E$9,2,FALSE),"No Trainer Assigned")</f>
        <v>Kavya</v>
      </c>
      <c r="D178">
        <f>IFERROR(VLOOKUP(B178,'Cleaned Trainer Data'!$A$2:$E$11,4,FALSE),"0")</f>
        <v>3.28</v>
      </c>
    </row>
    <row r="179" spans="1:4" x14ac:dyDescent="0.35">
      <c r="A179" t="s">
        <v>210</v>
      </c>
      <c r="B179" t="s">
        <v>10</v>
      </c>
      <c r="C179" t="str">
        <f>IFERROR(VLOOKUP(B179,'Cleaned Trainer Data'!$A$2:$E$9,2,FALSE),"No Trainer Assigned")</f>
        <v>Arun</v>
      </c>
      <c r="D179">
        <f>IFERROR(VLOOKUP(B179,'Cleaned Trainer Data'!$A$2:$E$11,4,FALSE),"0")</f>
        <v>4.3</v>
      </c>
    </row>
    <row r="180" spans="1:4" x14ac:dyDescent="0.35">
      <c r="A180" t="s">
        <v>211</v>
      </c>
      <c r="B180" t="s">
        <v>37</v>
      </c>
      <c r="C180" t="str">
        <f>IFERROR(VLOOKUP(B180,'Cleaned Trainer Data'!$A$2:$E$9,2,FALSE),"No Trainer Assigned")</f>
        <v>No Trainer Assigned</v>
      </c>
      <c r="D180" t="str">
        <f>IFERROR(VLOOKUP(B180,'Cleaned Trainer Data'!$A$2:$E$11,4,FALSE),"0")</f>
        <v>0</v>
      </c>
    </row>
    <row r="181" spans="1:4" x14ac:dyDescent="0.35">
      <c r="A181" t="s">
        <v>212</v>
      </c>
      <c r="B181" t="s">
        <v>27</v>
      </c>
      <c r="C181" t="str">
        <f>IFERROR(VLOOKUP(B181,'Cleaned Trainer Data'!$A$2:$E$9,2,FALSE),"No Trainer Assigned")</f>
        <v>Joseph</v>
      </c>
      <c r="D181">
        <f>IFERROR(VLOOKUP(B181,'Cleaned Trainer Data'!$A$2:$E$11,4,FALSE),"0")</f>
        <v>4.58</v>
      </c>
    </row>
    <row r="182" spans="1:4" x14ac:dyDescent="0.35">
      <c r="A182" t="s">
        <v>213</v>
      </c>
      <c r="B182" t="s">
        <v>14</v>
      </c>
      <c r="C182" t="str">
        <f>IFERROR(VLOOKUP(B182,'Cleaned Trainer Data'!$A$2:$E$9,2,FALSE),"No Trainer Assigned")</f>
        <v>Vishal</v>
      </c>
      <c r="D182">
        <f>IFERROR(VLOOKUP(B182,'Cleaned Trainer Data'!$A$2:$E$11,4,FALSE),"0")</f>
        <v>3.09</v>
      </c>
    </row>
    <row r="183" spans="1:4" x14ac:dyDescent="0.35">
      <c r="A183" t="s">
        <v>214</v>
      </c>
      <c r="B183" t="s">
        <v>18</v>
      </c>
      <c r="C183" t="str">
        <f>IFERROR(VLOOKUP(B183,'Cleaned Trainer Data'!$A$2:$E$9,2,FALSE),"No Trainer Assigned")</f>
        <v>Meera</v>
      </c>
      <c r="D183">
        <f>IFERROR(VLOOKUP(B183,'Cleaned Trainer Data'!$A$2:$E$11,4,FALSE),"0")</f>
        <v>4.75</v>
      </c>
    </row>
    <row r="184" spans="1:4" x14ac:dyDescent="0.35">
      <c r="A184" t="s">
        <v>215</v>
      </c>
      <c r="B184" t="s">
        <v>27</v>
      </c>
      <c r="C184" t="str">
        <f>IFERROR(VLOOKUP(B184,'Cleaned Trainer Data'!$A$2:$E$9,2,FALSE),"No Trainer Assigned")</f>
        <v>Joseph</v>
      </c>
      <c r="D184">
        <f>IFERROR(VLOOKUP(B184,'Cleaned Trainer Data'!$A$2:$E$11,4,FALSE),"0")</f>
        <v>4.58</v>
      </c>
    </row>
    <row r="185" spans="1:4" x14ac:dyDescent="0.35">
      <c r="A185" t="s">
        <v>216</v>
      </c>
      <c r="B185" t="s">
        <v>37</v>
      </c>
      <c r="C185" t="str">
        <f>IFERROR(VLOOKUP(B185,'Cleaned Trainer Data'!$A$2:$E$9,2,FALSE),"No Trainer Assigned")</f>
        <v>No Trainer Assigned</v>
      </c>
      <c r="D185" t="str">
        <f>IFERROR(VLOOKUP(B185,'Cleaned Trainer Data'!$A$2:$E$11,4,FALSE),"0")</f>
        <v>0</v>
      </c>
    </row>
    <row r="186" spans="1:4" x14ac:dyDescent="0.35">
      <c r="A186" t="s">
        <v>217</v>
      </c>
      <c r="B186" t="s">
        <v>27</v>
      </c>
      <c r="C186" t="str">
        <f>IFERROR(VLOOKUP(B186,'Cleaned Trainer Data'!$A$2:$E$9,2,FALSE),"No Trainer Assigned")</f>
        <v>Joseph</v>
      </c>
      <c r="D186">
        <f>IFERROR(VLOOKUP(B186,'Cleaned Trainer Data'!$A$2:$E$11,4,FALSE),"0")</f>
        <v>4.58</v>
      </c>
    </row>
    <row r="187" spans="1:4" x14ac:dyDescent="0.35">
      <c r="A187" t="s">
        <v>218</v>
      </c>
      <c r="B187" t="s">
        <v>14</v>
      </c>
      <c r="C187" t="str">
        <f>IFERROR(VLOOKUP(B187,'Cleaned Trainer Data'!$A$2:$E$9,2,FALSE),"No Trainer Assigned")</f>
        <v>Vishal</v>
      </c>
      <c r="D187">
        <f>IFERROR(VLOOKUP(B187,'Cleaned Trainer Data'!$A$2:$E$11,4,FALSE),"0")</f>
        <v>3.09</v>
      </c>
    </row>
    <row r="188" spans="1:4" x14ac:dyDescent="0.35">
      <c r="A188" t="s">
        <v>219</v>
      </c>
      <c r="B188" t="s">
        <v>37</v>
      </c>
      <c r="C188" t="str">
        <f>IFERROR(VLOOKUP(B188,'Cleaned Trainer Data'!$A$2:$E$9,2,FALSE),"No Trainer Assigned")</f>
        <v>No Trainer Assigned</v>
      </c>
      <c r="D188" t="str">
        <f>IFERROR(VLOOKUP(B188,'Cleaned Trainer Data'!$A$2:$E$11,4,FALSE),"0")</f>
        <v>0</v>
      </c>
    </row>
    <row r="189" spans="1:4" x14ac:dyDescent="0.35">
      <c r="A189" t="s">
        <v>220</v>
      </c>
      <c r="B189" t="s">
        <v>27</v>
      </c>
      <c r="C189" t="str">
        <f>IFERROR(VLOOKUP(B189,'Cleaned Trainer Data'!$A$2:$E$9,2,FALSE),"No Trainer Assigned")</f>
        <v>Joseph</v>
      </c>
      <c r="D189">
        <f>IFERROR(VLOOKUP(B189,'Cleaned Trainer Data'!$A$2:$E$11,4,FALSE),"0")</f>
        <v>4.58</v>
      </c>
    </row>
    <row r="190" spans="1:4" x14ac:dyDescent="0.35">
      <c r="A190" t="s">
        <v>221</v>
      </c>
      <c r="B190" t="s">
        <v>18</v>
      </c>
      <c r="C190" t="str">
        <f>IFERROR(VLOOKUP(B190,'Cleaned Trainer Data'!$A$2:$E$9,2,FALSE),"No Trainer Assigned")</f>
        <v>Meera</v>
      </c>
      <c r="D190">
        <f>IFERROR(VLOOKUP(B190,'Cleaned Trainer Data'!$A$2:$E$11,4,FALSE),"0")</f>
        <v>4.75</v>
      </c>
    </row>
    <row r="191" spans="1:4" x14ac:dyDescent="0.35">
      <c r="A191" t="s">
        <v>222</v>
      </c>
      <c r="B191" t="s">
        <v>18</v>
      </c>
      <c r="C191" t="str">
        <f>IFERROR(VLOOKUP(B191,'Cleaned Trainer Data'!$A$2:$E$9,2,FALSE),"No Trainer Assigned")</f>
        <v>Meera</v>
      </c>
      <c r="D191">
        <f>IFERROR(VLOOKUP(B191,'Cleaned Trainer Data'!$A$2:$E$11,4,FALSE),"0")</f>
        <v>4.75</v>
      </c>
    </row>
    <row r="192" spans="1:4" x14ac:dyDescent="0.35">
      <c r="A192" t="s">
        <v>223</v>
      </c>
      <c r="B192" t="s">
        <v>10</v>
      </c>
      <c r="C192" t="str">
        <f>IFERROR(VLOOKUP(B192,'Cleaned Trainer Data'!$A$2:$E$9,2,FALSE),"No Trainer Assigned")</f>
        <v>Arun</v>
      </c>
      <c r="D192">
        <f>IFERROR(VLOOKUP(B192,'Cleaned Trainer Data'!$A$2:$E$11,4,FALSE),"0")</f>
        <v>4.3</v>
      </c>
    </row>
    <row r="193" spans="1:4" x14ac:dyDescent="0.35">
      <c r="A193" t="s">
        <v>224</v>
      </c>
      <c r="B193" t="s">
        <v>27</v>
      </c>
      <c r="C193" t="str">
        <f>IFERROR(VLOOKUP(B193,'Cleaned Trainer Data'!$A$2:$E$9,2,FALSE),"No Trainer Assigned")</f>
        <v>Joseph</v>
      </c>
      <c r="D193">
        <f>IFERROR(VLOOKUP(B193,'Cleaned Trainer Data'!$A$2:$E$11,4,FALSE),"0")</f>
        <v>4.58</v>
      </c>
    </row>
    <row r="194" spans="1:4" x14ac:dyDescent="0.35">
      <c r="A194" t="s">
        <v>225</v>
      </c>
      <c r="B194" t="s">
        <v>21</v>
      </c>
      <c r="C194" t="str">
        <f>IFERROR(VLOOKUP(B194,'Cleaned Trainer Data'!$A$2:$E$9,2,FALSE),"No Trainer Assigned")</f>
        <v>Kavya</v>
      </c>
      <c r="D194">
        <f>IFERROR(VLOOKUP(B194,'Cleaned Trainer Data'!$A$2:$E$11,4,FALSE),"0")</f>
        <v>3.28</v>
      </c>
    </row>
    <row r="195" spans="1:4" x14ac:dyDescent="0.35">
      <c r="A195" t="s">
        <v>226</v>
      </c>
      <c r="B195" t="s">
        <v>27</v>
      </c>
      <c r="C195" t="str">
        <f>IFERROR(VLOOKUP(B195,'Cleaned Trainer Data'!$A$2:$E$9,2,FALSE),"No Trainer Assigned")</f>
        <v>Joseph</v>
      </c>
      <c r="D195">
        <f>IFERROR(VLOOKUP(B195,'Cleaned Trainer Data'!$A$2:$E$11,4,FALSE),"0")</f>
        <v>4.58</v>
      </c>
    </row>
    <row r="196" spans="1:4" x14ac:dyDescent="0.35">
      <c r="A196" t="s">
        <v>227</v>
      </c>
      <c r="B196" t="s">
        <v>37</v>
      </c>
      <c r="C196" t="str">
        <f>IFERROR(VLOOKUP(B196,'Cleaned Trainer Data'!$A$2:$E$9,2,FALSE),"No Trainer Assigned")</f>
        <v>No Trainer Assigned</v>
      </c>
      <c r="D196" t="str">
        <f>IFERROR(VLOOKUP(B196,'Cleaned Trainer Data'!$A$2:$E$11,4,FALSE),"0")</f>
        <v>0</v>
      </c>
    </row>
    <row r="197" spans="1:4" x14ac:dyDescent="0.35">
      <c r="A197" t="s">
        <v>228</v>
      </c>
      <c r="B197" t="s">
        <v>37</v>
      </c>
      <c r="C197" t="str">
        <f>IFERROR(VLOOKUP(B197,'Cleaned Trainer Data'!$A$2:$E$9,2,FALSE),"No Trainer Assigned")</f>
        <v>No Trainer Assigned</v>
      </c>
      <c r="D197" t="str">
        <f>IFERROR(VLOOKUP(B197,'Cleaned Trainer Data'!$A$2:$E$11,4,FALSE),"0")</f>
        <v>0</v>
      </c>
    </row>
    <row r="198" spans="1:4" x14ac:dyDescent="0.35">
      <c r="A198" t="s">
        <v>229</v>
      </c>
      <c r="B198" t="s">
        <v>27</v>
      </c>
      <c r="C198" t="str">
        <f>IFERROR(VLOOKUP(B198,'Cleaned Trainer Data'!$A$2:$E$9,2,FALSE),"No Trainer Assigned")</f>
        <v>Joseph</v>
      </c>
      <c r="D198">
        <f>IFERROR(VLOOKUP(B198,'Cleaned Trainer Data'!$A$2:$E$11,4,FALSE),"0")</f>
        <v>4.58</v>
      </c>
    </row>
    <row r="199" spans="1:4" x14ac:dyDescent="0.35">
      <c r="A199" t="s">
        <v>230</v>
      </c>
      <c r="B199" t="s">
        <v>14</v>
      </c>
      <c r="C199" t="str">
        <f>IFERROR(VLOOKUP(B199,'Cleaned Trainer Data'!$A$2:$E$9,2,FALSE),"No Trainer Assigned")</f>
        <v>Vishal</v>
      </c>
      <c r="D199">
        <f>IFERROR(VLOOKUP(B199,'Cleaned Trainer Data'!$A$2:$E$11,4,FALSE),"0")</f>
        <v>3.09</v>
      </c>
    </row>
    <row r="200" spans="1:4" x14ac:dyDescent="0.35">
      <c r="A200" t="s">
        <v>231</v>
      </c>
      <c r="B200" t="s">
        <v>18</v>
      </c>
      <c r="C200" t="str">
        <f>IFERROR(VLOOKUP(B200,'Cleaned Trainer Data'!$A$2:$E$9,2,FALSE),"No Trainer Assigned")</f>
        <v>Meera</v>
      </c>
      <c r="D200">
        <f>IFERROR(VLOOKUP(B200,'Cleaned Trainer Data'!$A$2:$E$11,4,FALSE),"0")</f>
        <v>4.75</v>
      </c>
    </row>
    <row r="201" spans="1:4" x14ac:dyDescent="0.35">
      <c r="A201" t="s">
        <v>232</v>
      </c>
      <c r="B201" t="s">
        <v>37</v>
      </c>
      <c r="C201" t="str">
        <f>IFERROR(VLOOKUP(B201,'Cleaned Trainer Data'!$A$2:$E$9,2,FALSE),"No Trainer Assigned")</f>
        <v>No Trainer Assigned</v>
      </c>
      <c r="D201" t="str">
        <f>IFERROR(VLOOKUP(B201,'Cleaned Trainer Data'!$A$2:$E$11,4,FALSE),"0")</f>
        <v>0</v>
      </c>
    </row>
    <row r="202" spans="1:4" x14ac:dyDescent="0.35">
      <c r="A202" t="s">
        <v>233</v>
      </c>
      <c r="B202" t="s">
        <v>18</v>
      </c>
      <c r="C202" t="str">
        <f>IFERROR(VLOOKUP(B202,'Cleaned Trainer Data'!$A$2:$E$9,2,FALSE),"No Trainer Assigned")</f>
        <v>Meera</v>
      </c>
      <c r="D202">
        <f>IFERROR(VLOOKUP(B202,'Cleaned Trainer Data'!$A$2:$E$11,4,FALSE),"0")</f>
        <v>4.75</v>
      </c>
    </row>
    <row r="203" spans="1:4" x14ac:dyDescent="0.35">
      <c r="A203" t="s">
        <v>234</v>
      </c>
      <c r="B203" t="s">
        <v>37</v>
      </c>
      <c r="C203" t="str">
        <f>IFERROR(VLOOKUP(B203,'Cleaned Trainer Data'!$A$2:$E$9,2,FALSE),"No Trainer Assigned")</f>
        <v>No Trainer Assigned</v>
      </c>
      <c r="D203" t="str">
        <f>IFERROR(VLOOKUP(B203,'Cleaned Trainer Data'!$A$2:$E$11,4,FALSE),"0")</f>
        <v>0</v>
      </c>
    </row>
    <row r="204" spans="1:4" x14ac:dyDescent="0.35">
      <c r="A204" t="s">
        <v>235</v>
      </c>
      <c r="B204" t="s">
        <v>10</v>
      </c>
      <c r="C204" t="str">
        <f>IFERROR(VLOOKUP(B204,'Cleaned Trainer Data'!$A$2:$E$9,2,FALSE),"No Trainer Assigned")</f>
        <v>Arun</v>
      </c>
      <c r="D204">
        <f>IFERROR(VLOOKUP(B204,'Cleaned Trainer Data'!$A$2:$E$11,4,FALSE),"0")</f>
        <v>4.3</v>
      </c>
    </row>
    <row r="205" spans="1:4" x14ac:dyDescent="0.35">
      <c r="A205" t="s">
        <v>236</v>
      </c>
      <c r="B205" t="s">
        <v>21</v>
      </c>
      <c r="C205" t="str">
        <f>IFERROR(VLOOKUP(B205,'Cleaned Trainer Data'!$A$2:$E$9,2,FALSE),"No Trainer Assigned")</f>
        <v>Kavya</v>
      </c>
      <c r="D205">
        <f>IFERROR(VLOOKUP(B205,'Cleaned Trainer Data'!$A$2:$E$11,4,FALSE),"0")</f>
        <v>3.28</v>
      </c>
    </row>
    <row r="206" spans="1:4" x14ac:dyDescent="0.35">
      <c r="A206" t="s">
        <v>237</v>
      </c>
      <c r="B206" t="s">
        <v>37</v>
      </c>
      <c r="C206" t="str">
        <f>IFERROR(VLOOKUP(B206,'Cleaned Trainer Data'!$A$2:$E$9,2,FALSE),"No Trainer Assigned")</f>
        <v>No Trainer Assigned</v>
      </c>
      <c r="D206" t="str">
        <f>IFERROR(VLOOKUP(B206,'Cleaned Trainer Data'!$A$2:$E$11,4,FALSE),"0")</f>
        <v>0</v>
      </c>
    </row>
    <row r="207" spans="1:4" x14ac:dyDescent="0.35">
      <c r="A207" t="s">
        <v>238</v>
      </c>
      <c r="B207" t="s">
        <v>18</v>
      </c>
      <c r="C207" t="str">
        <f>IFERROR(VLOOKUP(B207,'Cleaned Trainer Data'!$A$2:$E$9,2,FALSE),"No Trainer Assigned")</f>
        <v>Meera</v>
      </c>
      <c r="D207">
        <f>IFERROR(VLOOKUP(B207,'Cleaned Trainer Data'!$A$2:$E$11,4,FALSE),"0")</f>
        <v>4.75</v>
      </c>
    </row>
    <row r="208" spans="1:4" x14ac:dyDescent="0.35">
      <c r="A208" t="s">
        <v>239</v>
      </c>
      <c r="B208" t="s">
        <v>10</v>
      </c>
      <c r="C208" t="str">
        <f>IFERROR(VLOOKUP(B208,'Cleaned Trainer Data'!$A$2:$E$9,2,FALSE),"No Trainer Assigned")</f>
        <v>Arun</v>
      </c>
      <c r="D208">
        <f>IFERROR(VLOOKUP(B208,'Cleaned Trainer Data'!$A$2:$E$11,4,FALSE),"0")</f>
        <v>4.3</v>
      </c>
    </row>
    <row r="209" spans="1:4" x14ac:dyDescent="0.35">
      <c r="A209" t="s">
        <v>240</v>
      </c>
      <c r="B209" t="s">
        <v>37</v>
      </c>
      <c r="C209" t="str">
        <f>IFERROR(VLOOKUP(B209,'Cleaned Trainer Data'!$A$2:$E$9,2,FALSE),"No Trainer Assigned")</f>
        <v>No Trainer Assigned</v>
      </c>
      <c r="D209" t="str">
        <f>IFERROR(VLOOKUP(B209,'Cleaned Trainer Data'!$A$2:$E$11,4,FALSE),"0")</f>
        <v>0</v>
      </c>
    </row>
    <row r="210" spans="1:4" x14ac:dyDescent="0.35">
      <c r="A210" t="s">
        <v>241</v>
      </c>
      <c r="B210" t="s">
        <v>14</v>
      </c>
      <c r="C210" t="str">
        <f>IFERROR(VLOOKUP(B210,'Cleaned Trainer Data'!$A$2:$E$9,2,FALSE),"No Trainer Assigned")</f>
        <v>Vishal</v>
      </c>
      <c r="D210">
        <f>IFERROR(VLOOKUP(B210,'Cleaned Trainer Data'!$A$2:$E$11,4,FALSE),"0")</f>
        <v>3.09</v>
      </c>
    </row>
    <row r="211" spans="1:4" x14ac:dyDescent="0.35">
      <c r="A211" t="s">
        <v>242</v>
      </c>
      <c r="B211" t="s">
        <v>21</v>
      </c>
      <c r="C211" t="str">
        <f>IFERROR(VLOOKUP(B211,'Cleaned Trainer Data'!$A$2:$E$9,2,FALSE),"No Trainer Assigned")</f>
        <v>Kavya</v>
      </c>
      <c r="D211">
        <f>IFERROR(VLOOKUP(B211,'Cleaned Trainer Data'!$A$2:$E$11,4,FALSE),"0")</f>
        <v>3.28</v>
      </c>
    </row>
    <row r="212" spans="1:4" x14ac:dyDescent="0.35">
      <c r="A212" t="s">
        <v>243</v>
      </c>
      <c r="B212" t="s">
        <v>37</v>
      </c>
      <c r="C212" t="str">
        <f>IFERROR(VLOOKUP(B212,'Cleaned Trainer Data'!$A$2:$E$9,2,FALSE),"No Trainer Assigned")</f>
        <v>No Trainer Assigned</v>
      </c>
      <c r="D212" t="str">
        <f>IFERROR(VLOOKUP(B212,'Cleaned Trainer Data'!$A$2:$E$11,4,FALSE),"0")</f>
        <v>0</v>
      </c>
    </row>
    <row r="213" spans="1:4" x14ac:dyDescent="0.35">
      <c r="A213" t="s">
        <v>244</v>
      </c>
      <c r="B213" t="s">
        <v>10</v>
      </c>
      <c r="C213" t="str">
        <f>IFERROR(VLOOKUP(B213,'Cleaned Trainer Data'!$A$2:$E$9,2,FALSE),"No Trainer Assigned")</f>
        <v>Arun</v>
      </c>
      <c r="D213">
        <f>IFERROR(VLOOKUP(B213,'Cleaned Trainer Data'!$A$2:$E$11,4,FALSE),"0")</f>
        <v>4.3</v>
      </c>
    </row>
    <row r="214" spans="1:4" x14ac:dyDescent="0.35">
      <c r="A214" t="s">
        <v>245</v>
      </c>
      <c r="B214" t="s">
        <v>14</v>
      </c>
      <c r="C214" t="str">
        <f>IFERROR(VLOOKUP(B214,'Cleaned Trainer Data'!$A$2:$E$9,2,FALSE),"No Trainer Assigned")</f>
        <v>Vishal</v>
      </c>
      <c r="D214">
        <f>IFERROR(VLOOKUP(B214,'Cleaned Trainer Data'!$A$2:$E$11,4,FALSE),"0")</f>
        <v>3.09</v>
      </c>
    </row>
    <row r="215" spans="1:4" x14ac:dyDescent="0.35">
      <c r="A215" t="s">
        <v>246</v>
      </c>
      <c r="B215" t="s">
        <v>27</v>
      </c>
      <c r="C215" t="str">
        <f>IFERROR(VLOOKUP(B215,'Cleaned Trainer Data'!$A$2:$E$9,2,FALSE),"No Trainer Assigned")</f>
        <v>Joseph</v>
      </c>
      <c r="D215">
        <f>IFERROR(VLOOKUP(B215,'Cleaned Trainer Data'!$A$2:$E$11,4,FALSE),"0")</f>
        <v>4.58</v>
      </c>
    </row>
    <row r="216" spans="1:4" x14ac:dyDescent="0.35">
      <c r="A216" t="s">
        <v>247</v>
      </c>
      <c r="B216" t="s">
        <v>10</v>
      </c>
      <c r="C216" t="str">
        <f>IFERROR(VLOOKUP(B216,'Cleaned Trainer Data'!$A$2:$E$9,2,FALSE),"No Trainer Assigned")</f>
        <v>Arun</v>
      </c>
      <c r="D216">
        <f>IFERROR(VLOOKUP(B216,'Cleaned Trainer Data'!$A$2:$E$11,4,FALSE),"0")</f>
        <v>4.3</v>
      </c>
    </row>
    <row r="217" spans="1:4" x14ac:dyDescent="0.35">
      <c r="A217" t="s">
        <v>248</v>
      </c>
      <c r="B217" t="s">
        <v>10</v>
      </c>
      <c r="C217" t="str">
        <f>IFERROR(VLOOKUP(B217,'Cleaned Trainer Data'!$A$2:$E$9,2,FALSE),"No Trainer Assigned")</f>
        <v>Arun</v>
      </c>
      <c r="D217">
        <f>IFERROR(VLOOKUP(B217,'Cleaned Trainer Data'!$A$2:$E$11,4,FALSE),"0")</f>
        <v>4.3</v>
      </c>
    </row>
    <row r="218" spans="1:4" x14ac:dyDescent="0.35">
      <c r="A218" t="s">
        <v>249</v>
      </c>
      <c r="B218" t="s">
        <v>14</v>
      </c>
      <c r="C218" t="str">
        <f>IFERROR(VLOOKUP(B218,'Cleaned Trainer Data'!$A$2:$E$9,2,FALSE),"No Trainer Assigned")</f>
        <v>Vishal</v>
      </c>
      <c r="D218">
        <f>IFERROR(VLOOKUP(B218,'Cleaned Trainer Data'!$A$2:$E$11,4,FALSE),"0")</f>
        <v>3.09</v>
      </c>
    </row>
    <row r="219" spans="1:4" x14ac:dyDescent="0.35">
      <c r="A219" t="s">
        <v>250</v>
      </c>
      <c r="B219" t="s">
        <v>10</v>
      </c>
      <c r="C219" t="str">
        <f>IFERROR(VLOOKUP(B219,'Cleaned Trainer Data'!$A$2:$E$9,2,FALSE),"No Trainer Assigned")</f>
        <v>Arun</v>
      </c>
      <c r="D219">
        <f>IFERROR(VLOOKUP(B219,'Cleaned Trainer Data'!$A$2:$E$11,4,FALSE),"0")</f>
        <v>4.3</v>
      </c>
    </row>
    <row r="220" spans="1:4" x14ac:dyDescent="0.35">
      <c r="A220" t="s">
        <v>251</v>
      </c>
      <c r="B220" t="s">
        <v>14</v>
      </c>
      <c r="C220" t="str">
        <f>IFERROR(VLOOKUP(B220,'Cleaned Trainer Data'!$A$2:$E$9,2,FALSE),"No Trainer Assigned")</f>
        <v>Vishal</v>
      </c>
      <c r="D220">
        <f>IFERROR(VLOOKUP(B220,'Cleaned Trainer Data'!$A$2:$E$11,4,FALSE),"0")</f>
        <v>3.09</v>
      </c>
    </row>
    <row r="221" spans="1:4" x14ac:dyDescent="0.35">
      <c r="A221" t="s">
        <v>252</v>
      </c>
      <c r="B221" t="s">
        <v>37</v>
      </c>
      <c r="C221" t="str">
        <f>IFERROR(VLOOKUP(B221,'Cleaned Trainer Data'!$A$2:$E$9,2,FALSE),"No Trainer Assigned")</f>
        <v>No Trainer Assigned</v>
      </c>
      <c r="D221" t="str">
        <f>IFERROR(VLOOKUP(B221,'Cleaned Trainer Data'!$A$2:$E$11,4,FALSE),"0")</f>
        <v>0</v>
      </c>
    </row>
    <row r="222" spans="1:4" x14ac:dyDescent="0.35">
      <c r="A222" t="s">
        <v>253</v>
      </c>
      <c r="B222" t="s">
        <v>14</v>
      </c>
      <c r="C222" t="str">
        <f>IFERROR(VLOOKUP(B222,'Cleaned Trainer Data'!$A$2:$E$9,2,FALSE),"No Trainer Assigned")</f>
        <v>Vishal</v>
      </c>
      <c r="D222">
        <f>IFERROR(VLOOKUP(B222,'Cleaned Trainer Data'!$A$2:$E$11,4,FALSE),"0")</f>
        <v>3.09</v>
      </c>
    </row>
    <row r="223" spans="1:4" x14ac:dyDescent="0.35">
      <c r="A223" t="s">
        <v>254</v>
      </c>
      <c r="B223" t="s">
        <v>14</v>
      </c>
      <c r="C223" t="str">
        <f>IFERROR(VLOOKUP(B223,'Cleaned Trainer Data'!$A$2:$E$9,2,FALSE),"No Trainer Assigned")</f>
        <v>Vishal</v>
      </c>
      <c r="D223">
        <f>IFERROR(VLOOKUP(B223,'Cleaned Trainer Data'!$A$2:$E$11,4,FALSE),"0")</f>
        <v>3.09</v>
      </c>
    </row>
    <row r="224" spans="1:4" x14ac:dyDescent="0.35">
      <c r="A224" t="s">
        <v>255</v>
      </c>
      <c r="B224" t="s">
        <v>21</v>
      </c>
      <c r="C224" t="str">
        <f>IFERROR(VLOOKUP(B224,'Cleaned Trainer Data'!$A$2:$E$9,2,FALSE),"No Trainer Assigned")</f>
        <v>Kavya</v>
      </c>
      <c r="D224">
        <f>IFERROR(VLOOKUP(B224,'Cleaned Trainer Data'!$A$2:$E$11,4,FALSE),"0")</f>
        <v>3.28</v>
      </c>
    </row>
    <row r="225" spans="1:4" x14ac:dyDescent="0.35">
      <c r="A225" t="s">
        <v>256</v>
      </c>
      <c r="B225" t="s">
        <v>14</v>
      </c>
      <c r="C225" t="str">
        <f>IFERROR(VLOOKUP(B225,'Cleaned Trainer Data'!$A$2:$E$9,2,FALSE),"No Trainer Assigned")</f>
        <v>Vishal</v>
      </c>
      <c r="D225">
        <f>IFERROR(VLOOKUP(B225,'Cleaned Trainer Data'!$A$2:$E$11,4,FALSE),"0")</f>
        <v>3.09</v>
      </c>
    </row>
    <row r="226" spans="1:4" x14ac:dyDescent="0.35">
      <c r="A226" t="s">
        <v>257</v>
      </c>
      <c r="B226" t="s">
        <v>14</v>
      </c>
      <c r="C226" t="str">
        <f>IFERROR(VLOOKUP(B226,'Cleaned Trainer Data'!$A$2:$E$9,2,FALSE),"No Trainer Assigned")</f>
        <v>Vishal</v>
      </c>
      <c r="D226">
        <f>IFERROR(VLOOKUP(B226,'Cleaned Trainer Data'!$A$2:$E$11,4,FALSE),"0")</f>
        <v>3.09</v>
      </c>
    </row>
    <row r="227" spans="1:4" x14ac:dyDescent="0.35">
      <c r="A227" t="s">
        <v>258</v>
      </c>
      <c r="B227" t="s">
        <v>27</v>
      </c>
      <c r="C227" t="str">
        <f>IFERROR(VLOOKUP(B227,'Cleaned Trainer Data'!$A$2:$E$9,2,FALSE),"No Trainer Assigned")</f>
        <v>Joseph</v>
      </c>
      <c r="D227">
        <f>IFERROR(VLOOKUP(B227,'Cleaned Trainer Data'!$A$2:$E$11,4,FALSE),"0")</f>
        <v>4.58</v>
      </c>
    </row>
    <row r="228" spans="1:4" x14ac:dyDescent="0.35">
      <c r="A228" t="s">
        <v>259</v>
      </c>
      <c r="B228" t="s">
        <v>37</v>
      </c>
      <c r="C228" t="str">
        <f>IFERROR(VLOOKUP(B228,'Cleaned Trainer Data'!$A$2:$E$9,2,FALSE),"No Trainer Assigned")</f>
        <v>No Trainer Assigned</v>
      </c>
      <c r="D228" t="str">
        <f>IFERROR(VLOOKUP(B228,'Cleaned Trainer Data'!$A$2:$E$11,4,FALSE),"0")</f>
        <v>0</v>
      </c>
    </row>
    <row r="229" spans="1:4" x14ac:dyDescent="0.35">
      <c r="A229" t="s">
        <v>260</v>
      </c>
      <c r="B229" t="s">
        <v>21</v>
      </c>
      <c r="C229" t="str">
        <f>IFERROR(VLOOKUP(B229,'Cleaned Trainer Data'!$A$2:$E$9,2,FALSE),"No Trainer Assigned")</f>
        <v>Kavya</v>
      </c>
      <c r="D229">
        <f>IFERROR(VLOOKUP(B229,'Cleaned Trainer Data'!$A$2:$E$11,4,FALSE),"0")</f>
        <v>3.28</v>
      </c>
    </row>
    <row r="230" spans="1:4" x14ac:dyDescent="0.35">
      <c r="A230" t="s">
        <v>261</v>
      </c>
      <c r="B230" t="s">
        <v>27</v>
      </c>
      <c r="C230" t="str">
        <f>IFERROR(VLOOKUP(B230,'Cleaned Trainer Data'!$A$2:$E$9,2,FALSE),"No Trainer Assigned")</f>
        <v>Joseph</v>
      </c>
      <c r="D230">
        <f>IFERROR(VLOOKUP(B230,'Cleaned Trainer Data'!$A$2:$E$11,4,FALSE),"0")</f>
        <v>4.58</v>
      </c>
    </row>
    <row r="231" spans="1:4" x14ac:dyDescent="0.35">
      <c r="A231" t="s">
        <v>262</v>
      </c>
      <c r="B231" t="s">
        <v>18</v>
      </c>
      <c r="C231" t="str">
        <f>IFERROR(VLOOKUP(B231,'Cleaned Trainer Data'!$A$2:$E$9,2,FALSE),"No Trainer Assigned")</f>
        <v>Meera</v>
      </c>
      <c r="D231">
        <f>IFERROR(VLOOKUP(B231,'Cleaned Trainer Data'!$A$2:$E$11,4,FALSE),"0")</f>
        <v>4.75</v>
      </c>
    </row>
    <row r="232" spans="1:4" x14ac:dyDescent="0.35">
      <c r="A232" t="s">
        <v>263</v>
      </c>
      <c r="B232" t="s">
        <v>37</v>
      </c>
      <c r="C232" t="str">
        <f>IFERROR(VLOOKUP(B232,'Cleaned Trainer Data'!$A$2:$E$9,2,FALSE),"No Trainer Assigned")</f>
        <v>No Trainer Assigned</v>
      </c>
      <c r="D232" t="str">
        <f>IFERROR(VLOOKUP(B232,'Cleaned Trainer Data'!$A$2:$E$11,4,FALSE),"0")</f>
        <v>0</v>
      </c>
    </row>
    <row r="233" spans="1:4" x14ac:dyDescent="0.35">
      <c r="A233" t="s">
        <v>264</v>
      </c>
      <c r="B233" t="s">
        <v>37</v>
      </c>
      <c r="C233" t="str">
        <f>IFERROR(VLOOKUP(B233,'Cleaned Trainer Data'!$A$2:$E$9,2,FALSE),"No Trainer Assigned")</f>
        <v>No Trainer Assigned</v>
      </c>
      <c r="D233" t="str">
        <f>IFERROR(VLOOKUP(B233,'Cleaned Trainer Data'!$A$2:$E$11,4,FALSE),"0")</f>
        <v>0</v>
      </c>
    </row>
    <row r="234" spans="1:4" x14ac:dyDescent="0.35">
      <c r="A234" t="s">
        <v>265</v>
      </c>
      <c r="B234" t="s">
        <v>18</v>
      </c>
      <c r="C234" t="str">
        <f>IFERROR(VLOOKUP(B234,'Cleaned Trainer Data'!$A$2:$E$9,2,FALSE),"No Trainer Assigned")</f>
        <v>Meera</v>
      </c>
      <c r="D234">
        <f>IFERROR(VLOOKUP(B234,'Cleaned Trainer Data'!$A$2:$E$11,4,FALSE),"0")</f>
        <v>4.75</v>
      </c>
    </row>
    <row r="235" spans="1:4" x14ac:dyDescent="0.35">
      <c r="A235" t="s">
        <v>266</v>
      </c>
      <c r="B235" t="s">
        <v>14</v>
      </c>
      <c r="C235" t="str">
        <f>IFERROR(VLOOKUP(B235,'Cleaned Trainer Data'!$A$2:$E$9,2,FALSE),"No Trainer Assigned")</f>
        <v>Vishal</v>
      </c>
      <c r="D235">
        <f>IFERROR(VLOOKUP(B235,'Cleaned Trainer Data'!$A$2:$E$11,4,FALSE),"0")</f>
        <v>3.09</v>
      </c>
    </row>
    <row r="236" spans="1:4" x14ac:dyDescent="0.35">
      <c r="A236" t="s">
        <v>267</v>
      </c>
      <c r="B236" t="s">
        <v>27</v>
      </c>
      <c r="C236" t="str">
        <f>IFERROR(VLOOKUP(B236,'Cleaned Trainer Data'!$A$2:$E$9,2,FALSE),"No Trainer Assigned")</f>
        <v>Joseph</v>
      </c>
      <c r="D236">
        <f>IFERROR(VLOOKUP(B236,'Cleaned Trainer Data'!$A$2:$E$11,4,FALSE),"0")</f>
        <v>4.58</v>
      </c>
    </row>
    <row r="237" spans="1:4" x14ac:dyDescent="0.35">
      <c r="A237" t="s">
        <v>268</v>
      </c>
      <c r="B237" t="s">
        <v>10</v>
      </c>
      <c r="C237" t="str">
        <f>IFERROR(VLOOKUP(B237,'Cleaned Trainer Data'!$A$2:$E$9,2,FALSE),"No Trainer Assigned")</f>
        <v>Arun</v>
      </c>
      <c r="D237">
        <f>IFERROR(VLOOKUP(B237,'Cleaned Trainer Data'!$A$2:$E$11,4,FALSE),"0")</f>
        <v>4.3</v>
      </c>
    </row>
    <row r="238" spans="1:4" x14ac:dyDescent="0.35">
      <c r="A238" t="s">
        <v>269</v>
      </c>
      <c r="B238" t="s">
        <v>21</v>
      </c>
      <c r="C238" t="str">
        <f>IFERROR(VLOOKUP(B238,'Cleaned Trainer Data'!$A$2:$E$9,2,FALSE),"No Trainer Assigned")</f>
        <v>Kavya</v>
      </c>
      <c r="D238">
        <f>IFERROR(VLOOKUP(B238,'Cleaned Trainer Data'!$A$2:$E$11,4,FALSE),"0")</f>
        <v>3.28</v>
      </c>
    </row>
    <row r="239" spans="1:4" x14ac:dyDescent="0.35">
      <c r="A239" t="s">
        <v>270</v>
      </c>
      <c r="B239" t="s">
        <v>10</v>
      </c>
      <c r="C239" t="str">
        <f>IFERROR(VLOOKUP(B239,'Cleaned Trainer Data'!$A$2:$E$9,2,FALSE),"No Trainer Assigned")</f>
        <v>Arun</v>
      </c>
      <c r="D239">
        <f>IFERROR(VLOOKUP(B239,'Cleaned Trainer Data'!$A$2:$E$11,4,FALSE),"0")</f>
        <v>4.3</v>
      </c>
    </row>
    <row r="240" spans="1:4" x14ac:dyDescent="0.35">
      <c r="A240" t="s">
        <v>271</v>
      </c>
      <c r="B240" t="s">
        <v>18</v>
      </c>
      <c r="C240" t="str">
        <f>IFERROR(VLOOKUP(B240,'Cleaned Trainer Data'!$A$2:$E$9,2,FALSE),"No Trainer Assigned")</f>
        <v>Meera</v>
      </c>
      <c r="D240">
        <f>IFERROR(VLOOKUP(B240,'Cleaned Trainer Data'!$A$2:$E$11,4,FALSE),"0")</f>
        <v>4.75</v>
      </c>
    </row>
    <row r="241" spans="1:4" x14ac:dyDescent="0.35">
      <c r="A241" t="s">
        <v>272</v>
      </c>
      <c r="B241" t="s">
        <v>37</v>
      </c>
      <c r="C241" t="str">
        <f>IFERROR(VLOOKUP(B241,'Cleaned Trainer Data'!$A$2:$E$9,2,FALSE),"No Trainer Assigned")</f>
        <v>No Trainer Assigned</v>
      </c>
      <c r="D241" t="str">
        <f>IFERROR(VLOOKUP(B241,'Cleaned Trainer Data'!$A$2:$E$11,4,FALSE),"0")</f>
        <v>0</v>
      </c>
    </row>
    <row r="242" spans="1:4" x14ac:dyDescent="0.35">
      <c r="A242" t="s">
        <v>273</v>
      </c>
      <c r="B242" t="s">
        <v>37</v>
      </c>
      <c r="C242" t="str">
        <f>IFERROR(VLOOKUP(B242,'Cleaned Trainer Data'!$A$2:$E$9,2,FALSE),"No Trainer Assigned")</f>
        <v>No Trainer Assigned</v>
      </c>
      <c r="D242" t="str">
        <f>IFERROR(VLOOKUP(B242,'Cleaned Trainer Data'!$A$2:$E$11,4,FALSE),"0")</f>
        <v>0</v>
      </c>
    </row>
    <row r="243" spans="1:4" x14ac:dyDescent="0.35">
      <c r="A243" t="s">
        <v>274</v>
      </c>
      <c r="B243" t="s">
        <v>21</v>
      </c>
      <c r="C243" t="str">
        <f>IFERROR(VLOOKUP(B243,'Cleaned Trainer Data'!$A$2:$E$9,2,FALSE),"No Trainer Assigned")</f>
        <v>Kavya</v>
      </c>
      <c r="D243">
        <f>IFERROR(VLOOKUP(B243,'Cleaned Trainer Data'!$A$2:$E$11,4,FALSE),"0")</f>
        <v>3.28</v>
      </c>
    </row>
    <row r="244" spans="1:4" x14ac:dyDescent="0.35">
      <c r="A244" t="s">
        <v>275</v>
      </c>
      <c r="B244" t="s">
        <v>37</v>
      </c>
      <c r="C244" t="str">
        <f>IFERROR(VLOOKUP(B244,'Cleaned Trainer Data'!$A$2:$E$9,2,FALSE),"No Trainer Assigned")</f>
        <v>No Trainer Assigned</v>
      </c>
      <c r="D244" t="str">
        <f>IFERROR(VLOOKUP(B244,'Cleaned Trainer Data'!$A$2:$E$11,4,FALSE),"0")</f>
        <v>0</v>
      </c>
    </row>
    <row r="245" spans="1:4" x14ac:dyDescent="0.35">
      <c r="A245" t="s">
        <v>276</v>
      </c>
      <c r="B245" t="s">
        <v>37</v>
      </c>
      <c r="C245" t="str">
        <f>IFERROR(VLOOKUP(B245,'Cleaned Trainer Data'!$A$2:$E$9,2,FALSE),"No Trainer Assigned")</f>
        <v>No Trainer Assigned</v>
      </c>
      <c r="D245" t="str">
        <f>IFERROR(VLOOKUP(B245,'Cleaned Trainer Data'!$A$2:$E$11,4,FALSE),"0")</f>
        <v>0</v>
      </c>
    </row>
    <row r="246" spans="1:4" x14ac:dyDescent="0.35">
      <c r="A246" t="s">
        <v>277</v>
      </c>
      <c r="B246" t="s">
        <v>21</v>
      </c>
      <c r="C246" t="str">
        <f>IFERROR(VLOOKUP(B246,'Cleaned Trainer Data'!$A$2:$E$9,2,FALSE),"No Trainer Assigned")</f>
        <v>Kavya</v>
      </c>
      <c r="D246">
        <f>IFERROR(VLOOKUP(B246,'Cleaned Trainer Data'!$A$2:$E$11,4,FALSE),"0")</f>
        <v>3.28</v>
      </c>
    </row>
    <row r="247" spans="1:4" x14ac:dyDescent="0.35">
      <c r="A247" t="s">
        <v>278</v>
      </c>
      <c r="B247" t="s">
        <v>27</v>
      </c>
      <c r="C247" t="str">
        <f>IFERROR(VLOOKUP(B247,'Cleaned Trainer Data'!$A$2:$E$9,2,FALSE),"No Trainer Assigned")</f>
        <v>Joseph</v>
      </c>
      <c r="D247">
        <f>IFERROR(VLOOKUP(B247,'Cleaned Trainer Data'!$A$2:$E$11,4,FALSE),"0")</f>
        <v>4.58</v>
      </c>
    </row>
    <row r="248" spans="1:4" x14ac:dyDescent="0.35">
      <c r="A248" t="s">
        <v>279</v>
      </c>
      <c r="B248" t="s">
        <v>27</v>
      </c>
      <c r="C248" t="str">
        <f>IFERROR(VLOOKUP(B248,'Cleaned Trainer Data'!$A$2:$E$9,2,FALSE),"No Trainer Assigned")</f>
        <v>Joseph</v>
      </c>
      <c r="D248">
        <f>IFERROR(VLOOKUP(B248,'Cleaned Trainer Data'!$A$2:$E$11,4,FALSE),"0")</f>
        <v>4.58</v>
      </c>
    </row>
    <row r="249" spans="1:4" x14ac:dyDescent="0.35">
      <c r="A249" t="s">
        <v>280</v>
      </c>
      <c r="B249" t="s">
        <v>21</v>
      </c>
      <c r="C249" t="str">
        <f>IFERROR(VLOOKUP(B249,'Cleaned Trainer Data'!$A$2:$E$9,2,FALSE),"No Trainer Assigned")</f>
        <v>Kavya</v>
      </c>
      <c r="D249">
        <f>IFERROR(VLOOKUP(B249,'Cleaned Trainer Data'!$A$2:$E$11,4,FALSE),"0")</f>
        <v>3.28</v>
      </c>
    </row>
    <row r="250" spans="1:4" x14ac:dyDescent="0.35">
      <c r="A250" t="s">
        <v>281</v>
      </c>
      <c r="B250" t="s">
        <v>18</v>
      </c>
      <c r="C250" t="str">
        <f>IFERROR(VLOOKUP(B250,'Cleaned Trainer Data'!$A$2:$E$9,2,FALSE),"No Trainer Assigned")</f>
        <v>Meera</v>
      </c>
      <c r="D250">
        <f>IFERROR(VLOOKUP(B250,'Cleaned Trainer Data'!$A$2:$E$11,4,FALSE),"0")</f>
        <v>4.75</v>
      </c>
    </row>
    <row r="251" spans="1:4" x14ac:dyDescent="0.35">
      <c r="A251" t="s">
        <v>282</v>
      </c>
      <c r="B251" t="s">
        <v>37</v>
      </c>
      <c r="C251" t="str">
        <f>IFERROR(VLOOKUP(B251,'Cleaned Trainer Data'!$A$2:$E$9,2,FALSE),"No Trainer Assigned")</f>
        <v>No Trainer Assigned</v>
      </c>
      <c r="D251" t="str">
        <f>IFERROR(VLOOKUP(B251,'Cleaned Trainer Data'!$A$2:$E$11,4,FALSE),"0")</f>
        <v>0</v>
      </c>
    </row>
    <row r="252" spans="1:4" x14ac:dyDescent="0.35">
      <c r="A252" t="s">
        <v>283</v>
      </c>
      <c r="B252" t="s">
        <v>37</v>
      </c>
      <c r="C252" t="str">
        <f>IFERROR(VLOOKUP(B252,'Cleaned Trainer Data'!$A$2:$E$9,2,FALSE),"No Trainer Assigned")</f>
        <v>No Trainer Assigned</v>
      </c>
      <c r="D252" t="str">
        <f>IFERROR(VLOOKUP(B252,'Cleaned Trainer Data'!$A$2:$E$11,4,FALSE),"0")</f>
        <v>0</v>
      </c>
    </row>
    <row r="253" spans="1:4" x14ac:dyDescent="0.35">
      <c r="A253" t="s">
        <v>284</v>
      </c>
      <c r="B253" t="s">
        <v>18</v>
      </c>
      <c r="C253" t="str">
        <f>IFERROR(VLOOKUP(B253,'Cleaned Trainer Data'!$A$2:$E$9,2,FALSE),"No Trainer Assigned")</f>
        <v>Meera</v>
      </c>
      <c r="D253">
        <f>IFERROR(VLOOKUP(B253,'Cleaned Trainer Data'!$A$2:$E$11,4,FALSE),"0")</f>
        <v>4.75</v>
      </c>
    </row>
    <row r="254" spans="1:4" x14ac:dyDescent="0.35">
      <c r="A254" t="s">
        <v>285</v>
      </c>
      <c r="B254" t="s">
        <v>27</v>
      </c>
      <c r="C254" t="str">
        <f>IFERROR(VLOOKUP(B254,'Cleaned Trainer Data'!$A$2:$E$9,2,FALSE),"No Trainer Assigned")</f>
        <v>Joseph</v>
      </c>
      <c r="D254">
        <f>IFERROR(VLOOKUP(B254,'Cleaned Trainer Data'!$A$2:$E$11,4,FALSE),"0")</f>
        <v>4.58</v>
      </c>
    </row>
    <row r="255" spans="1:4" x14ac:dyDescent="0.35">
      <c r="A255" t="s">
        <v>286</v>
      </c>
      <c r="B255" t="s">
        <v>14</v>
      </c>
      <c r="C255" t="str">
        <f>IFERROR(VLOOKUP(B255,'Cleaned Trainer Data'!$A$2:$E$9,2,FALSE),"No Trainer Assigned")</f>
        <v>Vishal</v>
      </c>
      <c r="D255">
        <f>IFERROR(VLOOKUP(B255,'Cleaned Trainer Data'!$A$2:$E$11,4,FALSE),"0")</f>
        <v>3.09</v>
      </c>
    </row>
    <row r="256" spans="1:4" x14ac:dyDescent="0.35">
      <c r="A256" t="s">
        <v>287</v>
      </c>
      <c r="B256" t="s">
        <v>14</v>
      </c>
      <c r="C256" t="str">
        <f>IFERROR(VLOOKUP(B256,'Cleaned Trainer Data'!$A$2:$E$9,2,FALSE),"No Trainer Assigned")</f>
        <v>Vishal</v>
      </c>
      <c r="D256">
        <f>IFERROR(VLOOKUP(B256,'Cleaned Trainer Data'!$A$2:$E$11,4,FALSE),"0")</f>
        <v>3.09</v>
      </c>
    </row>
    <row r="257" spans="1:4" x14ac:dyDescent="0.35">
      <c r="A257" t="s">
        <v>288</v>
      </c>
      <c r="B257" t="s">
        <v>14</v>
      </c>
      <c r="C257" t="str">
        <f>IFERROR(VLOOKUP(B257,'Cleaned Trainer Data'!$A$2:$E$9,2,FALSE),"No Trainer Assigned")</f>
        <v>Vishal</v>
      </c>
      <c r="D257">
        <f>IFERROR(VLOOKUP(B257,'Cleaned Trainer Data'!$A$2:$E$11,4,FALSE),"0")</f>
        <v>3.09</v>
      </c>
    </row>
    <row r="258" spans="1:4" x14ac:dyDescent="0.35">
      <c r="A258" t="s">
        <v>289</v>
      </c>
      <c r="B258" t="s">
        <v>27</v>
      </c>
      <c r="C258" t="str">
        <f>IFERROR(VLOOKUP(B258,'Cleaned Trainer Data'!$A$2:$E$9,2,FALSE),"No Trainer Assigned")</f>
        <v>Joseph</v>
      </c>
      <c r="D258">
        <f>IFERROR(VLOOKUP(B258,'Cleaned Trainer Data'!$A$2:$E$11,4,FALSE),"0")</f>
        <v>4.58</v>
      </c>
    </row>
    <row r="259" spans="1:4" x14ac:dyDescent="0.35">
      <c r="A259" t="s">
        <v>290</v>
      </c>
      <c r="B259" t="s">
        <v>27</v>
      </c>
      <c r="C259" t="str">
        <f>IFERROR(VLOOKUP(B259,'Cleaned Trainer Data'!$A$2:$E$9,2,FALSE),"No Trainer Assigned")</f>
        <v>Joseph</v>
      </c>
      <c r="D259">
        <f>IFERROR(VLOOKUP(B259,'Cleaned Trainer Data'!$A$2:$E$11,4,FALSE),"0")</f>
        <v>4.58</v>
      </c>
    </row>
    <row r="260" spans="1:4" x14ac:dyDescent="0.35">
      <c r="A260" t="s">
        <v>291</v>
      </c>
      <c r="B260" t="s">
        <v>18</v>
      </c>
      <c r="C260" t="str">
        <f>IFERROR(VLOOKUP(B260,'Cleaned Trainer Data'!$A$2:$E$9,2,FALSE),"No Trainer Assigned")</f>
        <v>Meera</v>
      </c>
      <c r="D260">
        <f>IFERROR(VLOOKUP(B260,'Cleaned Trainer Data'!$A$2:$E$11,4,FALSE),"0")</f>
        <v>4.75</v>
      </c>
    </row>
    <row r="261" spans="1:4" x14ac:dyDescent="0.35">
      <c r="A261" t="s">
        <v>292</v>
      </c>
      <c r="B261" t="s">
        <v>37</v>
      </c>
      <c r="C261" t="str">
        <f>IFERROR(VLOOKUP(B261,'Cleaned Trainer Data'!$A$2:$E$9,2,FALSE),"No Trainer Assigned")</f>
        <v>No Trainer Assigned</v>
      </c>
      <c r="D261" t="str">
        <f>IFERROR(VLOOKUP(B261,'Cleaned Trainer Data'!$A$2:$E$11,4,FALSE),"0")</f>
        <v>0</v>
      </c>
    </row>
    <row r="262" spans="1:4" x14ac:dyDescent="0.35">
      <c r="A262" t="s">
        <v>293</v>
      </c>
      <c r="B262" t="s">
        <v>18</v>
      </c>
      <c r="C262" t="str">
        <f>IFERROR(VLOOKUP(B262,'Cleaned Trainer Data'!$A$2:$E$9,2,FALSE),"No Trainer Assigned")</f>
        <v>Meera</v>
      </c>
      <c r="D262">
        <f>IFERROR(VLOOKUP(B262,'Cleaned Trainer Data'!$A$2:$E$11,4,FALSE),"0")</f>
        <v>4.75</v>
      </c>
    </row>
    <row r="263" spans="1:4" x14ac:dyDescent="0.35">
      <c r="A263" t="s">
        <v>294</v>
      </c>
      <c r="B263" t="s">
        <v>18</v>
      </c>
      <c r="C263" t="str">
        <f>IFERROR(VLOOKUP(B263,'Cleaned Trainer Data'!$A$2:$E$9,2,FALSE),"No Trainer Assigned")</f>
        <v>Meera</v>
      </c>
      <c r="D263">
        <f>IFERROR(VLOOKUP(B263,'Cleaned Trainer Data'!$A$2:$E$11,4,FALSE),"0")</f>
        <v>4.75</v>
      </c>
    </row>
    <row r="264" spans="1:4" x14ac:dyDescent="0.35">
      <c r="A264" t="s">
        <v>295</v>
      </c>
      <c r="B264" t="s">
        <v>27</v>
      </c>
      <c r="C264" t="str">
        <f>IFERROR(VLOOKUP(B264,'Cleaned Trainer Data'!$A$2:$E$9,2,FALSE),"No Trainer Assigned")</f>
        <v>Joseph</v>
      </c>
      <c r="D264">
        <f>IFERROR(VLOOKUP(B264,'Cleaned Trainer Data'!$A$2:$E$11,4,FALSE),"0")</f>
        <v>4.58</v>
      </c>
    </row>
    <row r="265" spans="1:4" x14ac:dyDescent="0.35">
      <c r="A265" t="s">
        <v>296</v>
      </c>
      <c r="B265" t="s">
        <v>14</v>
      </c>
      <c r="C265" t="str">
        <f>IFERROR(VLOOKUP(B265,'Cleaned Trainer Data'!$A$2:$E$9,2,FALSE),"No Trainer Assigned")</f>
        <v>Vishal</v>
      </c>
      <c r="D265">
        <f>IFERROR(VLOOKUP(B265,'Cleaned Trainer Data'!$A$2:$E$11,4,FALSE),"0")</f>
        <v>3.09</v>
      </c>
    </row>
    <row r="266" spans="1:4" x14ac:dyDescent="0.35">
      <c r="A266" t="s">
        <v>297</v>
      </c>
      <c r="B266" t="s">
        <v>10</v>
      </c>
      <c r="C266" t="str">
        <f>IFERROR(VLOOKUP(B266,'Cleaned Trainer Data'!$A$2:$E$9,2,FALSE),"No Trainer Assigned")</f>
        <v>Arun</v>
      </c>
      <c r="D266">
        <f>IFERROR(VLOOKUP(B266,'Cleaned Trainer Data'!$A$2:$E$11,4,FALSE),"0")</f>
        <v>4.3</v>
      </c>
    </row>
    <row r="267" spans="1:4" x14ac:dyDescent="0.35">
      <c r="A267" t="s">
        <v>298</v>
      </c>
      <c r="B267" t="s">
        <v>37</v>
      </c>
      <c r="C267" t="str">
        <f>IFERROR(VLOOKUP(B267,'Cleaned Trainer Data'!$A$2:$E$9,2,FALSE),"No Trainer Assigned")</f>
        <v>No Trainer Assigned</v>
      </c>
      <c r="D267" t="str">
        <f>IFERROR(VLOOKUP(B267,'Cleaned Trainer Data'!$A$2:$E$11,4,FALSE),"0")</f>
        <v>0</v>
      </c>
    </row>
    <row r="268" spans="1:4" x14ac:dyDescent="0.35">
      <c r="A268" t="s">
        <v>299</v>
      </c>
      <c r="B268" t="s">
        <v>27</v>
      </c>
      <c r="C268" t="str">
        <f>IFERROR(VLOOKUP(B268,'Cleaned Trainer Data'!$A$2:$E$9,2,FALSE),"No Trainer Assigned")</f>
        <v>Joseph</v>
      </c>
      <c r="D268">
        <f>IFERROR(VLOOKUP(B268,'Cleaned Trainer Data'!$A$2:$E$11,4,FALSE),"0")</f>
        <v>4.58</v>
      </c>
    </row>
    <row r="269" spans="1:4" x14ac:dyDescent="0.35">
      <c r="A269" t="s">
        <v>300</v>
      </c>
      <c r="B269" t="s">
        <v>14</v>
      </c>
      <c r="C269" t="str">
        <f>IFERROR(VLOOKUP(B269,'Cleaned Trainer Data'!$A$2:$E$9,2,FALSE),"No Trainer Assigned")</f>
        <v>Vishal</v>
      </c>
      <c r="D269">
        <f>IFERROR(VLOOKUP(B269,'Cleaned Trainer Data'!$A$2:$E$11,4,FALSE),"0")</f>
        <v>3.09</v>
      </c>
    </row>
    <row r="270" spans="1:4" x14ac:dyDescent="0.35">
      <c r="A270" t="s">
        <v>301</v>
      </c>
      <c r="B270" t="s">
        <v>10</v>
      </c>
      <c r="C270" t="str">
        <f>IFERROR(VLOOKUP(B270,'Cleaned Trainer Data'!$A$2:$E$9,2,FALSE),"No Trainer Assigned")</f>
        <v>Arun</v>
      </c>
      <c r="D270">
        <f>IFERROR(VLOOKUP(B270,'Cleaned Trainer Data'!$A$2:$E$11,4,FALSE),"0")</f>
        <v>4.3</v>
      </c>
    </row>
    <row r="271" spans="1:4" x14ac:dyDescent="0.35">
      <c r="A271" t="s">
        <v>302</v>
      </c>
      <c r="B271" t="s">
        <v>10</v>
      </c>
      <c r="C271" t="str">
        <f>IFERROR(VLOOKUP(B271,'Cleaned Trainer Data'!$A$2:$E$9,2,FALSE),"No Trainer Assigned")</f>
        <v>Arun</v>
      </c>
      <c r="D271">
        <f>IFERROR(VLOOKUP(B271,'Cleaned Trainer Data'!$A$2:$E$11,4,FALSE),"0")</f>
        <v>4.3</v>
      </c>
    </row>
    <row r="272" spans="1:4" x14ac:dyDescent="0.35">
      <c r="A272" t="s">
        <v>303</v>
      </c>
      <c r="B272" t="s">
        <v>27</v>
      </c>
      <c r="C272" t="str">
        <f>IFERROR(VLOOKUP(B272,'Cleaned Trainer Data'!$A$2:$E$9,2,FALSE),"No Trainer Assigned")</f>
        <v>Joseph</v>
      </c>
      <c r="D272">
        <f>IFERROR(VLOOKUP(B272,'Cleaned Trainer Data'!$A$2:$E$11,4,FALSE),"0")</f>
        <v>4.58</v>
      </c>
    </row>
    <row r="273" spans="1:4" x14ac:dyDescent="0.35">
      <c r="A273" t="s">
        <v>304</v>
      </c>
      <c r="B273" t="s">
        <v>21</v>
      </c>
      <c r="C273" t="str">
        <f>IFERROR(VLOOKUP(B273,'Cleaned Trainer Data'!$A$2:$E$9,2,FALSE),"No Trainer Assigned")</f>
        <v>Kavya</v>
      </c>
      <c r="D273">
        <f>IFERROR(VLOOKUP(B273,'Cleaned Trainer Data'!$A$2:$E$11,4,FALSE),"0")</f>
        <v>3.28</v>
      </c>
    </row>
    <row r="274" spans="1:4" x14ac:dyDescent="0.35">
      <c r="A274" t="s">
        <v>305</v>
      </c>
      <c r="B274" t="s">
        <v>37</v>
      </c>
      <c r="C274" t="str">
        <f>IFERROR(VLOOKUP(B274,'Cleaned Trainer Data'!$A$2:$E$9,2,FALSE),"No Trainer Assigned")</f>
        <v>No Trainer Assigned</v>
      </c>
      <c r="D274" t="str">
        <f>IFERROR(VLOOKUP(B274,'Cleaned Trainer Data'!$A$2:$E$11,4,FALSE),"0")</f>
        <v>0</v>
      </c>
    </row>
    <row r="275" spans="1:4" x14ac:dyDescent="0.35">
      <c r="A275" t="s">
        <v>306</v>
      </c>
      <c r="B275" t="s">
        <v>10</v>
      </c>
      <c r="C275" t="str">
        <f>IFERROR(VLOOKUP(B275,'Cleaned Trainer Data'!$A$2:$E$9,2,FALSE),"No Trainer Assigned")</f>
        <v>Arun</v>
      </c>
      <c r="D275">
        <f>IFERROR(VLOOKUP(B275,'Cleaned Trainer Data'!$A$2:$E$11,4,FALSE),"0")</f>
        <v>4.3</v>
      </c>
    </row>
    <row r="276" spans="1:4" x14ac:dyDescent="0.35">
      <c r="A276" t="s">
        <v>307</v>
      </c>
      <c r="B276" t="s">
        <v>27</v>
      </c>
      <c r="C276" t="str">
        <f>IFERROR(VLOOKUP(B276,'Cleaned Trainer Data'!$A$2:$E$9,2,FALSE),"No Trainer Assigned")</f>
        <v>Joseph</v>
      </c>
      <c r="D276">
        <f>IFERROR(VLOOKUP(B276,'Cleaned Trainer Data'!$A$2:$E$11,4,FALSE),"0")</f>
        <v>4.58</v>
      </c>
    </row>
    <row r="277" spans="1:4" x14ac:dyDescent="0.35">
      <c r="A277" t="s">
        <v>308</v>
      </c>
      <c r="B277" t="s">
        <v>27</v>
      </c>
      <c r="C277" t="str">
        <f>IFERROR(VLOOKUP(B277,'Cleaned Trainer Data'!$A$2:$E$9,2,FALSE),"No Trainer Assigned")</f>
        <v>Joseph</v>
      </c>
      <c r="D277">
        <f>IFERROR(VLOOKUP(B277,'Cleaned Trainer Data'!$A$2:$E$11,4,FALSE),"0")</f>
        <v>4.58</v>
      </c>
    </row>
    <row r="278" spans="1:4" x14ac:dyDescent="0.35">
      <c r="A278" t="s">
        <v>309</v>
      </c>
      <c r="B278" t="s">
        <v>14</v>
      </c>
      <c r="C278" t="str">
        <f>IFERROR(VLOOKUP(B278,'Cleaned Trainer Data'!$A$2:$E$9,2,FALSE),"No Trainer Assigned")</f>
        <v>Vishal</v>
      </c>
      <c r="D278">
        <f>IFERROR(VLOOKUP(B278,'Cleaned Trainer Data'!$A$2:$E$11,4,FALSE),"0")</f>
        <v>3.09</v>
      </c>
    </row>
    <row r="279" spans="1:4" x14ac:dyDescent="0.35">
      <c r="A279" t="s">
        <v>310</v>
      </c>
      <c r="B279" t="s">
        <v>21</v>
      </c>
      <c r="C279" t="str">
        <f>IFERROR(VLOOKUP(B279,'Cleaned Trainer Data'!$A$2:$E$9,2,FALSE),"No Trainer Assigned")</f>
        <v>Kavya</v>
      </c>
      <c r="D279">
        <f>IFERROR(VLOOKUP(B279,'Cleaned Trainer Data'!$A$2:$E$11,4,FALSE),"0")</f>
        <v>3.28</v>
      </c>
    </row>
    <row r="280" spans="1:4" x14ac:dyDescent="0.35">
      <c r="A280" t="s">
        <v>311</v>
      </c>
      <c r="B280" t="s">
        <v>37</v>
      </c>
      <c r="C280" t="str">
        <f>IFERROR(VLOOKUP(B280,'Cleaned Trainer Data'!$A$2:$E$9,2,FALSE),"No Trainer Assigned")</f>
        <v>No Trainer Assigned</v>
      </c>
      <c r="D280" t="str">
        <f>IFERROR(VLOOKUP(B280,'Cleaned Trainer Data'!$A$2:$E$11,4,FALSE),"0")</f>
        <v>0</v>
      </c>
    </row>
    <row r="281" spans="1:4" x14ac:dyDescent="0.35">
      <c r="A281" t="s">
        <v>312</v>
      </c>
      <c r="B281" t="s">
        <v>18</v>
      </c>
      <c r="C281" t="str">
        <f>IFERROR(VLOOKUP(B281,'Cleaned Trainer Data'!$A$2:$E$9,2,FALSE),"No Trainer Assigned")</f>
        <v>Meera</v>
      </c>
      <c r="D281">
        <f>IFERROR(VLOOKUP(B281,'Cleaned Trainer Data'!$A$2:$E$11,4,FALSE),"0")</f>
        <v>4.75</v>
      </c>
    </row>
    <row r="282" spans="1:4" x14ac:dyDescent="0.35">
      <c r="A282" t="s">
        <v>313</v>
      </c>
      <c r="B282" t="s">
        <v>14</v>
      </c>
      <c r="C282" t="str">
        <f>IFERROR(VLOOKUP(B282,'Cleaned Trainer Data'!$A$2:$E$9,2,FALSE),"No Trainer Assigned")</f>
        <v>Vishal</v>
      </c>
      <c r="D282">
        <f>IFERROR(VLOOKUP(B282,'Cleaned Trainer Data'!$A$2:$E$11,4,FALSE),"0")</f>
        <v>3.09</v>
      </c>
    </row>
    <row r="283" spans="1:4" x14ac:dyDescent="0.35">
      <c r="A283" t="s">
        <v>314</v>
      </c>
      <c r="B283" t="s">
        <v>10</v>
      </c>
      <c r="C283" t="str">
        <f>IFERROR(VLOOKUP(B283,'Cleaned Trainer Data'!$A$2:$E$9,2,FALSE),"No Trainer Assigned")</f>
        <v>Arun</v>
      </c>
      <c r="D283">
        <f>IFERROR(VLOOKUP(B283,'Cleaned Trainer Data'!$A$2:$E$11,4,FALSE),"0")</f>
        <v>4.3</v>
      </c>
    </row>
    <row r="284" spans="1:4" x14ac:dyDescent="0.35">
      <c r="A284" t="s">
        <v>315</v>
      </c>
      <c r="B284" t="s">
        <v>10</v>
      </c>
      <c r="C284" t="str">
        <f>IFERROR(VLOOKUP(B284,'Cleaned Trainer Data'!$A$2:$E$9,2,FALSE),"No Trainer Assigned")</f>
        <v>Arun</v>
      </c>
      <c r="D284">
        <f>IFERROR(VLOOKUP(B284,'Cleaned Trainer Data'!$A$2:$E$11,4,FALSE),"0")</f>
        <v>4.3</v>
      </c>
    </row>
    <row r="285" spans="1:4" x14ac:dyDescent="0.35">
      <c r="A285" t="s">
        <v>316</v>
      </c>
      <c r="B285" t="s">
        <v>14</v>
      </c>
      <c r="C285" t="str">
        <f>IFERROR(VLOOKUP(B285,'Cleaned Trainer Data'!$A$2:$E$9,2,FALSE),"No Trainer Assigned")</f>
        <v>Vishal</v>
      </c>
      <c r="D285">
        <f>IFERROR(VLOOKUP(B285,'Cleaned Trainer Data'!$A$2:$E$11,4,FALSE),"0")</f>
        <v>3.09</v>
      </c>
    </row>
    <row r="286" spans="1:4" x14ac:dyDescent="0.35">
      <c r="A286" t="s">
        <v>317</v>
      </c>
      <c r="B286" t="s">
        <v>27</v>
      </c>
      <c r="C286" t="str">
        <f>IFERROR(VLOOKUP(B286,'Cleaned Trainer Data'!$A$2:$E$9,2,FALSE),"No Trainer Assigned")</f>
        <v>Joseph</v>
      </c>
      <c r="D286">
        <f>IFERROR(VLOOKUP(B286,'Cleaned Trainer Data'!$A$2:$E$11,4,FALSE),"0")</f>
        <v>4.58</v>
      </c>
    </row>
    <row r="287" spans="1:4" x14ac:dyDescent="0.35">
      <c r="A287" t="s">
        <v>318</v>
      </c>
      <c r="B287" t="s">
        <v>10</v>
      </c>
      <c r="C287" t="str">
        <f>IFERROR(VLOOKUP(B287,'Cleaned Trainer Data'!$A$2:$E$9,2,FALSE),"No Trainer Assigned")</f>
        <v>Arun</v>
      </c>
      <c r="D287">
        <f>IFERROR(VLOOKUP(B287,'Cleaned Trainer Data'!$A$2:$E$11,4,FALSE),"0")</f>
        <v>4.3</v>
      </c>
    </row>
    <row r="288" spans="1:4" x14ac:dyDescent="0.35">
      <c r="A288" t="s">
        <v>319</v>
      </c>
      <c r="B288" t="s">
        <v>21</v>
      </c>
      <c r="C288" t="str">
        <f>IFERROR(VLOOKUP(B288,'Cleaned Trainer Data'!$A$2:$E$9,2,FALSE),"No Trainer Assigned")</f>
        <v>Kavya</v>
      </c>
      <c r="D288">
        <f>IFERROR(VLOOKUP(B288,'Cleaned Trainer Data'!$A$2:$E$11,4,FALSE),"0")</f>
        <v>3.28</v>
      </c>
    </row>
    <row r="289" spans="1:4" x14ac:dyDescent="0.35">
      <c r="A289" t="s">
        <v>320</v>
      </c>
      <c r="B289" t="s">
        <v>37</v>
      </c>
      <c r="C289" t="str">
        <f>IFERROR(VLOOKUP(B289,'Cleaned Trainer Data'!$A$2:$E$9,2,FALSE),"No Trainer Assigned")</f>
        <v>No Trainer Assigned</v>
      </c>
      <c r="D289" t="str">
        <f>IFERROR(VLOOKUP(B289,'Cleaned Trainer Data'!$A$2:$E$11,4,FALSE),"0")</f>
        <v>0</v>
      </c>
    </row>
    <row r="290" spans="1:4" x14ac:dyDescent="0.35">
      <c r="A290" t="s">
        <v>321</v>
      </c>
      <c r="B290" t="s">
        <v>21</v>
      </c>
      <c r="C290" t="str">
        <f>IFERROR(VLOOKUP(B290,'Cleaned Trainer Data'!$A$2:$E$9,2,FALSE),"No Trainer Assigned")</f>
        <v>Kavya</v>
      </c>
      <c r="D290">
        <f>IFERROR(VLOOKUP(B290,'Cleaned Trainer Data'!$A$2:$E$11,4,FALSE),"0")</f>
        <v>3.28</v>
      </c>
    </row>
    <row r="291" spans="1:4" x14ac:dyDescent="0.35">
      <c r="A291" t="s">
        <v>322</v>
      </c>
      <c r="B291" t="s">
        <v>10</v>
      </c>
      <c r="C291" t="str">
        <f>IFERROR(VLOOKUP(B291,'Cleaned Trainer Data'!$A$2:$E$9,2,FALSE),"No Trainer Assigned")</f>
        <v>Arun</v>
      </c>
      <c r="D291">
        <f>IFERROR(VLOOKUP(B291,'Cleaned Trainer Data'!$A$2:$E$11,4,FALSE),"0")</f>
        <v>4.3</v>
      </c>
    </row>
    <row r="292" spans="1:4" x14ac:dyDescent="0.35">
      <c r="A292" t="s">
        <v>323</v>
      </c>
      <c r="B292" t="s">
        <v>18</v>
      </c>
      <c r="C292" t="str">
        <f>IFERROR(VLOOKUP(B292,'Cleaned Trainer Data'!$A$2:$E$9,2,FALSE),"No Trainer Assigned")</f>
        <v>Meera</v>
      </c>
      <c r="D292">
        <f>IFERROR(VLOOKUP(B292,'Cleaned Trainer Data'!$A$2:$E$11,4,FALSE),"0")</f>
        <v>4.75</v>
      </c>
    </row>
    <row r="293" spans="1:4" x14ac:dyDescent="0.35">
      <c r="A293" t="s">
        <v>324</v>
      </c>
      <c r="B293" t="s">
        <v>37</v>
      </c>
      <c r="C293" t="str">
        <f>IFERROR(VLOOKUP(B293,'Cleaned Trainer Data'!$A$2:$E$9,2,FALSE),"No Trainer Assigned")</f>
        <v>No Trainer Assigned</v>
      </c>
      <c r="D293" t="str">
        <f>IFERROR(VLOOKUP(B293,'Cleaned Trainer Data'!$A$2:$E$11,4,FALSE),"0")</f>
        <v>0</v>
      </c>
    </row>
    <row r="294" spans="1:4" x14ac:dyDescent="0.35">
      <c r="A294" t="s">
        <v>325</v>
      </c>
      <c r="B294" t="s">
        <v>37</v>
      </c>
      <c r="C294" t="str">
        <f>IFERROR(VLOOKUP(B294,'Cleaned Trainer Data'!$A$2:$E$9,2,FALSE),"No Trainer Assigned")</f>
        <v>No Trainer Assigned</v>
      </c>
      <c r="D294" t="str">
        <f>IFERROR(VLOOKUP(B294,'Cleaned Trainer Data'!$A$2:$E$11,4,FALSE),"0")</f>
        <v>0</v>
      </c>
    </row>
    <row r="295" spans="1:4" x14ac:dyDescent="0.35">
      <c r="A295" t="s">
        <v>326</v>
      </c>
      <c r="B295" t="s">
        <v>14</v>
      </c>
      <c r="C295" t="str">
        <f>IFERROR(VLOOKUP(B295,'Cleaned Trainer Data'!$A$2:$E$9,2,FALSE),"No Trainer Assigned")</f>
        <v>Vishal</v>
      </c>
      <c r="D295">
        <f>IFERROR(VLOOKUP(B295,'Cleaned Trainer Data'!$A$2:$E$11,4,FALSE),"0")</f>
        <v>3.09</v>
      </c>
    </row>
    <row r="296" spans="1:4" x14ac:dyDescent="0.35">
      <c r="A296" t="s">
        <v>327</v>
      </c>
      <c r="B296" t="s">
        <v>14</v>
      </c>
      <c r="C296" t="str">
        <f>IFERROR(VLOOKUP(B296,'Cleaned Trainer Data'!$A$2:$E$9,2,FALSE),"No Trainer Assigned")</f>
        <v>Vishal</v>
      </c>
      <c r="D296">
        <f>IFERROR(VLOOKUP(B296,'Cleaned Trainer Data'!$A$2:$E$11,4,FALSE),"0")</f>
        <v>3.09</v>
      </c>
    </row>
    <row r="297" spans="1:4" x14ac:dyDescent="0.35">
      <c r="A297" t="s">
        <v>328</v>
      </c>
      <c r="B297" t="s">
        <v>18</v>
      </c>
      <c r="C297" t="str">
        <f>IFERROR(VLOOKUP(B297,'Cleaned Trainer Data'!$A$2:$E$9,2,FALSE),"No Trainer Assigned")</f>
        <v>Meera</v>
      </c>
      <c r="D297">
        <f>IFERROR(VLOOKUP(B297,'Cleaned Trainer Data'!$A$2:$E$11,4,FALSE),"0")</f>
        <v>4.75</v>
      </c>
    </row>
    <row r="298" spans="1:4" x14ac:dyDescent="0.35">
      <c r="A298" t="s">
        <v>329</v>
      </c>
      <c r="B298" t="s">
        <v>27</v>
      </c>
      <c r="C298" t="str">
        <f>IFERROR(VLOOKUP(B298,'Cleaned Trainer Data'!$A$2:$E$9,2,FALSE),"No Trainer Assigned")</f>
        <v>Joseph</v>
      </c>
      <c r="D298">
        <f>IFERROR(VLOOKUP(B298,'Cleaned Trainer Data'!$A$2:$E$11,4,FALSE),"0")</f>
        <v>4.58</v>
      </c>
    </row>
    <row r="299" spans="1:4" x14ac:dyDescent="0.35">
      <c r="A299" t="s">
        <v>330</v>
      </c>
      <c r="B299" t="s">
        <v>37</v>
      </c>
      <c r="C299" t="str">
        <f>IFERROR(VLOOKUP(B299,'Cleaned Trainer Data'!$A$2:$E$9,2,FALSE),"No Trainer Assigned")</f>
        <v>No Trainer Assigned</v>
      </c>
      <c r="D299" t="str">
        <f>IFERROR(VLOOKUP(B299,'Cleaned Trainer Data'!$A$2:$E$11,4,FALSE),"0")</f>
        <v>0</v>
      </c>
    </row>
    <row r="300" spans="1:4" x14ac:dyDescent="0.35">
      <c r="A300" t="s">
        <v>331</v>
      </c>
      <c r="B300" t="s">
        <v>18</v>
      </c>
      <c r="C300" t="str">
        <f>IFERROR(VLOOKUP(B300,'Cleaned Trainer Data'!$A$2:$E$9,2,FALSE),"No Trainer Assigned")</f>
        <v>Meera</v>
      </c>
      <c r="D300">
        <f>IFERROR(VLOOKUP(B300,'Cleaned Trainer Data'!$A$2:$E$11,4,FALSE),"0")</f>
        <v>4.75</v>
      </c>
    </row>
    <row r="301" spans="1:4" x14ac:dyDescent="0.35">
      <c r="A301" t="s">
        <v>332</v>
      </c>
      <c r="B301" t="s">
        <v>14</v>
      </c>
      <c r="C301" t="str">
        <f>IFERROR(VLOOKUP(B301,'Cleaned Trainer Data'!$A$2:$E$9,2,FALSE),"No Trainer Assigned")</f>
        <v>Vishal</v>
      </c>
      <c r="D301">
        <f>IFERROR(VLOOKUP(B301,'Cleaned Trainer Data'!$A$2:$E$11,4,FALSE),"0")</f>
        <v>3.09</v>
      </c>
    </row>
    <row r="302" spans="1:4" x14ac:dyDescent="0.35">
      <c r="A302" t="s">
        <v>333</v>
      </c>
      <c r="B302" t="s">
        <v>14</v>
      </c>
      <c r="C302" t="str">
        <f>IFERROR(VLOOKUP(B302,'Cleaned Trainer Data'!$A$2:$E$9,2,FALSE),"No Trainer Assigned")</f>
        <v>Vishal</v>
      </c>
      <c r="D302">
        <f>IFERROR(VLOOKUP(B302,'Cleaned Trainer Data'!$A$2:$E$11,4,FALSE),"0")</f>
        <v>3.09</v>
      </c>
    </row>
    <row r="303" spans="1:4" x14ac:dyDescent="0.35">
      <c r="A303" t="s">
        <v>334</v>
      </c>
      <c r="B303" t="s">
        <v>37</v>
      </c>
      <c r="C303" t="str">
        <f>IFERROR(VLOOKUP(B303,'Cleaned Trainer Data'!$A$2:$E$9,2,FALSE),"No Trainer Assigned")</f>
        <v>No Trainer Assigned</v>
      </c>
      <c r="D303" t="str">
        <f>IFERROR(VLOOKUP(B303,'Cleaned Trainer Data'!$A$2:$E$11,4,FALSE),"0")</f>
        <v>0</v>
      </c>
    </row>
    <row r="304" spans="1:4" x14ac:dyDescent="0.35">
      <c r="A304" t="s">
        <v>335</v>
      </c>
      <c r="B304" t="s">
        <v>21</v>
      </c>
      <c r="C304" t="str">
        <f>IFERROR(VLOOKUP(B304,'Cleaned Trainer Data'!$A$2:$E$9,2,FALSE),"No Trainer Assigned")</f>
        <v>Kavya</v>
      </c>
      <c r="D304">
        <f>IFERROR(VLOOKUP(B304,'Cleaned Trainer Data'!$A$2:$E$11,4,FALSE),"0")</f>
        <v>3.28</v>
      </c>
    </row>
    <row r="305" spans="1:4" x14ac:dyDescent="0.35">
      <c r="A305" t="s">
        <v>336</v>
      </c>
      <c r="B305" t="s">
        <v>10</v>
      </c>
      <c r="C305" t="str">
        <f>IFERROR(VLOOKUP(B305,'Cleaned Trainer Data'!$A$2:$E$9,2,FALSE),"No Trainer Assigned")</f>
        <v>Arun</v>
      </c>
      <c r="D305">
        <f>IFERROR(VLOOKUP(B305,'Cleaned Trainer Data'!$A$2:$E$11,4,FALSE),"0")</f>
        <v>4.3</v>
      </c>
    </row>
    <row r="306" spans="1:4" x14ac:dyDescent="0.35">
      <c r="A306" t="s">
        <v>337</v>
      </c>
      <c r="B306" t="s">
        <v>14</v>
      </c>
      <c r="C306" t="str">
        <f>IFERROR(VLOOKUP(B306,'Cleaned Trainer Data'!$A$2:$E$9,2,FALSE),"No Trainer Assigned")</f>
        <v>Vishal</v>
      </c>
      <c r="D306">
        <f>IFERROR(VLOOKUP(B306,'Cleaned Trainer Data'!$A$2:$E$11,4,FALSE),"0")</f>
        <v>3.09</v>
      </c>
    </row>
    <row r="307" spans="1:4" x14ac:dyDescent="0.35">
      <c r="A307" t="s">
        <v>338</v>
      </c>
      <c r="B307" t="s">
        <v>27</v>
      </c>
      <c r="C307" t="str">
        <f>IFERROR(VLOOKUP(B307,'Cleaned Trainer Data'!$A$2:$E$9,2,FALSE),"No Trainer Assigned")</f>
        <v>Joseph</v>
      </c>
      <c r="D307">
        <f>IFERROR(VLOOKUP(B307,'Cleaned Trainer Data'!$A$2:$E$11,4,FALSE),"0")</f>
        <v>4.58</v>
      </c>
    </row>
    <row r="308" spans="1:4" x14ac:dyDescent="0.35">
      <c r="A308" t="s">
        <v>339</v>
      </c>
      <c r="B308" t="s">
        <v>27</v>
      </c>
      <c r="C308" t="str">
        <f>IFERROR(VLOOKUP(B308,'Cleaned Trainer Data'!$A$2:$E$9,2,FALSE),"No Trainer Assigned")</f>
        <v>Joseph</v>
      </c>
      <c r="D308">
        <f>IFERROR(VLOOKUP(B308,'Cleaned Trainer Data'!$A$2:$E$11,4,FALSE),"0")</f>
        <v>4.58</v>
      </c>
    </row>
    <row r="309" spans="1:4" x14ac:dyDescent="0.35">
      <c r="A309" t="s">
        <v>340</v>
      </c>
      <c r="B309" t="s">
        <v>14</v>
      </c>
      <c r="C309" t="str">
        <f>IFERROR(VLOOKUP(B309,'Cleaned Trainer Data'!$A$2:$E$9,2,FALSE),"No Trainer Assigned")</f>
        <v>Vishal</v>
      </c>
      <c r="D309">
        <f>IFERROR(VLOOKUP(B309,'Cleaned Trainer Data'!$A$2:$E$11,4,FALSE),"0")</f>
        <v>3.09</v>
      </c>
    </row>
    <row r="310" spans="1:4" x14ac:dyDescent="0.35">
      <c r="A310" t="s">
        <v>341</v>
      </c>
      <c r="B310" t="s">
        <v>21</v>
      </c>
      <c r="C310" t="str">
        <f>IFERROR(VLOOKUP(B310,'Cleaned Trainer Data'!$A$2:$E$9,2,FALSE),"No Trainer Assigned")</f>
        <v>Kavya</v>
      </c>
      <c r="D310">
        <f>IFERROR(VLOOKUP(B310,'Cleaned Trainer Data'!$A$2:$E$11,4,FALSE),"0")</f>
        <v>3.28</v>
      </c>
    </row>
    <row r="311" spans="1:4" x14ac:dyDescent="0.35">
      <c r="A311" t="s">
        <v>342</v>
      </c>
      <c r="B311" t="s">
        <v>21</v>
      </c>
      <c r="C311" t="str">
        <f>IFERROR(VLOOKUP(B311,'Cleaned Trainer Data'!$A$2:$E$9,2,FALSE),"No Trainer Assigned")</f>
        <v>Kavya</v>
      </c>
      <c r="D311">
        <f>IFERROR(VLOOKUP(B311,'Cleaned Trainer Data'!$A$2:$E$11,4,FALSE),"0")</f>
        <v>3.28</v>
      </c>
    </row>
    <row r="312" spans="1:4" x14ac:dyDescent="0.35">
      <c r="A312" t="s">
        <v>343</v>
      </c>
      <c r="B312" t="s">
        <v>18</v>
      </c>
      <c r="C312" t="str">
        <f>IFERROR(VLOOKUP(B312,'Cleaned Trainer Data'!$A$2:$E$9,2,FALSE),"No Trainer Assigned")</f>
        <v>Meera</v>
      </c>
      <c r="D312">
        <f>IFERROR(VLOOKUP(B312,'Cleaned Trainer Data'!$A$2:$E$11,4,FALSE),"0")</f>
        <v>4.75</v>
      </c>
    </row>
    <row r="313" spans="1:4" x14ac:dyDescent="0.35">
      <c r="A313" t="s">
        <v>344</v>
      </c>
      <c r="B313" t="s">
        <v>27</v>
      </c>
      <c r="C313" t="str">
        <f>IFERROR(VLOOKUP(B313,'Cleaned Trainer Data'!$A$2:$E$9,2,FALSE),"No Trainer Assigned")</f>
        <v>Joseph</v>
      </c>
      <c r="D313">
        <f>IFERROR(VLOOKUP(B313,'Cleaned Trainer Data'!$A$2:$E$11,4,FALSE),"0")</f>
        <v>4.58</v>
      </c>
    </row>
    <row r="314" spans="1:4" x14ac:dyDescent="0.35">
      <c r="A314" t="s">
        <v>345</v>
      </c>
      <c r="B314" t="s">
        <v>18</v>
      </c>
      <c r="C314" t="str">
        <f>IFERROR(VLOOKUP(B314,'Cleaned Trainer Data'!$A$2:$E$9,2,FALSE),"No Trainer Assigned")</f>
        <v>Meera</v>
      </c>
      <c r="D314">
        <f>IFERROR(VLOOKUP(B314,'Cleaned Trainer Data'!$A$2:$E$11,4,FALSE),"0")</f>
        <v>4.75</v>
      </c>
    </row>
    <row r="315" spans="1:4" x14ac:dyDescent="0.35">
      <c r="A315" t="s">
        <v>346</v>
      </c>
      <c r="B315" t="s">
        <v>27</v>
      </c>
      <c r="C315" t="str">
        <f>IFERROR(VLOOKUP(B315,'Cleaned Trainer Data'!$A$2:$E$9,2,FALSE),"No Trainer Assigned")</f>
        <v>Joseph</v>
      </c>
      <c r="D315">
        <f>IFERROR(VLOOKUP(B315,'Cleaned Trainer Data'!$A$2:$E$11,4,FALSE),"0")</f>
        <v>4.58</v>
      </c>
    </row>
    <row r="316" spans="1:4" x14ac:dyDescent="0.35">
      <c r="A316" t="s">
        <v>347</v>
      </c>
      <c r="B316" t="s">
        <v>10</v>
      </c>
      <c r="C316" t="str">
        <f>IFERROR(VLOOKUP(B316,'Cleaned Trainer Data'!$A$2:$E$9,2,FALSE),"No Trainer Assigned")</f>
        <v>Arun</v>
      </c>
      <c r="D316">
        <f>IFERROR(VLOOKUP(B316,'Cleaned Trainer Data'!$A$2:$E$11,4,FALSE),"0")</f>
        <v>4.3</v>
      </c>
    </row>
    <row r="317" spans="1:4" x14ac:dyDescent="0.35">
      <c r="A317" t="s">
        <v>348</v>
      </c>
      <c r="B317" t="s">
        <v>10</v>
      </c>
      <c r="C317" t="str">
        <f>IFERROR(VLOOKUP(B317,'Cleaned Trainer Data'!$A$2:$E$9,2,FALSE),"No Trainer Assigned")</f>
        <v>Arun</v>
      </c>
      <c r="D317">
        <f>IFERROR(VLOOKUP(B317,'Cleaned Trainer Data'!$A$2:$E$11,4,FALSE),"0")</f>
        <v>4.3</v>
      </c>
    </row>
    <row r="318" spans="1:4" x14ac:dyDescent="0.35">
      <c r="A318" t="s">
        <v>349</v>
      </c>
      <c r="B318" t="s">
        <v>37</v>
      </c>
      <c r="C318" t="str">
        <f>IFERROR(VLOOKUP(B318,'Cleaned Trainer Data'!$A$2:$E$9,2,FALSE),"No Trainer Assigned")</f>
        <v>No Trainer Assigned</v>
      </c>
      <c r="D318" t="str">
        <f>IFERROR(VLOOKUP(B318,'Cleaned Trainer Data'!$A$2:$E$11,4,FALSE),"0")</f>
        <v>0</v>
      </c>
    </row>
    <row r="319" spans="1:4" x14ac:dyDescent="0.35">
      <c r="A319" t="s">
        <v>350</v>
      </c>
      <c r="B319" t="s">
        <v>18</v>
      </c>
      <c r="C319" t="str">
        <f>IFERROR(VLOOKUP(B319,'Cleaned Trainer Data'!$A$2:$E$9,2,FALSE),"No Trainer Assigned")</f>
        <v>Meera</v>
      </c>
      <c r="D319">
        <f>IFERROR(VLOOKUP(B319,'Cleaned Trainer Data'!$A$2:$E$11,4,FALSE),"0")</f>
        <v>4.75</v>
      </c>
    </row>
    <row r="320" spans="1:4" x14ac:dyDescent="0.35">
      <c r="A320" t="s">
        <v>351</v>
      </c>
      <c r="B320" t="s">
        <v>14</v>
      </c>
      <c r="C320" t="str">
        <f>IFERROR(VLOOKUP(B320,'Cleaned Trainer Data'!$A$2:$E$9,2,FALSE),"No Trainer Assigned")</f>
        <v>Vishal</v>
      </c>
      <c r="D320">
        <f>IFERROR(VLOOKUP(B320,'Cleaned Trainer Data'!$A$2:$E$11,4,FALSE),"0")</f>
        <v>3.09</v>
      </c>
    </row>
    <row r="321" spans="1:4" x14ac:dyDescent="0.35">
      <c r="A321" t="s">
        <v>352</v>
      </c>
      <c r="B321" t="s">
        <v>18</v>
      </c>
      <c r="C321" t="str">
        <f>IFERROR(VLOOKUP(B321,'Cleaned Trainer Data'!$A$2:$E$9,2,FALSE),"No Trainer Assigned")</f>
        <v>Meera</v>
      </c>
      <c r="D321">
        <f>IFERROR(VLOOKUP(B321,'Cleaned Trainer Data'!$A$2:$E$11,4,FALSE),"0")</f>
        <v>4.75</v>
      </c>
    </row>
    <row r="322" spans="1:4" x14ac:dyDescent="0.35">
      <c r="A322" t="s">
        <v>353</v>
      </c>
      <c r="B322" t="s">
        <v>14</v>
      </c>
      <c r="C322" t="str">
        <f>IFERROR(VLOOKUP(B322,'Cleaned Trainer Data'!$A$2:$E$9,2,FALSE),"No Trainer Assigned")</f>
        <v>Vishal</v>
      </c>
      <c r="D322">
        <f>IFERROR(VLOOKUP(B322,'Cleaned Trainer Data'!$A$2:$E$11,4,FALSE),"0")</f>
        <v>3.09</v>
      </c>
    </row>
    <row r="323" spans="1:4" x14ac:dyDescent="0.35">
      <c r="A323" t="s">
        <v>354</v>
      </c>
      <c r="B323" t="s">
        <v>21</v>
      </c>
      <c r="C323" t="str">
        <f>IFERROR(VLOOKUP(B323,'Cleaned Trainer Data'!$A$2:$E$9,2,FALSE),"No Trainer Assigned")</f>
        <v>Kavya</v>
      </c>
      <c r="D323">
        <f>IFERROR(VLOOKUP(B323,'Cleaned Trainer Data'!$A$2:$E$11,4,FALSE),"0")</f>
        <v>3.28</v>
      </c>
    </row>
    <row r="324" spans="1:4" x14ac:dyDescent="0.35">
      <c r="A324" t="s">
        <v>355</v>
      </c>
      <c r="B324" t="s">
        <v>18</v>
      </c>
      <c r="C324" t="str">
        <f>IFERROR(VLOOKUP(B324,'Cleaned Trainer Data'!$A$2:$E$9,2,FALSE),"No Trainer Assigned")</f>
        <v>Meera</v>
      </c>
      <c r="D324">
        <f>IFERROR(VLOOKUP(B324,'Cleaned Trainer Data'!$A$2:$E$11,4,FALSE),"0")</f>
        <v>4.75</v>
      </c>
    </row>
    <row r="325" spans="1:4" x14ac:dyDescent="0.35">
      <c r="A325" t="s">
        <v>356</v>
      </c>
      <c r="B325" t="s">
        <v>21</v>
      </c>
      <c r="C325" t="str">
        <f>IFERROR(VLOOKUP(B325,'Cleaned Trainer Data'!$A$2:$E$9,2,FALSE),"No Trainer Assigned")</f>
        <v>Kavya</v>
      </c>
      <c r="D325">
        <f>IFERROR(VLOOKUP(B325,'Cleaned Trainer Data'!$A$2:$E$11,4,FALSE),"0")</f>
        <v>3.28</v>
      </c>
    </row>
    <row r="326" spans="1:4" x14ac:dyDescent="0.35">
      <c r="A326" t="s">
        <v>357</v>
      </c>
      <c r="B326" t="s">
        <v>10</v>
      </c>
      <c r="C326" t="str">
        <f>IFERROR(VLOOKUP(B326,'Cleaned Trainer Data'!$A$2:$E$9,2,FALSE),"No Trainer Assigned")</f>
        <v>Arun</v>
      </c>
      <c r="D326">
        <f>IFERROR(VLOOKUP(B326,'Cleaned Trainer Data'!$A$2:$E$11,4,FALSE),"0")</f>
        <v>4.3</v>
      </c>
    </row>
    <row r="327" spans="1:4" x14ac:dyDescent="0.35">
      <c r="A327" t="s">
        <v>358</v>
      </c>
      <c r="B327" t="s">
        <v>10</v>
      </c>
      <c r="C327" t="str">
        <f>IFERROR(VLOOKUP(B327,'Cleaned Trainer Data'!$A$2:$E$9,2,FALSE),"No Trainer Assigned")</f>
        <v>Arun</v>
      </c>
      <c r="D327">
        <f>IFERROR(VLOOKUP(B327,'Cleaned Trainer Data'!$A$2:$E$11,4,FALSE),"0")</f>
        <v>4.3</v>
      </c>
    </row>
    <row r="328" spans="1:4" x14ac:dyDescent="0.35">
      <c r="A328" t="s">
        <v>359</v>
      </c>
      <c r="B328" t="s">
        <v>37</v>
      </c>
      <c r="C328" t="str">
        <f>IFERROR(VLOOKUP(B328,'Cleaned Trainer Data'!$A$2:$E$9,2,FALSE),"No Trainer Assigned")</f>
        <v>No Trainer Assigned</v>
      </c>
      <c r="D328" t="str">
        <f>IFERROR(VLOOKUP(B328,'Cleaned Trainer Data'!$A$2:$E$11,4,FALSE),"0")</f>
        <v>0</v>
      </c>
    </row>
    <row r="329" spans="1:4" x14ac:dyDescent="0.35">
      <c r="A329" t="s">
        <v>360</v>
      </c>
      <c r="B329" t="s">
        <v>18</v>
      </c>
      <c r="C329" t="str">
        <f>IFERROR(VLOOKUP(B329,'Cleaned Trainer Data'!$A$2:$E$9,2,FALSE),"No Trainer Assigned")</f>
        <v>Meera</v>
      </c>
      <c r="D329">
        <f>IFERROR(VLOOKUP(B329,'Cleaned Trainer Data'!$A$2:$E$11,4,FALSE),"0")</f>
        <v>4.75</v>
      </c>
    </row>
    <row r="330" spans="1:4" x14ac:dyDescent="0.35">
      <c r="A330" t="s">
        <v>361</v>
      </c>
      <c r="B330" t="s">
        <v>21</v>
      </c>
      <c r="C330" t="str">
        <f>IFERROR(VLOOKUP(B330,'Cleaned Trainer Data'!$A$2:$E$9,2,FALSE),"No Trainer Assigned")</f>
        <v>Kavya</v>
      </c>
      <c r="D330">
        <f>IFERROR(VLOOKUP(B330,'Cleaned Trainer Data'!$A$2:$E$11,4,FALSE),"0")</f>
        <v>3.28</v>
      </c>
    </row>
    <row r="331" spans="1:4" x14ac:dyDescent="0.35">
      <c r="A331" t="s">
        <v>362</v>
      </c>
      <c r="B331" t="s">
        <v>14</v>
      </c>
      <c r="C331" t="str">
        <f>IFERROR(VLOOKUP(B331,'Cleaned Trainer Data'!$A$2:$E$9,2,FALSE),"No Trainer Assigned")</f>
        <v>Vishal</v>
      </c>
      <c r="D331">
        <f>IFERROR(VLOOKUP(B331,'Cleaned Trainer Data'!$A$2:$E$11,4,FALSE),"0")</f>
        <v>3.09</v>
      </c>
    </row>
    <row r="332" spans="1:4" x14ac:dyDescent="0.35">
      <c r="A332" t="s">
        <v>363</v>
      </c>
      <c r="B332" t="s">
        <v>10</v>
      </c>
      <c r="C332" t="str">
        <f>IFERROR(VLOOKUP(B332,'Cleaned Trainer Data'!$A$2:$E$9,2,FALSE),"No Trainer Assigned")</f>
        <v>Arun</v>
      </c>
      <c r="D332">
        <f>IFERROR(VLOOKUP(B332,'Cleaned Trainer Data'!$A$2:$E$11,4,FALSE),"0")</f>
        <v>4.3</v>
      </c>
    </row>
    <row r="333" spans="1:4" x14ac:dyDescent="0.35">
      <c r="A333" t="s">
        <v>364</v>
      </c>
      <c r="B333" t="s">
        <v>10</v>
      </c>
      <c r="C333" t="str">
        <f>IFERROR(VLOOKUP(B333,'Cleaned Trainer Data'!$A$2:$E$9,2,FALSE),"No Trainer Assigned")</f>
        <v>Arun</v>
      </c>
      <c r="D333">
        <f>IFERROR(VLOOKUP(B333,'Cleaned Trainer Data'!$A$2:$E$11,4,FALSE),"0")</f>
        <v>4.3</v>
      </c>
    </row>
    <row r="334" spans="1:4" x14ac:dyDescent="0.35">
      <c r="A334" t="s">
        <v>365</v>
      </c>
      <c r="B334" t="s">
        <v>14</v>
      </c>
      <c r="C334" t="str">
        <f>IFERROR(VLOOKUP(B334,'Cleaned Trainer Data'!$A$2:$E$9,2,FALSE),"No Trainer Assigned")</f>
        <v>Vishal</v>
      </c>
      <c r="D334">
        <f>IFERROR(VLOOKUP(B334,'Cleaned Trainer Data'!$A$2:$E$11,4,FALSE),"0")</f>
        <v>3.09</v>
      </c>
    </row>
    <row r="335" spans="1:4" x14ac:dyDescent="0.35">
      <c r="A335" t="s">
        <v>366</v>
      </c>
      <c r="B335" t="s">
        <v>21</v>
      </c>
      <c r="C335" t="str">
        <f>IFERROR(VLOOKUP(B335,'Cleaned Trainer Data'!$A$2:$E$9,2,FALSE),"No Trainer Assigned")</f>
        <v>Kavya</v>
      </c>
      <c r="D335">
        <f>IFERROR(VLOOKUP(B335,'Cleaned Trainer Data'!$A$2:$E$11,4,FALSE),"0")</f>
        <v>3.28</v>
      </c>
    </row>
    <row r="336" spans="1:4" x14ac:dyDescent="0.35">
      <c r="A336" t="s">
        <v>367</v>
      </c>
      <c r="B336" t="s">
        <v>21</v>
      </c>
      <c r="C336" t="str">
        <f>IFERROR(VLOOKUP(B336,'Cleaned Trainer Data'!$A$2:$E$9,2,FALSE),"No Trainer Assigned")</f>
        <v>Kavya</v>
      </c>
      <c r="D336">
        <f>IFERROR(VLOOKUP(B336,'Cleaned Trainer Data'!$A$2:$E$11,4,FALSE),"0")</f>
        <v>3.28</v>
      </c>
    </row>
    <row r="337" spans="1:4" x14ac:dyDescent="0.35">
      <c r="A337" t="s">
        <v>368</v>
      </c>
      <c r="B337" t="s">
        <v>18</v>
      </c>
      <c r="C337" t="str">
        <f>IFERROR(VLOOKUP(B337,'Cleaned Trainer Data'!$A$2:$E$9,2,FALSE),"No Trainer Assigned")</f>
        <v>Meera</v>
      </c>
      <c r="D337">
        <f>IFERROR(VLOOKUP(B337,'Cleaned Trainer Data'!$A$2:$E$11,4,FALSE),"0")</f>
        <v>4.75</v>
      </c>
    </row>
    <row r="338" spans="1:4" x14ac:dyDescent="0.35">
      <c r="A338" t="s">
        <v>369</v>
      </c>
      <c r="B338" t="s">
        <v>18</v>
      </c>
      <c r="C338" t="str">
        <f>IFERROR(VLOOKUP(B338,'Cleaned Trainer Data'!$A$2:$E$9,2,FALSE),"No Trainer Assigned")</f>
        <v>Meera</v>
      </c>
      <c r="D338">
        <f>IFERROR(VLOOKUP(B338,'Cleaned Trainer Data'!$A$2:$E$11,4,FALSE),"0")</f>
        <v>4.75</v>
      </c>
    </row>
    <row r="339" spans="1:4" x14ac:dyDescent="0.35">
      <c r="A339" t="s">
        <v>370</v>
      </c>
      <c r="B339" t="s">
        <v>27</v>
      </c>
      <c r="C339" t="str">
        <f>IFERROR(VLOOKUP(B339,'Cleaned Trainer Data'!$A$2:$E$9,2,FALSE),"No Trainer Assigned")</f>
        <v>Joseph</v>
      </c>
      <c r="D339">
        <f>IFERROR(VLOOKUP(B339,'Cleaned Trainer Data'!$A$2:$E$11,4,FALSE),"0")</f>
        <v>4.58</v>
      </c>
    </row>
    <row r="340" spans="1:4" x14ac:dyDescent="0.35">
      <c r="A340" t="s">
        <v>371</v>
      </c>
      <c r="B340" t="s">
        <v>27</v>
      </c>
      <c r="C340" t="str">
        <f>IFERROR(VLOOKUP(B340,'Cleaned Trainer Data'!$A$2:$E$9,2,FALSE),"No Trainer Assigned")</f>
        <v>Joseph</v>
      </c>
      <c r="D340">
        <f>IFERROR(VLOOKUP(B340,'Cleaned Trainer Data'!$A$2:$E$11,4,FALSE),"0")</f>
        <v>4.58</v>
      </c>
    </row>
    <row r="341" spans="1:4" x14ac:dyDescent="0.35">
      <c r="A341" t="s">
        <v>372</v>
      </c>
      <c r="B341" t="s">
        <v>37</v>
      </c>
      <c r="C341" t="str">
        <f>IFERROR(VLOOKUP(B341,'Cleaned Trainer Data'!$A$2:$E$9,2,FALSE),"No Trainer Assigned")</f>
        <v>No Trainer Assigned</v>
      </c>
      <c r="D341" t="str">
        <f>IFERROR(VLOOKUP(B341,'Cleaned Trainer Data'!$A$2:$E$11,4,FALSE),"0")</f>
        <v>0</v>
      </c>
    </row>
    <row r="342" spans="1:4" x14ac:dyDescent="0.35">
      <c r="A342" t="s">
        <v>373</v>
      </c>
      <c r="B342" t="s">
        <v>10</v>
      </c>
      <c r="C342" t="str">
        <f>IFERROR(VLOOKUP(B342,'Cleaned Trainer Data'!$A$2:$E$9,2,FALSE),"No Trainer Assigned")</f>
        <v>Arun</v>
      </c>
      <c r="D342">
        <f>IFERROR(VLOOKUP(B342,'Cleaned Trainer Data'!$A$2:$E$11,4,FALSE),"0")</f>
        <v>4.3</v>
      </c>
    </row>
    <row r="343" spans="1:4" x14ac:dyDescent="0.35">
      <c r="A343" t="s">
        <v>374</v>
      </c>
      <c r="B343" t="s">
        <v>18</v>
      </c>
      <c r="C343" t="str">
        <f>IFERROR(VLOOKUP(B343,'Cleaned Trainer Data'!$A$2:$E$9,2,FALSE),"No Trainer Assigned")</f>
        <v>Meera</v>
      </c>
      <c r="D343">
        <f>IFERROR(VLOOKUP(B343,'Cleaned Trainer Data'!$A$2:$E$11,4,FALSE),"0")</f>
        <v>4.75</v>
      </c>
    </row>
    <row r="344" spans="1:4" x14ac:dyDescent="0.35">
      <c r="A344" t="s">
        <v>375</v>
      </c>
      <c r="B344" t="s">
        <v>21</v>
      </c>
      <c r="C344" t="str">
        <f>IFERROR(VLOOKUP(B344,'Cleaned Trainer Data'!$A$2:$E$9,2,FALSE),"No Trainer Assigned")</f>
        <v>Kavya</v>
      </c>
      <c r="D344">
        <f>IFERROR(VLOOKUP(B344,'Cleaned Trainer Data'!$A$2:$E$11,4,FALSE),"0")</f>
        <v>3.28</v>
      </c>
    </row>
    <row r="345" spans="1:4" x14ac:dyDescent="0.35">
      <c r="A345" t="s">
        <v>376</v>
      </c>
      <c r="B345" t="s">
        <v>14</v>
      </c>
      <c r="C345" t="str">
        <f>IFERROR(VLOOKUP(B345,'Cleaned Trainer Data'!$A$2:$E$9,2,FALSE),"No Trainer Assigned")</f>
        <v>Vishal</v>
      </c>
      <c r="D345">
        <f>IFERROR(VLOOKUP(B345,'Cleaned Trainer Data'!$A$2:$E$11,4,FALSE),"0")</f>
        <v>3.09</v>
      </c>
    </row>
    <row r="346" spans="1:4" x14ac:dyDescent="0.35">
      <c r="A346" t="s">
        <v>377</v>
      </c>
      <c r="B346" t="s">
        <v>21</v>
      </c>
      <c r="C346" t="str">
        <f>IFERROR(VLOOKUP(B346,'Cleaned Trainer Data'!$A$2:$E$9,2,FALSE),"No Trainer Assigned")</f>
        <v>Kavya</v>
      </c>
      <c r="D346">
        <f>IFERROR(VLOOKUP(B346,'Cleaned Trainer Data'!$A$2:$E$11,4,FALSE),"0")</f>
        <v>3.28</v>
      </c>
    </row>
    <row r="347" spans="1:4" x14ac:dyDescent="0.35">
      <c r="A347" t="s">
        <v>378</v>
      </c>
      <c r="B347" t="s">
        <v>10</v>
      </c>
      <c r="C347" t="str">
        <f>IFERROR(VLOOKUP(B347,'Cleaned Trainer Data'!$A$2:$E$9,2,FALSE),"No Trainer Assigned")</f>
        <v>Arun</v>
      </c>
      <c r="D347">
        <f>IFERROR(VLOOKUP(B347,'Cleaned Trainer Data'!$A$2:$E$11,4,FALSE),"0")</f>
        <v>4.3</v>
      </c>
    </row>
    <row r="348" spans="1:4" x14ac:dyDescent="0.35">
      <c r="A348" t="s">
        <v>379</v>
      </c>
      <c r="B348" t="s">
        <v>27</v>
      </c>
      <c r="C348" t="str">
        <f>IFERROR(VLOOKUP(B348,'Cleaned Trainer Data'!$A$2:$E$9,2,FALSE),"No Trainer Assigned")</f>
        <v>Joseph</v>
      </c>
      <c r="D348">
        <f>IFERROR(VLOOKUP(B348,'Cleaned Trainer Data'!$A$2:$E$11,4,FALSE),"0")</f>
        <v>4.58</v>
      </c>
    </row>
    <row r="349" spans="1:4" x14ac:dyDescent="0.35">
      <c r="A349" t="s">
        <v>380</v>
      </c>
      <c r="B349" t="s">
        <v>21</v>
      </c>
      <c r="C349" t="str">
        <f>IFERROR(VLOOKUP(B349,'Cleaned Trainer Data'!$A$2:$E$9,2,FALSE),"No Trainer Assigned")</f>
        <v>Kavya</v>
      </c>
      <c r="D349">
        <f>IFERROR(VLOOKUP(B349,'Cleaned Trainer Data'!$A$2:$E$11,4,FALSE),"0")</f>
        <v>3.28</v>
      </c>
    </row>
    <row r="350" spans="1:4" x14ac:dyDescent="0.35">
      <c r="A350" t="s">
        <v>381</v>
      </c>
      <c r="B350" t="s">
        <v>37</v>
      </c>
      <c r="C350" t="str">
        <f>IFERROR(VLOOKUP(B350,'Cleaned Trainer Data'!$A$2:$E$9,2,FALSE),"No Trainer Assigned")</f>
        <v>No Trainer Assigned</v>
      </c>
      <c r="D350" t="str">
        <f>IFERROR(VLOOKUP(B350,'Cleaned Trainer Data'!$A$2:$E$11,4,FALSE),"0")</f>
        <v>0</v>
      </c>
    </row>
    <row r="351" spans="1:4" x14ac:dyDescent="0.35">
      <c r="A351" t="s">
        <v>382</v>
      </c>
      <c r="B351" t="s">
        <v>10</v>
      </c>
      <c r="C351" t="str">
        <f>IFERROR(VLOOKUP(B351,'Cleaned Trainer Data'!$A$2:$E$9,2,FALSE),"No Trainer Assigned")</f>
        <v>Arun</v>
      </c>
      <c r="D351">
        <f>IFERROR(VLOOKUP(B351,'Cleaned Trainer Data'!$A$2:$E$11,4,FALSE),"0")</f>
        <v>4.3</v>
      </c>
    </row>
    <row r="352" spans="1:4" x14ac:dyDescent="0.35">
      <c r="A352" t="s">
        <v>383</v>
      </c>
      <c r="B352" t="s">
        <v>27</v>
      </c>
      <c r="C352" t="str">
        <f>IFERROR(VLOOKUP(B352,'Cleaned Trainer Data'!$A$2:$E$9,2,FALSE),"No Trainer Assigned")</f>
        <v>Joseph</v>
      </c>
      <c r="D352">
        <f>IFERROR(VLOOKUP(B352,'Cleaned Trainer Data'!$A$2:$E$11,4,FALSE),"0")</f>
        <v>4.58</v>
      </c>
    </row>
    <row r="353" spans="1:4" x14ac:dyDescent="0.35">
      <c r="A353" t="s">
        <v>384</v>
      </c>
      <c r="B353" t="s">
        <v>14</v>
      </c>
      <c r="C353" t="str">
        <f>IFERROR(VLOOKUP(B353,'Cleaned Trainer Data'!$A$2:$E$9,2,FALSE),"No Trainer Assigned")</f>
        <v>Vishal</v>
      </c>
      <c r="D353">
        <f>IFERROR(VLOOKUP(B353,'Cleaned Trainer Data'!$A$2:$E$11,4,FALSE),"0")</f>
        <v>3.09</v>
      </c>
    </row>
    <row r="354" spans="1:4" x14ac:dyDescent="0.35">
      <c r="A354" t="s">
        <v>385</v>
      </c>
      <c r="B354" t="s">
        <v>27</v>
      </c>
      <c r="C354" t="str">
        <f>IFERROR(VLOOKUP(B354,'Cleaned Trainer Data'!$A$2:$E$9,2,FALSE),"No Trainer Assigned")</f>
        <v>Joseph</v>
      </c>
      <c r="D354">
        <f>IFERROR(VLOOKUP(B354,'Cleaned Trainer Data'!$A$2:$E$11,4,FALSE),"0")</f>
        <v>4.58</v>
      </c>
    </row>
    <row r="355" spans="1:4" x14ac:dyDescent="0.35">
      <c r="A355" t="s">
        <v>386</v>
      </c>
      <c r="B355" t="s">
        <v>37</v>
      </c>
      <c r="C355" t="str">
        <f>IFERROR(VLOOKUP(B355,'Cleaned Trainer Data'!$A$2:$E$9,2,FALSE),"No Trainer Assigned")</f>
        <v>No Trainer Assigned</v>
      </c>
      <c r="D355" t="str">
        <f>IFERROR(VLOOKUP(B355,'Cleaned Trainer Data'!$A$2:$E$11,4,FALSE),"0")</f>
        <v>0</v>
      </c>
    </row>
    <row r="356" spans="1:4" x14ac:dyDescent="0.35">
      <c r="A356" t="s">
        <v>387</v>
      </c>
      <c r="B356" t="s">
        <v>10</v>
      </c>
      <c r="C356" t="str">
        <f>IFERROR(VLOOKUP(B356,'Cleaned Trainer Data'!$A$2:$E$9,2,FALSE),"No Trainer Assigned")</f>
        <v>Arun</v>
      </c>
      <c r="D356">
        <f>IFERROR(VLOOKUP(B356,'Cleaned Trainer Data'!$A$2:$E$11,4,FALSE),"0")</f>
        <v>4.3</v>
      </c>
    </row>
    <row r="357" spans="1:4" x14ac:dyDescent="0.35">
      <c r="A357" t="s">
        <v>388</v>
      </c>
      <c r="B357" t="s">
        <v>14</v>
      </c>
      <c r="C357" t="str">
        <f>IFERROR(VLOOKUP(B357,'Cleaned Trainer Data'!$A$2:$E$9,2,FALSE),"No Trainer Assigned")</f>
        <v>Vishal</v>
      </c>
      <c r="D357">
        <f>IFERROR(VLOOKUP(B357,'Cleaned Trainer Data'!$A$2:$E$11,4,FALSE),"0")</f>
        <v>3.09</v>
      </c>
    </row>
    <row r="358" spans="1:4" x14ac:dyDescent="0.35">
      <c r="A358" t="s">
        <v>389</v>
      </c>
      <c r="B358" t="s">
        <v>37</v>
      </c>
      <c r="C358" t="str">
        <f>IFERROR(VLOOKUP(B358,'Cleaned Trainer Data'!$A$2:$E$9,2,FALSE),"No Trainer Assigned")</f>
        <v>No Trainer Assigned</v>
      </c>
      <c r="D358" t="str">
        <f>IFERROR(VLOOKUP(B358,'Cleaned Trainer Data'!$A$2:$E$11,4,FALSE),"0")</f>
        <v>0</v>
      </c>
    </row>
    <row r="359" spans="1:4" x14ac:dyDescent="0.35">
      <c r="A359" t="s">
        <v>390</v>
      </c>
      <c r="B359" t="s">
        <v>27</v>
      </c>
      <c r="C359" t="str">
        <f>IFERROR(VLOOKUP(B359,'Cleaned Trainer Data'!$A$2:$E$9,2,FALSE),"No Trainer Assigned")</f>
        <v>Joseph</v>
      </c>
      <c r="D359">
        <f>IFERROR(VLOOKUP(B359,'Cleaned Trainer Data'!$A$2:$E$11,4,FALSE),"0")</f>
        <v>4.58</v>
      </c>
    </row>
    <row r="360" spans="1:4" x14ac:dyDescent="0.35">
      <c r="A360" t="s">
        <v>391</v>
      </c>
      <c r="B360" t="s">
        <v>37</v>
      </c>
      <c r="C360" t="str">
        <f>IFERROR(VLOOKUP(B360,'Cleaned Trainer Data'!$A$2:$E$9,2,FALSE),"No Trainer Assigned")</f>
        <v>No Trainer Assigned</v>
      </c>
      <c r="D360" t="str">
        <f>IFERROR(VLOOKUP(B360,'Cleaned Trainer Data'!$A$2:$E$11,4,FALSE),"0")</f>
        <v>0</v>
      </c>
    </row>
    <row r="361" spans="1:4" x14ac:dyDescent="0.35">
      <c r="A361" t="s">
        <v>392</v>
      </c>
      <c r="B361" t="s">
        <v>10</v>
      </c>
      <c r="C361" t="str">
        <f>IFERROR(VLOOKUP(B361,'Cleaned Trainer Data'!$A$2:$E$9,2,FALSE),"No Trainer Assigned")</f>
        <v>Arun</v>
      </c>
      <c r="D361">
        <f>IFERROR(VLOOKUP(B361,'Cleaned Trainer Data'!$A$2:$E$11,4,FALSE),"0")</f>
        <v>4.3</v>
      </c>
    </row>
    <row r="362" spans="1:4" x14ac:dyDescent="0.35">
      <c r="A362" t="s">
        <v>393</v>
      </c>
      <c r="B362" t="s">
        <v>18</v>
      </c>
      <c r="C362" t="str">
        <f>IFERROR(VLOOKUP(B362,'Cleaned Trainer Data'!$A$2:$E$9,2,FALSE),"No Trainer Assigned")</f>
        <v>Meera</v>
      </c>
      <c r="D362">
        <f>IFERROR(VLOOKUP(B362,'Cleaned Trainer Data'!$A$2:$E$11,4,FALSE),"0")</f>
        <v>4.75</v>
      </c>
    </row>
    <row r="363" spans="1:4" x14ac:dyDescent="0.35">
      <c r="A363" t="s">
        <v>394</v>
      </c>
      <c r="B363" t="s">
        <v>37</v>
      </c>
      <c r="C363" t="str">
        <f>IFERROR(VLOOKUP(B363,'Cleaned Trainer Data'!$A$2:$E$9,2,FALSE),"No Trainer Assigned")</f>
        <v>No Trainer Assigned</v>
      </c>
      <c r="D363" t="str">
        <f>IFERROR(VLOOKUP(B363,'Cleaned Trainer Data'!$A$2:$E$11,4,FALSE),"0")</f>
        <v>0</v>
      </c>
    </row>
    <row r="364" spans="1:4" x14ac:dyDescent="0.35">
      <c r="A364" t="s">
        <v>395</v>
      </c>
      <c r="B364" t="s">
        <v>37</v>
      </c>
      <c r="C364" t="str">
        <f>IFERROR(VLOOKUP(B364,'Cleaned Trainer Data'!$A$2:$E$9,2,FALSE),"No Trainer Assigned")</f>
        <v>No Trainer Assigned</v>
      </c>
      <c r="D364" t="str">
        <f>IFERROR(VLOOKUP(B364,'Cleaned Trainer Data'!$A$2:$E$11,4,FALSE),"0")</f>
        <v>0</v>
      </c>
    </row>
    <row r="365" spans="1:4" x14ac:dyDescent="0.35">
      <c r="A365" t="s">
        <v>396</v>
      </c>
      <c r="B365" t="s">
        <v>27</v>
      </c>
      <c r="C365" t="str">
        <f>IFERROR(VLOOKUP(B365,'Cleaned Trainer Data'!$A$2:$E$9,2,FALSE),"No Trainer Assigned")</f>
        <v>Joseph</v>
      </c>
      <c r="D365">
        <f>IFERROR(VLOOKUP(B365,'Cleaned Trainer Data'!$A$2:$E$11,4,FALSE),"0")</f>
        <v>4.58</v>
      </c>
    </row>
    <row r="366" spans="1:4" x14ac:dyDescent="0.35">
      <c r="A366" t="s">
        <v>397</v>
      </c>
      <c r="B366" t="s">
        <v>27</v>
      </c>
      <c r="C366" t="str">
        <f>IFERROR(VLOOKUP(B366,'Cleaned Trainer Data'!$A$2:$E$9,2,FALSE),"No Trainer Assigned")</f>
        <v>Joseph</v>
      </c>
      <c r="D366">
        <f>IFERROR(VLOOKUP(B366,'Cleaned Trainer Data'!$A$2:$E$11,4,FALSE),"0")</f>
        <v>4.58</v>
      </c>
    </row>
    <row r="367" spans="1:4" x14ac:dyDescent="0.35">
      <c r="A367" t="s">
        <v>398</v>
      </c>
      <c r="B367" t="s">
        <v>14</v>
      </c>
      <c r="C367" t="str">
        <f>IFERROR(VLOOKUP(B367,'Cleaned Trainer Data'!$A$2:$E$9,2,FALSE),"No Trainer Assigned")</f>
        <v>Vishal</v>
      </c>
      <c r="D367">
        <f>IFERROR(VLOOKUP(B367,'Cleaned Trainer Data'!$A$2:$E$11,4,FALSE),"0")</f>
        <v>3.09</v>
      </c>
    </row>
    <row r="368" spans="1:4" x14ac:dyDescent="0.35">
      <c r="A368" t="s">
        <v>399</v>
      </c>
      <c r="B368" t="s">
        <v>27</v>
      </c>
      <c r="C368" t="str">
        <f>IFERROR(VLOOKUP(B368,'Cleaned Trainer Data'!$A$2:$E$9,2,FALSE),"No Trainer Assigned")</f>
        <v>Joseph</v>
      </c>
      <c r="D368">
        <f>IFERROR(VLOOKUP(B368,'Cleaned Trainer Data'!$A$2:$E$11,4,FALSE),"0")</f>
        <v>4.58</v>
      </c>
    </row>
    <row r="369" spans="1:4" x14ac:dyDescent="0.35">
      <c r="A369" t="s">
        <v>400</v>
      </c>
      <c r="B369" t="s">
        <v>21</v>
      </c>
      <c r="C369" t="str">
        <f>IFERROR(VLOOKUP(B369,'Cleaned Trainer Data'!$A$2:$E$9,2,FALSE),"No Trainer Assigned")</f>
        <v>Kavya</v>
      </c>
      <c r="D369">
        <f>IFERROR(VLOOKUP(B369,'Cleaned Trainer Data'!$A$2:$E$11,4,FALSE),"0")</f>
        <v>3.28</v>
      </c>
    </row>
    <row r="370" spans="1:4" x14ac:dyDescent="0.35">
      <c r="A370" t="s">
        <v>401</v>
      </c>
      <c r="B370" t="s">
        <v>10</v>
      </c>
      <c r="C370" t="str">
        <f>IFERROR(VLOOKUP(B370,'Cleaned Trainer Data'!$A$2:$E$9,2,FALSE),"No Trainer Assigned")</f>
        <v>Arun</v>
      </c>
      <c r="D370">
        <f>IFERROR(VLOOKUP(B370,'Cleaned Trainer Data'!$A$2:$E$11,4,FALSE),"0")</f>
        <v>4.3</v>
      </c>
    </row>
    <row r="371" spans="1:4" x14ac:dyDescent="0.35">
      <c r="A371" t="s">
        <v>402</v>
      </c>
      <c r="B371" t="s">
        <v>10</v>
      </c>
      <c r="C371" t="str">
        <f>IFERROR(VLOOKUP(B371,'Cleaned Trainer Data'!$A$2:$E$9,2,FALSE),"No Trainer Assigned")</f>
        <v>Arun</v>
      </c>
      <c r="D371">
        <f>IFERROR(VLOOKUP(B371,'Cleaned Trainer Data'!$A$2:$E$11,4,FALSE),"0")</f>
        <v>4.3</v>
      </c>
    </row>
    <row r="372" spans="1:4" x14ac:dyDescent="0.35">
      <c r="A372" t="s">
        <v>403</v>
      </c>
      <c r="B372" t="s">
        <v>18</v>
      </c>
      <c r="C372" t="str">
        <f>IFERROR(VLOOKUP(B372,'Cleaned Trainer Data'!$A$2:$E$9,2,FALSE),"No Trainer Assigned")</f>
        <v>Meera</v>
      </c>
      <c r="D372">
        <f>IFERROR(VLOOKUP(B372,'Cleaned Trainer Data'!$A$2:$E$11,4,FALSE),"0")</f>
        <v>4.75</v>
      </c>
    </row>
    <row r="373" spans="1:4" x14ac:dyDescent="0.35">
      <c r="A373" t="s">
        <v>404</v>
      </c>
      <c r="B373" t="s">
        <v>18</v>
      </c>
      <c r="C373" t="str">
        <f>IFERROR(VLOOKUP(B373,'Cleaned Trainer Data'!$A$2:$E$9,2,FALSE),"No Trainer Assigned")</f>
        <v>Meera</v>
      </c>
      <c r="D373">
        <f>IFERROR(VLOOKUP(B373,'Cleaned Trainer Data'!$A$2:$E$11,4,FALSE),"0")</f>
        <v>4.75</v>
      </c>
    </row>
    <row r="374" spans="1:4" x14ac:dyDescent="0.35">
      <c r="A374" t="s">
        <v>405</v>
      </c>
      <c r="B374" t="s">
        <v>10</v>
      </c>
      <c r="C374" t="str">
        <f>IFERROR(VLOOKUP(B374,'Cleaned Trainer Data'!$A$2:$E$9,2,FALSE),"No Trainer Assigned")</f>
        <v>Arun</v>
      </c>
      <c r="D374">
        <f>IFERROR(VLOOKUP(B374,'Cleaned Trainer Data'!$A$2:$E$11,4,FALSE),"0")</f>
        <v>4.3</v>
      </c>
    </row>
    <row r="375" spans="1:4" x14ac:dyDescent="0.35">
      <c r="A375" t="s">
        <v>406</v>
      </c>
      <c r="B375" t="s">
        <v>18</v>
      </c>
      <c r="C375" t="str">
        <f>IFERROR(VLOOKUP(B375,'Cleaned Trainer Data'!$A$2:$E$9,2,FALSE),"No Trainer Assigned")</f>
        <v>Meera</v>
      </c>
      <c r="D375">
        <f>IFERROR(VLOOKUP(B375,'Cleaned Trainer Data'!$A$2:$E$11,4,FALSE),"0")</f>
        <v>4.75</v>
      </c>
    </row>
    <row r="376" spans="1:4" x14ac:dyDescent="0.35">
      <c r="A376" t="s">
        <v>407</v>
      </c>
      <c r="B376" t="s">
        <v>14</v>
      </c>
      <c r="C376" t="str">
        <f>IFERROR(VLOOKUP(B376,'Cleaned Trainer Data'!$A$2:$E$9,2,FALSE),"No Trainer Assigned")</f>
        <v>Vishal</v>
      </c>
      <c r="D376">
        <f>IFERROR(VLOOKUP(B376,'Cleaned Trainer Data'!$A$2:$E$11,4,FALSE),"0")</f>
        <v>3.09</v>
      </c>
    </row>
    <row r="377" spans="1:4" x14ac:dyDescent="0.35">
      <c r="A377" t="s">
        <v>408</v>
      </c>
      <c r="B377" t="s">
        <v>27</v>
      </c>
      <c r="C377" t="str">
        <f>IFERROR(VLOOKUP(B377,'Cleaned Trainer Data'!$A$2:$E$9,2,FALSE),"No Trainer Assigned")</f>
        <v>Joseph</v>
      </c>
      <c r="D377">
        <f>IFERROR(VLOOKUP(B377,'Cleaned Trainer Data'!$A$2:$E$11,4,FALSE),"0")</f>
        <v>4.58</v>
      </c>
    </row>
    <row r="378" spans="1:4" x14ac:dyDescent="0.35">
      <c r="A378" t="s">
        <v>409</v>
      </c>
      <c r="B378" t="s">
        <v>10</v>
      </c>
      <c r="C378" t="str">
        <f>IFERROR(VLOOKUP(B378,'Cleaned Trainer Data'!$A$2:$E$9,2,FALSE),"No Trainer Assigned")</f>
        <v>Arun</v>
      </c>
      <c r="D378">
        <f>IFERROR(VLOOKUP(B378,'Cleaned Trainer Data'!$A$2:$E$11,4,FALSE),"0")</f>
        <v>4.3</v>
      </c>
    </row>
    <row r="379" spans="1:4" x14ac:dyDescent="0.35">
      <c r="A379" t="s">
        <v>410</v>
      </c>
      <c r="B379" t="s">
        <v>18</v>
      </c>
      <c r="C379" t="str">
        <f>IFERROR(VLOOKUP(B379,'Cleaned Trainer Data'!$A$2:$E$9,2,FALSE),"No Trainer Assigned")</f>
        <v>Meera</v>
      </c>
      <c r="D379">
        <f>IFERROR(VLOOKUP(B379,'Cleaned Trainer Data'!$A$2:$E$11,4,FALSE),"0")</f>
        <v>4.75</v>
      </c>
    </row>
    <row r="380" spans="1:4" x14ac:dyDescent="0.35">
      <c r="A380" t="s">
        <v>411</v>
      </c>
      <c r="B380" t="s">
        <v>10</v>
      </c>
      <c r="C380" t="str">
        <f>IFERROR(VLOOKUP(B380,'Cleaned Trainer Data'!$A$2:$E$9,2,FALSE),"No Trainer Assigned")</f>
        <v>Arun</v>
      </c>
      <c r="D380">
        <f>IFERROR(VLOOKUP(B380,'Cleaned Trainer Data'!$A$2:$E$11,4,FALSE),"0")</f>
        <v>4.3</v>
      </c>
    </row>
    <row r="381" spans="1:4" x14ac:dyDescent="0.35">
      <c r="A381" t="s">
        <v>412</v>
      </c>
      <c r="B381" t="s">
        <v>21</v>
      </c>
      <c r="C381" t="str">
        <f>IFERROR(VLOOKUP(B381,'Cleaned Trainer Data'!$A$2:$E$9,2,FALSE),"No Trainer Assigned")</f>
        <v>Kavya</v>
      </c>
      <c r="D381">
        <f>IFERROR(VLOOKUP(B381,'Cleaned Trainer Data'!$A$2:$E$11,4,FALSE),"0")</f>
        <v>3.28</v>
      </c>
    </row>
    <row r="382" spans="1:4" x14ac:dyDescent="0.35">
      <c r="A382" t="s">
        <v>413</v>
      </c>
      <c r="B382" t="s">
        <v>37</v>
      </c>
      <c r="C382" t="str">
        <f>IFERROR(VLOOKUP(B382,'Cleaned Trainer Data'!$A$2:$E$9,2,FALSE),"No Trainer Assigned")</f>
        <v>No Trainer Assigned</v>
      </c>
      <c r="D382" t="str">
        <f>IFERROR(VLOOKUP(B382,'Cleaned Trainer Data'!$A$2:$E$11,4,FALSE),"0")</f>
        <v>0</v>
      </c>
    </row>
    <row r="383" spans="1:4" x14ac:dyDescent="0.35">
      <c r="A383" t="s">
        <v>414</v>
      </c>
      <c r="B383" t="s">
        <v>27</v>
      </c>
      <c r="C383" t="str">
        <f>IFERROR(VLOOKUP(B383,'Cleaned Trainer Data'!$A$2:$E$9,2,FALSE),"No Trainer Assigned")</f>
        <v>Joseph</v>
      </c>
      <c r="D383">
        <f>IFERROR(VLOOKUP(B383,'Cleaned Trainer Data'!$A$2:$E$11,4,FALSE),"0")</f>
        <v>4.58</v>
      </c>
    </row>
    <row r="384" spans="1:4" x14ac:dyDescent="0.35">
      <c r="A384" t="s">
        <v>415</v>
      </c>
      <c r="B384" t="s">
        <v>10</v>
      </c>
      <c r="C384" t="str">
        <f>IFERROR(VLOOKUP(B384,'Cleaned Trainer Data'!$A$2:$E$9,2,FALSE),"No Trainer Assigned")</f>
        <v>Arun</v>
      </c>
      <c r="D384">
        <f>IFERROR(VLOOKUP(B384,'Cleaned Trainer Data'!$A$2:$E$11,4,FALSE),"0")</f>
        <v>4.3</v>
      </c>
    </row>
    <row r="385" spans="1:4" x14ac:dyDescent="0.35">
      <c r="A385" t="s">
        <v>416</v>
      </c>
      <c r="B385" t="s">
        <v>37</v>
      </c>
      <c r="C385" t="str">
        <f>IFERROR(VLOOKUP(B385,'Cleaned Trainer Data'!$A$2:$E$9,2,FALSE),"No Trainer Assigned")</f>
        <v>No Trainer Assigned</v>
      </c>
      <c r="D385" t="str">
        <f>IFERROR(VLOOKUP(B385,'Cleaned Trainer Data'!$A$2:$E$11,4,FALSE),"0")</f>
        <v>0</v>
      </c>
    </row>
    <row r="386" spans="1:4" x14ac:dyDescent="0.35">
      <c r="A386" t="s">
        <v>417</v>
      </c>
      <c r="B386" t="s">
        <v>18</v>
      </c>
      <c r="C386" t="str">
        <f>IFERROR(VLOOKUP(B386,'Cleaned Trainer Data'!$A$2:$E$9,2,FALSE),"No Trainer Assigned")</f>
        <v>Meera</v>
      </c>
      <c r="D386">
        <f>IFERROR(VLOOKUP(B386,'Cleaned Trainer Data'!$A$2:$E$11,4,FALSE),"0")</f>
        <v>4.75</v>
      </c>
    </row>
    <row r="387" spans="1:4" x14ac:dyDescent="0.35">
      <c r="A387" t="s">
        <v>418</v>
      </c>
      <c r="B387" t="s">
        <v>37</v>
      </c>
      <c r="C387" t="str">
        <f>IFERROR(VLOOKUP(B387,'Cleaned Trainer Data'!$A$2:$E$9,2,FALSE),"No Trainer Assigned")</f>
        <v>No Trainer Assigned</v>
      </c>
      <c r="D387" t="str">
        <f>IFERROR(VLOOKUP(B387,'Cleaned Trainer Data'!$A$2:$E$11,4,FALSE),"0")</f>
        <v>0</v>
      </c>
    </row>
    <row r="388" spans="1:4" x14ac:dyDescent="0.35">
      <c r="A388" t="s">
        <v>419</v>
      </c>
      <c r="B388" t="s">
        <v>27</v>
      </c>
      <c r="C388" t="str">
        <f>IFERROR(VLOOKUP(B388,'Cleaned Trainer Data'!$A$2:$E$9,2,FALSE),"No Trainer Assigned")</f>
        <v>Joseph</v>
      </c>
      <c r="D388">
        <f>IFERROR(VLOOKUP(B388,'Cleaned Trainer Data'!$A$2:$E$11,4,FALSE),"0")</f>
        <v>4.58</v>
      </c>
    </row>
    <row r="389" spans="1:4" x14ac:dyDescent="0.35">
      <c r="A389" t="s">
        <v>420</v>
      </c>
      <c r="B389" t="s">
        <v>10</v>
      </c>
      <c r="C389" t="str">
        <f>IFERROR(VLOOKUP(B389,'Cleaned Trainer Data'!$A$2:$E$9,2,FALSE),"No Trainer Assigned")</f>
        <v>Arun</v>
      </c>
      <c r="D389">
        <f>IFERROR(VLOOKUP(B389,'Cleaned Trainer Data'!$A$2:$E$11,4,FALSE),"0")</f>
        <v>4.3</v>
      </c>
    </row>
    <row r="390" spans="1:4" x14ac:dyDescent="0.35">
      <c r="A390" t="s">
        <v>421</v>
      </c>
      <c r="B390" t="s">
        <v>21</v>
      </c>
      <c r="C390" t="str">
        <f>IFERROR(VLOOKUP(B390,'Cleaned Trainer Data'!$A$2:$E$9,2,FALSE),"No Trainer Assigned")</f>
        <v>Kavya</v>
      </c>
      <c r="D390">
        <f>IFERROR(VLOOKUP(B390,'Cleaned Trainer Data'!$A$2:$E$11,4,FALSE),"0")</f>
        <v>3.28</v>
      </c>
    </row>
    <row r="391" spans="1:4" x14ac:dyDescent="0.35">
      <c r="A391" t="s">
        <v>422</v>
      </c>
      <c r="B391" t="s">
        <v>18</v>
      </c>
      <c r="C391" t="str">
        <f>IFERROR(VLOOKUP(B391,'Cleaned Trainer Data'!$A$2:$E$9,2,FALSE),"No Trainer Assigned")</f>
        <v>Meera</v>
      </c>
      <c r="D391">
        <f>IFERROR(VLOOKUP(B391,'Cleaned Trainer Data'!$A$2:$E$11,4,FALSE),"0")</f>
        <v>4.75</v>
      </c>
    </row>
    <row r="392" spans="1:4" x14ac:dyDescent="0.35">
      <c r="A392" t="s">
        <v>423</v>
      </c>
      <c r="B392" t="s">
        <v>10</v>
      </c>
      <c r="C392" t="str">
        <f>IFERROR(VLOOKUP(B392,'Cleaned Trainer Data'!$A$2:$E$9,2,FALSE),"No Trainer Assigned")</f>
        <v>Arun</v>
      </c>
      <c r="D392">
        <f>IFERROR(VLOOKUP(B392,'Cleaned Trainer Data'!$A$2:$E$11,4,FALSE),"0")</f>
        <v>4.3</v>
      </c>
    </row>
    <row r="393" spans="1:4" x14ac:dyDescent="0.35">
      <c r="A393" t="s">
        <v>424</v>
      </c>
      <c r="B393" t="s">
        <v>27</v>
      </c>
      <c r="C393" t="str">
        <f>IFERROR(VLOOKUP(B393,'Cleaned Trainer Data'!$A$2:$E$9,2,FALSE),"No Trainer Assigned")</f>
        <v>Joseph</v>
      </c>
      <c r="D393">
        <f>IFERROR(VLOOKUP(B393,'Cleaned Trainer Data'!$A$2:$E$11,4,FALSE),"0")</f>
        <v>4.58</v>
      </c>
    </row>
    <row r="394" spans="1:4" x14ac:dyDescent="0.35">
      <c r="A394" t="s">
        <v>425</v>
      </c>
      <c r="B394" t="s">
        <v>18</v>
      </c>
      <c r="C394" t="str">
        <f>IFERROR(VLOOKUP(B394,'Cleaned Trainer Data'!$A$2:$E$9,2,FALSE),"No Trainer Assigned")</f>
        <v>Meera</v>
      </c>
      <c r="D394">
        <f>IFERROR(VLOOKUP(B394,'Cleaned Trainer Data'!$A$2:$E$11,4,FALSE),"0")</f>
        <v>4.75</v>
      </c>
    </row>
    <row r="395" spans="1:4" x14ac:dyDescent="0.35">
      <c r="A395" t="s">
        <v>426</v>
      </c>
      <c r="B395" t="s">
        <v>14</v>
      </c>
      <c r="C395" t="str">
        <f>IFERROR(VLOOKUP(B395,'Cleaned Trainer Data'!$A$2:$E$9,2,FALSE),"No Trainer Assigned")</f>
        <v>Vishal</v>
      </c>
      <c r="D395">
        <f>IFERROR(VLOOKUP(B395,'Cleaned Trainer Data'!$A$2:$E$11,4,FALSE),"0")</f>
        <v>3.09</v>
      </c>
    </row>
    <row r="396" spans="1:4" x14ac:dyDescent="0.35">
      <c r="A396" t="s">
        <v>427</v>
      </c>
      <c r="B396" t="s">
        <v>37</v>
      </c>
      <c r="C396" t="str">
        <f>IFERROR(VLOOKUP(B396,'Cleaned Trainer Data'!$A$2:$E$9,2,FALSE),"No Trainer Assigned")</f>
        <v>No Trainer Assigned</v>
      </c>
      <c r="D396" t="str">
        <f>IFERROR(VLOOKUP(B396,'Cleaned Trainer Data'!$A$2:$E$11,4,FALSE),"0")</f>
        <v>0</v>
      </c>
    </row>
    <row r="397" spans="1:4" x14ac:dyDescent="0.35">
      <c r="A397" t="s">
        <v>428</v>
      </c>
      <c r="B397" t="s">
        <v>27</v>
      </c>
      <c r="C397" t="str">
        <f>IFERROR(VLOOKUP(B397,'Cleaned Trainer Data'!$A$2:$E$9,2,FALSE),"No Trainer Assigned")</f>
        <v>Joseph</v>
      </c>
      <c r="D397">
        <f>IFERROR(VLOOKUP(B397,'Cleaned Trainer Data'!$A$2:$E$11,4,FALSE),"0")</f>
        <v>4.58</v>
      </c>
    </row>
    <row r="398" spans="1:4" x14ac:dyDescent="0.35">
      <c r="A398" t="s">
        <v>429</v>
      </c>
      <c r="B398" t="s">
        <v>14</v>
      </c>
      <c r="C398" t="str">
        <f>IFERROR(VLOOKUP(B398,'Cleaned Trainer Data'!$A$2:$E$9,2,FALSE),"No Trainer Assigned")</f>
        <v>Vishal</v>
      </c>
      <c r="D398">
        <f>IFERROR(VLOOKUP(B398,'Cleaned Trainer Data'!$A$2:$E$11,4,FALSE),"0")</f>
        <v>3.09</v>
      </c>
    </row>
    <row r="399" spans="1:4" x14ac:dyDescent="0.35">
      <c r="A399" t="s">
        <v>430</v>
      </c>
      <c r="B399" t="s">
        <v>10</v>
      </c>
      <c r="C399" t="str">
        <f>IFERROR(VLOOKUP(B399,'Cleaned Trainer Data'!$A$2:$E$9,2,FALSE),"No Trainer Assigned")</f>
        <v>Arun</v>
      </c>
      <c r="D399">
        <f>IFERROR(VLOOKUP(B399,'Cleaned Trainer Data'!$A$2:$E$11,4,FALSE),"0")</f>
        <v>4.3</v>
      </c>
    </row>
    <row r="400" spans="1:4" x14ac:dyDescent="0.35">
      <c r="A400" t="s">
        <v>431</v>
      </c>
      <c r="B400" t="s">
        <v>21</v>
      </c>
      <c r="C400" t="str">
        <f>IFERROR(VLOOKUP(B400,'Cleaned Trainer Data'!$A$2:$E$9,2,FALSE),"No Trainer Assigned")</f>
        <v>Kavya</v>
      </c>
      <c r="D400">
        <f>IFERROR(VLOOKUP(B400,'Cleaned Trainer Data'!$A$2:$E$11,4,FALSE),"0")</f>
        <v>3.28</v>
      </c>
    </row>
    <row r="401" spans="1:4" x14ac:dyDescent="0.35">
      <c r="A401" t="s">
        <v>432</v>
      </c>
      <c r="B401" t="s">
        <v>18</v>
      </c>
      <c r="C401" t="str">
        <f>IFERROR(VLOOKUP(B401,'Cleaned Trainer Data'!$A$2:$E$9,2,FALSE),"No Trainer Assigned")</f>
        <v>Meera</v>
      </c>
      <c r="D401">
        <f>IFERROR(VLOOKUP(B401,'Cleaned Trainer Data'!$A$2:$E$11,4,FALSE),"0")</f>
        <v>4.75</v>
      </c>
    </row>
    <row r="402" spans="1:4" x14ac:dyDescent="0.35">
      <c r="A402" t="s">
        <v>433</v>
      </c>
      <c r="B402" t="s">
        <v>37</v>
      </c>
      <c r="C402" t="str">
        <f>IFERROR(VLOOKUP(B402,'Cleaned Trainer Data'!$A$2:$E$9,2,FALSE),"No Trainer Assigned")</f>
        <v>No Trainer Assigned</v>
      </c>
      <c r="D402" t="str">
        <f>IFERROR(VLOOKUP(B402,'Cleaned Trainer Data'!$A$2:$E$11,4,FALSE),"0")</f>
        <v>0</v>
      </c>
    </row>
    <row r="403" spans="1:4" x14ac:dyDescent="0.35">
      <c r="A403" t="s">
        <v>434</v>
      </c>
      <c r="B403" t="s">
        <v>18</v>
      </c>
      <c r="C403" t="str">
        <f>IFERROR(VLOOKUP(B403,'Cleaned Trainer Data'!$A$2:$E$9,2,FALSE),"No Trainer Assigned")</f>
        <v>Meera</v>
      </c>
      <c r="D403">
        <f>IFERROR(VLOOKUP(B403,'Cleaned Trainer Data'!$A$2:$E$11,4,FALSE),"0")</f>
        <v>4.75</v>
      </c>
    </row>
    <row r="404" spans="1:4" x14ac:dyDescent="0.35">
      <c r="A404" t="s">
        <v>435</v>
      </c>
      <c r="B404" t="s">
        <v>10</v>
      </c>
      <c r="C404" t="str">
        <f>IFERROR(VLOOKUP(B404,'Cleaned Trainer Data'!$A$2:$E$9,2,FALSE),"No Trainer Assigned")</f>
        <v>Arun</v>
      </c>
      <c r="D404">
        <f>IFERROR(VLOOKUP(B404,'Cleaned Trainer Data'!$A$2:$E$11,4,FALSE),"0")</f>
        <v>4.3</v>
      </c>
    </row>
    <row r="405" spans="1:4" x14ac:dyDescent="0.35">
      <c r="A405" t="s">
        <v>436</v>
      </c>
      <c r="B405" t="s">
        <v>18</v>
      </c>
      <c r="C405" t="str">
        <f>IFERROR(VLOOKUP(B405,'Cleaned Trainer Data'!$A$2:$E$9,2,FALSE),"No Trainer Assigned")</f>
        <v>Meera</v>
      </c>
      <c r="D405">
        <f>IFERROR(VLOOKUP(B405,'Cleaned Trainer Data'!$A$2:$E$11,4,FALSE),"0")</f>
        <v>4.75</v>
      </c>
    </row>
    <row r="406" spans="1:4" x14ac:dyDescent="0.35">
      <c r="A406" t="s">
        <v>437</v>
      </c>
      <c r="B406" t="s">
        <v>37</v>
      </c>
      <c r="C406" t="str">
        <f>IFERROR(VLOOKUP(B406,'Cleaned Trainer Data'!$A$2:$E$9,2,FALSE),"No Trainer Assigned")</f>
        <v>No Trainer Assigned</v>
      </c>
      <c r="D406" t="str">
        <f>IFERROR(VLOOKUP(B406,'Cleaned Trainer Data'!$A$2:$E$11,4,FALSE),"0")</f>
        <v>0</v>
      </c>
    </row>
    <row r="407" spans="1:4" x14ac:dyDescent="0.35">
      <c r="A407" t="s">
        <v>438</v>
      </c>
      <c r="B407" t="s">
        <v>10</v>
      </c>
      <c r="C407" t="str">
        <f>IFERROR(VLOOKUP(B407,'Cleaned Trainer Data'!$A$2:$E$9,2,FALSE),"No Trainer Assigned")</f>
        <v>Arun</v>
      </c>
      <c r="D407">
        <f>IFERROR(VLOOKUP(B407,'Cleaned Trainer Data'!$A$2:$E$11,4,FALSE),"0")</f>
        <v>4.3</v>
      </c>
    </row>
    <row r="408" spans="1:4" x14ac:dyDescent="0.35">
      <c r="A408" t="s">
        <v>439</v>
      </c>
      <c r="B408" t="s">
        <v>18</v>
      </c>
      <c r="C408" t="str">
        <f>IFERROR(VLOOKUP(B408,'Cleaned Trainer Data'!$A$2:$E$9,2,FALSE),"No Trainer Assigned")</f>
        <v>Meera</v>
      </c>
      <c r="D408">
        <f>IFERROR(VLOOKUP(B408,'Cleaned Trainer Data'!$A$2:$E$11,4,FALSE),"0")</f>
        <v>4.75</v>
      </c>
    </row>
    <row r="409" spans="1:4" x14ac:dyDescent="0.35">
      <c r="A409" t="s">
        <v>440</v>
      </c>
      <c r="B409" t="s">
        <v>21</v>
      </c>
      <c r="C409" t="str">
        <f>IFERROR(VLOOKUP(B409,'Cleaned Trainer Data'!$A$2:$E$9,2,FALSE),"No Trainer Assigned")</f>
        <v>Kavya</v>
      </c>
      <c r="D409">
        <f>IFERROR(VLOOKUP(B409,'Cleaned Trainer Data'!$A$2:$E$11,4,FALSE),"0")</f>
        <v>3.28</v>
      </c>
    </row>
    <row r="410" spans="1:4" x14ac:dyDescent="0.35">
      <c r="A410" t="s">
        <v>441</v>
      </c>
      <c r="B410" t="s">
        <v>27</v>
      </c>
      <c r="C410" t="str">
        <f>IFERROR(VLOOKUP(B410,'Cleaned Trainer Data'!$A$2:$E$9,2,FALSE),"No Trainer Assigned")</f>
        <v>Joseph</v>
      </c>
      <c r="D410">
        <f>IFERROR(VLOOKUP(B410,'Cleaned Trainer Data'!$A$2:$E$11,4,FALSE),"0")</f>
        <v>4.58</v>
      </c>
    </row>
    <row r="411" spans="1:4" x14ac:dyDescent="0.35">
      <c r="A411" t="s">
        <v>442</v>
      </c>
      <c r="B411" t="s">
        <v>10</v>
      </c>
      <c r="C411" t="str">
        <f>IFERROR(VLOOKUP(B411,'Cleaned Trainer Data'!$A$2:$E$9,2,FALSE),"No Trainer Assigned")</f>
        <v>Arun</v>
      </c>
      <c r="D411">
        <f>IFERROR(VLOOKUP(B411,'Cleaned Trainer Data'!$A$2:$E$11,4,FALSE),"0")</f>
        <v>4.3</v>
      </c>
    </row>
    <row r="412" spans="1:4" x14ac:dyDescent="0.35">
      <c r="A412" t="s">
        <v>443</v>
      </c>
      <c r="B412" t="s">
        <v>27</v>
      </c>
      <c r="C412" t="str">
        <f>IFERROR(VLOOKUP(B412,'Cleaned Trainer Data'!$A$2:$E$9,2,FALSE),"No Trainer Assigned")</f>
        <v>Joseph</v>
      </c>
      <c r="D412">
        <f>IFERROR(VLOOKUP(B412,'Cleaned Trainer Data'!$A$2:$E$11,4,FALSE),"0")</f>
        <v>4.58</v>
      </c>
    </row>
    <row r="413" spans="1:4" x14ac:dyDescent="0.35">
      <c r="A413" t="s">
        <v>444</v>
      </c>
      <c r="B413" t="s">
        <v>10</v>
      </c>
      <c r="C413" t="str">
        <f>IFERROR(VLOOKUP(B413,'Cleaned Trainer Data'!$A$2:$E$9,2,FALSE),"No Trainer Assigned")</f>
        <v>Arun</v>
      </c>
      <c r="D413">
        <f>IFERROR(VLOOKUP(B413,'Cleaned Trainer Data'!$A$2:$E$11,4,FALSE),"0")</f>
        <v>4.3</v>
      </c>
    </row>
    <row r="414" spans="1:4" x14ac:dyDescent="0.35">
      <c r="A414" t="s">
        <v>445</v>
      </c>
      <c r="B414" t="s">
        <v>21</v>
      </c>
      <c r="C414" t="str">
        <f>IFERROR(VLOOKUP(B414,'Cleaned Trainer Data'!$A$2:$E$9,2,FALSE),"No Trainer Assigned")</f>
        <v>Kavya</v>
      </c>
      <c r="D414">
        <f>IFERROR(VLOOKUP(B414,'Cleaned Trainer Data'!$A$2:$E$11,4,FALSE),"0")</f>
        <v>3.28</v>
      </c>
    </row>
    <row r="415" spans="1:4" x14ac:dyDescent="0.35">
      <c r="A415" t="s">
        <v>446</v>
      </c>
      <c r="B415" t="s">
        <v>27</v>
      </c>
      <c r="C415" t="str">
        <f>IFERROR(VLOOKUP(B415,'Cleaned Trainer Data'!$A$2:$E$9,2,FALSE),"No Trainer Assigned")</f>
        <v>Joseph</v>
      </c>
      <c r="D415">
        <f>IFERROR(VLOOKUP(B415,'Cleaned Trainer Data'!$A$2:$E$11,4,FALSE),"0")</f>
        <v>4.58</v>
      </c>
    </row>
    <row r="416" spans="1:4" x14ac:dyDescent="0.35">
      <c r="A416" t="s">
        <v>447</v>
      </c>
      <c r="B416" t="s">
        <v>14</v>
      </c>
      <c r="C416" t="str">
        <f>IFERROR(VLOOKUP(B416,'Cleaned Trainer Data'!$A$2:$E$9,2,FALSE),"No Trainer Assigned")</f>
        <v>Vishal</v>
      </c>
      <c r="D416">
        <f>IFERROR(VLOOKUP(B416,'Cleaned Trainer Data'!$A$2:$E$11,4,FALSE),"0")</f>
        <v>3.09</v>
      </c>
    </row>
    <row r="417" spans="1:4" x14ac:dyDescent="0.35">
      <c r="A417" t="s">
        <v>448</v>
      </c>
      <c r="B417" t="s">
        <v>37</v>
      </c>
      <c r="C417" t="str">
        <f>IFERROR(VLOOKUP(B417,'Cleaned Trainer Data'!$A$2:$E$9,2,FALSE),"No Trainer Assigned")</f>
        <v>No Trainer Assigned</v>
      </c>
      <c r="D417" t="str">
        <f>IFERROR(VLOOKUP(B417,'Cleaned Trainer Data'!$A$2:$E$11,4,FALSE),"0")</f>
        <v>0</v>
      </c>
    </row>
    <row r="418" spans="1:4" x14ac:dyDescent="0.35">
      <c r="A418" t="s">
        <v>449</v>
      </c>
      <c r="B418" t="s">
        <v>14</v>
      </c>
      <c r="C418" t="str">
        <f>IFERROR(VLOOKUP(B418,'Cleaned Trainer Data'!$A$2:$E$9,2,FALSE),"No Trainer Assigned")</f>
        <v>Vishal</v>
      </c>
      <c r="D418">
        <f>IFERROR(VLOOKUP(B418,'Cleaned Trainer Data'!$A$2:$E$11,4,FALSE),"0")</f>
        <v>3.09</v>
      </c>
    </row>
    <row r="419" spans="1:4" x14ac:dyDescent="0.35">
      <c r="A419" t="s">
        <v>450</v>
      </c>
      <c r="B419" t="s">
        <v>18</v>
      </c>
      <c r="C419" t="str">
        <f>IFERROR(VLOOKUP(B419,'Cleaned Trainer Data'!$A$2:$E$9,2,FALSE),"No Trainer Assigned")</f>
        <v>Meera</v>
      </c>
      <c r="D419">
        <f>IFERROR(VLOOKUP(B419,'Cleaned Trainer Data'!$A$2:$E$11,4,FALSE),"0")</f>
        <v>4.75</v>
      </c>
    </row>
    <row r="420" spans="1:4" x14ac:dyDescent="0.35">
      <c r="A420" t="s">
        <v>451</v>
      </c>
      <c r="B420" t="s">
        <v>21</v>
      </c>
      <c r="C420" t="str">
        <f>IFERROR(VLOOKUP(B420,'Cleaned Trainer Data'!$A$2:$E$9,2,FALSE),"No Trainer Assigned")</f>
        <v>Kavya</v>
      </c>
      <c r="D420">
        <f>IFERROR(VLOOKUP(B420,'Cleaned Trainer Data'!$A$2:$E$11,4,FALSE),"0")</f>
        <v>3.28</v>
      </c>
    </row>
    <row r="421" spans="1:4" x14ac:dyDescent="0.35">
      <c r="A421" t="s">
        <v>452</v>
      </c>
      <c r="B421" t="s">
        <v>14</v>
      </c>
      <c r="C421" t="str">
        <f>IFERROR(VLOOKUP(B421,'Cleaned Trainer Data'!$A$2:$E$9,2,FALSE),"No Trainer Assigned")</f>
        <v>Vishal</v>
      </c>
      <c r="D421">
        <f>IFERROR(VLOOKUP(B421,'Cleaned Trainer Data'!$A$2:$E$11,4,FALSE),"0")</f>
        <v>3.09</v>
      </c>
    </row>
    <row r="422" spans="1:4" x14ac:dyDescent="0.35">
      <c r="A422" t="s">
        <v>453</v>
      </c>
      <c r="B422" t="s">
        <v>10</v>
      </c>
      <c r="C422" t="str">
        <f>IFERROR(VLOOKUP(B422,'Cleaned Trainer Data'!$A$2:$E$9,2,FALSE),"No Trainer Assigned")</f>
        <v>Arun</v>
      </c>
      <c r="D422">
        <f>IFERROR(VLOOKUP(B422,'Cleaned Trainer Data'!$A$2:$E$11,4,FALSE),"0")</f>
        <v>4.3</v>
      </c>
    </row>
    <row r="423" spans="1:4" x14ac:dyDescent="0.35">
      <c r="A423" t="s">
        <v>454</v>
      </c>
      <c r="B423" t="s">
        <v>18</v>
      </c>
      <c r="C423" t="str">
        <f>IFERROR(VLOOKUP(B423,'Cleaned Trainer Data'!$A$2:$E$9,2,FALSE),"No Trainer Assigned")</f>
        <v>Meera</v>
      </c>
      <c r="D423">
        <f>IFERROR(VLOOKUP(B423,'Cleaned Trainer Data'!$A$2:$E$11,4,FALSE),"0")</f>
        <v>4.75</v>
      </c>
    </row>
    <row r="424" spans="1:4" x14ac:dyDescent="0.35">
      <c r="A424" t="s">
        <v>455</v>
      </c>
      <c r="B424" t="s">
        <v>18</v>
      </c>
      <c r="C424" t="str">
        <f>IFERROR(VLOOKUP(B424,'Cleaned Trainer Data'!$A$2:$E$9,2,FALSE),"No Trainer Assigned")</f>
        <v>Meera</v>
      </c>
      <c r="D424">
        <f>IFERROR(VLOOKUP(B424,'Cleaned Trainer Data'!$A$2:$E$11,4,FALSE),"0")</f>
        <v>4.75</v>
      </c>
    </row>
    <row r="425" spans="1:4" x14ac:dyDescent="0.35">
      <c r="A425" t="s">
        <v>456</v>
      </c>
      <c r="B425" t="s">
        <v>14</v>
      </c>
      <c r="C425" t="str">
        <f>IFERROR(VLOOKUP(B425,'Cleaned Trainer Data'!$A$2:$E$9,2,FALSE),"No Trainer Assigned")</f>
        <v>Vishal</v>
      </c>
      <c r="D425">
        <f>IFERROR(VLOOKUP(B425,'Cleaned Trainer Data'!$A$2:$E$11,4,FALSE),"0")</f>
        <v>3.09</v>
      </c>
    </row>
    <row r="426" spans="1:4" x14ac:dyDescent="0.35">
      <c r="A426" t="s">
        <v>457</v>
      </c>
      <c r="B426" t="s">
        <v>14</v>
      </c>
      <c r="C426" t="str">
        <f>IFERROR(VLOOKUP(B426,'Cleaned Trainer Data'!$A$2:$E$9,2,FALSE),"No Trainer Assigned")</f>
        <v>Vishal</v>
      </c>
      <c r="D426">
        <f>IFERROR(VLOOKUP(B426,'Cleaned Trainer Data'!$A$2:$E$11,4,FALSE),"0")</f>
        <v>3.09</v>
      </c>
    </row>
    <row r="427" spans="1:4" x14ac:dyDescent="0.35">
      <c r="A427" t="s">
        <v>458</v>
      </c>
      <c r="B427" t="s">
        <v>21</v>
      </c>
      <c r="C427" t="str">
        <f>IFERROR(VLOOKUP(B427,'Cleaned Trainer Data'!$A$2:$E$9,2,FALSE),"No Trainer Assigned")</f>
        <v>Kavya</v>
      </c>
      <c r="D427">
        <f>IFERROR(VLOOKUP(B427,'Cleaned Trainer Data'!$A$2:$E$11,4,FALSE),"0")</f>
        <v>3.28</v>
      </c>
    </row>
    <row r="428" spans="1:4" x14ac:dyDescent="0.35">
      <c r="A428" t="s">
        <v>459</v>
      </c>
      <c r="B428" t="s">
        <v>37</v>
      </c>
      <c r="C428" t="str">
        <f>IFERROR(VLOOKUP(B428,'Cleaned Trainer Data'!$A$2:$E$9,2,FALSE),"No Trainer Assigned")</f>
        <v>No Trainer Assigned</v>
      </c>
      <c r="D428" t="str">
        <f>IFERROR(VLOOKUP(B428,'Cleaned Trainer Data'!$A$2:$E$11,4,FALSE),"0")</f>
        <v>0</v>
      </c>
    </row>
    <row r="429" spans="1:4" x14ac:dyDescent="0.35">
      <c r="A429" t="s">
        <v>460</v>
      </c>
      <c r="B429" t="s">
        <v>14</v>
      </c>
      <c r="C429" t="str">
        <f>IFERROR(VLOOKUP(B429,'Cleaned Trainer Data'!$A$2:$E$9,2,FALSE),"No Trainer Assigned")</f>
        <v>Vishal</v>
      </c>
      <c r="D429">
        <f>IFERROR(VLOOKUP(B429,'Cleaned Trainer Data'!$A$2:$E$11,4,FALSE),"0")</f>
        <v>3.09</v>
      </c>
    </row>
    <row r="430" spans="1:4" x14ac:dyDescent="0.35">
      <c r="A430" t="s">
        <v>461</v>
      </c>
      <c r="B430" t="s">
        <v>14</v>
      </c>
      <c r="C430" t="str">
        <f>IFERROR(VLOOKUP(B430,'Cleaned Trainer Data'!$A$2:$E$9,2,FALSE),"No Trainer Assigned")</f>
        <v>Vishal</v>
      </c>
      <c r="D430">
        <f>IFERROR(VLOOKUP(B430,'Cleaned Trainer Data'!$A$2:$E$11,4,FALSE),"0")</f>
        <v>3.09</v>
      </c>
    </row>
    <row r="431" spans="1:4" x14ac:dyDescent="0.35">
      <c r="A431" t="s">
        <v>462</v>
      </c>
      <c r="B431" t="s">
        <v>27</v>
      </c>
      <c r="C431" t="str">
        <f>IFERROR(VLOOKUP(B431,'Cleaned Trainer Data'!$A$2:$E$9,2,FALSE),"No Trainer Assigned")</f>
        <v>Joseph</v>
      </c>
      <c r="D431">
        <f>IFERROR(VLOOKUP(B431,'Cleaned Trainer Data'!$A$2:$E$11,4,FALSE),"0")</f>
        <v>4.58</v>
      </c>
    </row>
    <row r="432" spans="1:4" x14ac:dyDescent="0.35">
      <c r="A432" t="s">
        <v>463</v>
      </c>
      <c r="B432" t="s">
        <v>10</v>
      </c>
      <c r="C432" t="str">
        <f>IFERROR(VLOOKUP(B432,'Cleaned Trainer Data'!$A$2:$E$9,2,FALSE),"No Trainer Assigned")</f>
        <v>Arun</v>
      </c>
      <c r="D432">
        <f>IFERROR(VLOOKUP(B432,'Cleaned Trainer Data'!$A$2:$E$11,4,FALSE),"0")</f>
        <v>4.3</v>
      </c>
    </row>
    <row r="433" spans="1:4" x14ac:dyDescent="0.35">
      <c r="A433" t="s">
        <v>464</v>
      </c>
      <c r="B433" t="s">
        <v>27</v>
      </c>
      <c r="C433" t="str">
        <f>IFERROR(VLOOKUP(B433,'Cleaned Trainer Data'!$A$2:$E$9,2,FALSE),"No Trainer Assigned")</f>
        <v>Joseph</v>
      </c>
      <c r="D433">
        <f>IFERROR(VLOOKUP(B433,'Cleaned Trainer Data'!$A$2:$E$11,4,FALSE),"0")</f>
        <v>4.58</v>
      </c>
    </row>
    <row r="434" spans="1:4" x14ac:dyDescent="0.35">
      <c r="A434" t="s">
        <v>465</v>
      </c>
      <c r="B434" t="s">
        <v>27</v>
      </c>
      <c r="C434" t="str">
        <f>IFERROR(VLOOKUP(B434,'Cleaned Trainer Data'!$A$2:$E$9,2,FALSE),"No Trainer Assigned")</f>
        <v>Joseph</v>
      </c>
      <c r="D434">
        <f>IFERROR(VLOOKUP(B434,'Cleaned Trainer Data'!$A$2:$E$11,4,FALSE),"0")</f>
        <v>4.58</v>
      </c>
    </row>
    <row r="435" spans="1:4" x14ac:dyDescent="0.35">
      <c r="A435" t="s">
        <v>466</v>
      </c>
      <c r="B435" t="s">
        <v>18</v>
      </c>
      <c r="C435" t="str">
        <f>IFERROR(VLOOKUP(B435,'Cleaned Trainer Data'!$A$2:$E$9,2,FALSE),"No Trainer Assigned")</f>
        <v>Meera</v>
      </c>
      <c r="D435">
        <f>IFERROR(VLOOKUP(B435,'Cleaned Trainer Data'!$A$2:$E$11,4,FALSE),"0")</f>
        <v>4.75</v>
      </c>
    </row>
    <row r="436" spans="1:4" x14ac:dyDescent="0.35">
      <c r="A436" t="s">
        <v>467</v>
      </c>
      <c r="B436" t="s">
        <v>37</v>
      </c>
      <c r="C436" t="str">
        <f>IFERROR(VLOOKUP(B436,'Cleaned Trainer Data'!$A$2:$E$9,2,FALSE),"No Trainer Assigned")</f>
        <v>No Trainer Assigned</v>
      </c>
      <c r="D436" t="str">
        <f>IFERROR(VLOOKUP(B436,'Cleaned Trainer Data'!$A$2:$E$11,4,FALSE),"0")</f>
        <v>0</v>
      </c>
    </row>
    <row r="437" spans="1:4" x14ac:dyDescent="0.35">
      <c r="A437" t="s">
        <v>468</v>
      </c>
      <c r="B437" t="s">
        <v>10</v>
      </c>
      <c r="C437" t="str">
        <f>IFERROR(VLOOKUP(B437,'Cleaned Trainer Data'!$A$2:$E$9,2,FALSE),"No Trainer Assigned")</f>
        <v>Arun</v>
      </c>
      <c r="D437">
        <f>IFERROR(VLOOKUP(B437,'Cleaned Trainer Data'!$A$2:$E$11,4,FALSE),"0")</f>
        <v>4.3</v>
      </c>
    </row>
    <row r="438" spans="1:4" x14ac:dyDescent="0.35">
      <c r="A438" t="s">
        <v>469</v>
      </c>
      <c r="B438" t="s">
        <v>21</v>
      </c>
      <c r="C438" t="str">
        <f>IFERROR(VLOOKUP(B438,'Cleaned Trainer Data'!$A$2:$E$9,2,FALSE),"No Trainer Assigned")</f>
        <v>Kavya</v>
      </c>
      <c r="D438">
        <f>IFERROR(VLOOKUP(B438,'Cleaned Trainer Data'!$A$2:$E$11,4,FALSE),"0")</f>
        <v>3.28</v>
      </c>
    </row>
    <row r="439" spans="1:4" x14ac:dyDescent="0.35">
      <c r="A439" t="s">
        <v>470</v>
      </c>
      <c r="B439" t="s">
        <v>21</v>
      </c>
      <c r="C439" t="str">
        <f>IFERROR(VLOOKUP(B439,'Cleaned Trainer Data'!$A$2:$E$9,2,FALSE),"No Trainer Assigned")</f>
        <v>Kavya</v>
      </c>
      <c r="D439">
        <f>IFERROR(VLOOKUP(B439,'Cleaned Trainer Data'!$A$2:$E$11,4,FALSE),"0")</f>
        <v>3.28</v>
      </c>
    </row>
    <row r="440" spans="1:4" x14ac:dyDescent="0.35">
      <c r="A440" t="s">
        <v>471</v>
      </c>
      <c r="B440" t="s">
        <v>14</v>
      </c>
      <c r="C440" t="str">
        <f>IFERROR(VLOOKUP(B440,'Cleaned Trainer Data'!$A$2:$E$9,2,FALSE),"No Trainer Assigned")</f>
        <v>Vishal</v>
      </c>
      <c r="D440">
        <f>IFERROR(VLOOKUP(B440,'Cleaned Trainer Data'!$A$2:$E$11,4,FALSE),"0")</f>
        <v>3.09</v>
      </c>
    </row>
    <row r="441" spans="1:4" x14ac:dyDescent="0.35">
      <c r="A441" t="s">
        <v>472</v>
      </c>
      <c r="B441" t="s">
        <v>14</v>
      </c>
      <c r="C441" t="str">
        <f>IFERROR(VLOOKUP(B441,'Cleaned Trainer Data'!$A$2:$E$9,2,FALSE),"No Trainer Assigned")</f>
        <v>Vishal</v>
      </c>
      <c r="D441">
        <f>IFERROR(VLOOKUP(B441,'Cleaned Trainer Data'!$A$2:$E$11,4,FALSE),"0")</f>
        <v>3.09</v>
      </c>
    </row>
    <row r="442" spans="1:4" x14ac:dyDescent="0.35">
      <c r="A442" t="s">
        <v>473</v>
      </c>
      <c r="B442" t="s">
        <v>21</v>
      </c>
      <c r="C442" t="str">
        <f>IFERROR(VLOOKUP(B442,'Cleaned Trainer Data'!$A$2:$E$9,2,FALSE),"No Trainer Assigned")</f>
        <v>Kavya</v>
      </c>
      <c r="D442">
        <f>IFERROR(VLOOKUP(B442,'Cleaned Trainer Data'!$A$2:$E$11,4,FALSE),"0")</f>
        <v>3.28</v>
      </c>
    </row>
    <row r="443" spans="1:4" x14ac:dyDescent="0.35">
      <c r="A443" t="s">
        <v>474</v>
      </c>
      <c r="B443" t="s">
        <v>14</v>
      </c>
      <c r="C443" t="str">
        <f>IFERROR(VLOOKUP(B443,'Cleaned Trainer Data'!$A$2:$E$9,2,FALSE),"No Trainer Assigned")</f>
        <v>Vishal</v>
      </c>
      <c r="D443">
        <f>IFERROR(VLOOKUP(B443,'Cleaned Trainer Data'!$A$2:$E$11,4,FALSE),"0")</f>
        <v>3.09</v>
      </c>
    </row>
    <row r="444" spans="1:4" x14ac:dyDescent="0.35">
      <c r="A444" t="s">
        <v>475</v>
      </c>
      <c r="B444" t="s">
        <v>37</v>
      </c>
      <c r="C444" t="str">
        <f>IFERROR(VLOOKUP(B444,'Cleaned Trainer Data'!$A$2:$E$9,2,FALSE),"No Trainer Assigned")</f>
        <v>No Trainer Assigned</v>
      </c>
      <c r="D444" t="str">
        <f>IFERROR(VLOOKUP(B444,'Cleaned Trainer Data'!$A$2:$E$11,4,FALSE),"0")</f>
        <v>0</v>
      </c>
    </row>
    <row r="445" spans="1:4" x14ac:dyDescent="0.35">
      <c r="A445" t="s">
        <v>476</v>
      </c>
      <c r="B445" t="s">
        <v>27</v>
      </c>
      <c r="C445" t="str">
        <f>IFERROR(VLOOKUP(B445,'Cleaned Trainer Data'!$A$2:$E$9,2,FALSE),"No Trainer Assigned")</f>
        <v>Joseph</v>
      </c>
      <c r="D445">
        <f>IFERROR(VLOOKUP(B445,'Cleaned Trainer Data'!$A$2:$E$11,4,FALSE),"0")</f>
        <v>4.58</v>
      </c>
    </row>
    <row r="446" spans="1:4" x14ac:dyDescent="0.35">
      <c r="A446" t="s">
        <v>477</v>
      </c>
      <c r="B446" t="s">
        <v>14</v>
      </c>
      <c r="C446" t="str">
        <f>IFERROR(VLOOKUP(B446,'Cleaned Trainer Data'!$A$2:$E$9,2,FALSE),"No Trainer Assigned")</f>
        <v>Vishal</v>
      </c>
      <c r="D446">
        <f>IFERROR(VLOOKUP(B446,'Cleaned Trainer Data'!$A$2:$E$11,4,FALSE),"0")</f>
        <v>3.09</v>
      </c>
    </row>
    <row r="447" spans="1:4" x14ac:dyDescent="0.35">
      <c r="A447" t="s">
        <v>478</v>
      </c>
      <c r="B447" t="s">
        <v>18</v>
      </c>
      <c r="C447" t="str">
        <f>IFERROR(VLOOKUP(B447,'Cleaned Trainer Data'!$A$2:$E$9,2,FALSE),"No Trainer Assigned")</f>
        <v>Meera</v>
      </c>
      <c r="D447">
        <f>IFERROR(VLOOKUP(B447,'Cleaned Trainer Data'!$A$2:$E$11,4,FALSE),"0")</f>
        <v>4.75</v>
      </c>
    </row>
    <row r="448" spans="1:4" x14ac:dyDescent="0.35">
      <c r="A448" t="s">
        <v>479</v>
      </c>
      <c r="B448" t="s">
        <v>14</v>
      </c>
      <c r="C448" t="str">
        <f>IFERROR(VLOOKUP(B448,'Cleaned Trainer Data'!$A$2:$E$9,2,FALSE),"No Trainer Assigned")</f>
        <v>Vishal</v>
      </c>
      <c r="D448">
        <f>IFERROR(VLOOKUP(B448,'Cleaned Trainer Data'!$A$2:$E$11,4,FALSE),"0")</f>
        <v>3.09</v>
      </c>
    </row>
    <row r="449" spans="1:4" x14ac:dyDescent="0.35">
      <c r="A449" t="s">
        <v>480</v>
      </c>
      <c r="B449" t="s">
        <v>10</v>
      </c>
      <c r="C449" t="str">
        <f>IFERROR(VLOOKUP(B449,'Cleaned Trainer Data'!$A$2:$E$9,2,FALSE),"No Trainer Assigned")</f>
        <v>Arun</v>
      </c>
      <c r="D449">
        <f>IFERROR(VLOOKUP(B449,'Cleaned Trainer Data'!$A$2:$E$11,4,FALSE),"0")</f>
        <v>4.3</v>
      </c>
    </row>
    <row r="450" spans="1:4" x14ac:dyDescent="0.35">
      <c r="A450" t="s">
        <v>481</v>
      </c>
      <c r="B450" t="s">
        <v>37</v>
      </c>
      <c r="C450" t="str">
        <f>IFERROR(VLOOKUP(B450,'Cleaned Trainer Data'!$A$2:$E$9,2,FALSE),"No Trainer Assigned")</f>
        <v>No Trainer Assigned</v>
      </c>
      <c r="D450" t="str">
        <f>IFERROR(VLOOKUP(B450,'Cleaned Trainer Data'!$A$2:$E$11,4,FALSE),"0")</f>
        <v>0</v>
      </c>
    </row>
    <row r="451" spans="1:4" x14ac:dyDescent="0.35">
      <c r="A451" t="s">
        <v>482</v>
      </c>
      <c r="B451" t="s">
        <v>10</v>
      </c>
      <c r="C451" t="str">
        <f>IFERROR(VLOOKUP(B451,'Cleaned Trainer Data'!$A$2:$E$9,2,FALSE),"No Trainer Assigned")</f>
        <v>Arun</v>
      </c>
      <c r="D451">
        <f>IFERROR(VLOOKUP(B451,'Cleaned Trainer Data'!$A$2:$E$11,4,FALSE),"0")</f>
        <v>4.3</v>
      </c>
    </row>
    <row r="452" spans="1:4" x14ac:dyDescent="0.35">
      <c r="A452" t="s">
        <v>483</v>
      </c>
      <c r="B452" t="s">
        <v>10</v>
      </c>
      <c r="C452" t="str">
        <f>IFERROR(VLOOKUP(B452,'Cleaned Trainer Data'!$A$2:$E$9,2,FALSE),"No Trainer Assigned")</f>
        <v>Arun</v>
      </c>
      <c r="D452">
        <f>IFERROR(VLOOKUP(B452,'Cleaned Trainer Data'!$A$2:$E$11,4,FALSE),"0")</f>
        <v>4.3</v>
      </c>
    </row>
    <row r="453" spans="1:4" x14ac:dyDescent="0.35">
      <c r="A453" t="s">
        <v>484</v>
      </c>
      <c r="B453" t="s">
        <v>18</v>
      </c>
      <c r="C453" t="str">
        <f>IFERROR(VLOOKUP(B453,'Cleaned Trainer Data'!$A$2:$E$9,2,FALSE),"No Trainer Assigned")</f>
        <v>Meera</v>
      </c>
      <c r="D453">
        <f>IFERROR(VLOOKUP(B453,'Cleaned Trainer Data'!$A$2:$E$11,4,FALSE),"0")</f>
        <v>4.75</v>
      </c>
    </row>
    <row r="454" spans="1:4" x14ac:dyDescent="0.35">
      <c r="A454" t="s">
        <v>485</v>
      </c>
      <c r="B454" t="s">
        <v>37</v>
      </c>
      <c r="C454" t="str">
        <f>IFERROR(VLOOKUP(B454,'Cleaned Trainer Data'!$A$2:$E$9,2,FALSE),"No Trainer Assigned")</f>
        <v>No Trainer Assigned</v>
      </c>
      <c r="D454" t="str">
        <f>IFERROR(VLOOKUP(B454,'Cleaned Trainer Data'!$A$2:$E$11,4,FALSE),"0")</f>
        <v>0</v>
      </c>
    </row>
    <row r="455" spans="1:4" x14ac:dyDescent="0.35">
      <c r="A455" t="s">
        <v>486</v>
      </c>
      <c r="B455" t="s">
        <v>37</v>
      </c>
      <c r="C455" t="str">
        <f>IFERROR(VLOOKUP(B455,'Cleaned Trainer Data'!$A$2:$E$9,2,FALSE),"No Trainer Assigned")</f>
        <v>No Trainer Assigned</v>
      </c>
      <c r="D455" t="str">
        <f>IFERROR(VLOOKUP(B455,'Cleaned Trainer Data'!$A$2:$E$11,4,FALSE),"0")</f>
        <v>0</v>
      </c>
    </row>
    <row r="456" spans="1:4" x14ac:dyDescent="0.35">
      <c r="A456" t="s">
        <v>487</v>
      </c>
      <c r="B456" t="s">
        <v>37</v>
      </c>
      <c r="C456" t="str">
        <f>IFERROR(VLOOKUP(B456,'Cleaned Trainer Data'!$A$2:$E$9,2,FALSE),"No Trainer Assigned")</f>
        <v>No Trainer Assigned</v>
      </c>
      <c r="D456" t="str">
        <f>IFERROR(VLOOKUP(B456,'Cleaned Trainer Data'!$A$2:$E$11,4,FALSE),"0")</f>
        <v>0</v>
      </c>
    </row>
    <row r="457" spans="1:4" x14ac:dyDescent="0.35">
      <c r="A457" t="s">
        <v>488</v>
      </c>
      <c r="B457" t="s">
        <v>37</v>
      </c>
      <c r="C457" t="str">
        <f>IFERROR(VLOOKUP(B457,'Cleaned Trainer Data'!$A$2:$E$9,2,FALSE),"No Trainer Assigned")</f>
        <v>No Trainer Assigned</v>
      </c>
      <c r="D457" t="str">
        <f>IFERROR(VLOOKUP(B457,'Cleaned Trainer Data'!$A$2:$E$11,4,FALSE),"0")</f>
        <v>0</v>
      </c>
    </row>
    <row r="458" spans="1:4" x14ac:dyDescent="0.35">
      <c r="A458" t="s">
        <v>489</v>
      </c>
      <c r="B458" t="s">
        <v>37</v>
      </c>
      <c r="C458" t="str">
        <f>IFERROR(VLOOKUP(B458,'Cleaned Trainer Data'!$A$2:$E$9,2,FALSE),"No Trainer Assigned")</f>
        <v>No Trainer Assigned</v>
      </c>
      <c r="D458" t="str">
        <f>IFERROR(VLOOKUP(B458,'Cleaned Trainer Data'!$A$2:$E$11,4,FALSE),"0")</f>
        <v>0</v>
      </c>
    </row>
    <row r="459" spans="1:4" x14ac:dyDescent="0.35">
      <c r="A459" t="s">
        <v>490</v>
      </c>
      <c r="B459" t="s">
        <v>18</v>
      </c>
      <c r="C459" t="str">
        <f>IFERROR(VLOOKUP(B459,'Cleaned Trainer Data'!$A$2:$E$9,2,FALSE),"No Trainer Assigned")</f>
        <v>Meera</v>
      </c>
      <c r="D459">
        <f>IFERROR(VLOOKUP(B459,'Cleaned Trainer Data'!$A$2:$E$11,4,FALSE),"0")</f>
        <v>4.75</v>
      </c>
    </row>
    <row r="460" spans="1:4" x14ac:dyDescent="0.35">
      <c r="A460" t="s">
        <v>491</v>
      </c>
      <c r="B460" t="s">
        <v>14</v>
      </c>
      <c r="C460" t="str">
        <f>IFERROR(VLOOKUP(B460,'Cleaned Trainer Data'!$A$2:$E$9,2,FALSE),"No Trainer Assigned")</f>
        <v>Vishal</v>
      </c>
      <c r="D460">
        <f>IFERROR(VLOOKUP(B460,'Cleaned Trainer Data'!$A$2:$E$11,4,FALSE),"0")</f>
        <v>3.09</v>
      </c>
    </row>
    <row r="461" spans="1:4" x14ac:dyDescent="0.35">
      <c r="A461" t="s">
        <v>492</v>
      </c>
      <c r="B461" t="s">
        <v>10</v>
      </c>
      <c r="C461" t="str">
        <f>IFERROR(VLOOKUP(B461,'Cleaned Trainer Data'!$A$2:$E$9,2,FALSE),"No Trainer Assigned")</f>
        <v>Arun</v>
      </c>
      <c r="D461">
        <f>IFERROR(VLOOKUP(B461,'Cleaned Trainer Data'!$A$2:$E$11,4,FALSE),"0")</f>
        <v>4.3</v>
      </c>
    </row>
    <row r="462" spans="1:4" x14ac:dyDescent="0.35">
      <c r="A462" t="s">
        <v>493</v>
      </c>
      <c r="B462" t="s">
        <v>37</v>
      </c>
      <c r="C462" t="str">
        <f>IFERROR(VLOOKUP(B462,'Cleaned Trainer Data'!$A$2:$E$9,2,FALSE),"No Trainer Assigned")</f>
        <v>No Trainer Assigned</v>
      </c>
      <c r="D462" t="str">
        <f>IFERROR(VLOOKUP(B462,'Cleaned Trainer Data'!$A$2:$E$11,4,FALSE),"0")</f>
        <v>0</v>
      </c>
    </row>
    <row r="463" spans="1:4" x14ac:dyDescent="0.35">
      <c r="A463" t="s">
        <v>494</v>
      </c>
      <c r="B463" t="s">
        <v>14</v>
      </c>
      <c r="C463" t="str">
        <f>IFERROR(VLOOKUP(B463,'Cleaned Trainer Data'!$A$2:$E$9,2,FALSE),"No Trainer Assigned")</f>
        <v>Vishal</v>
      </c>
      <c r="D463">
        <f>IFERROR(VLOOKUP(B463,'Cleaned Trainer Data'!$A$2:$E$11,4,FALSE),"0")</f>
        <v>3.09</v>
      </c>
    </row>
    <row r="464" spans="1:4" x14ac:dyDescent="0.35">
      <c r="A464" t="s">
        <v>495</v>
      </c>
      <c r="B464" t="s">
        <v>14</v>
      </c>
      <c r="C464" t="str">
        <f>IFERROR(VLOOKUP(B464,'Cleaned Trainer Data'!$A$2:$E$9,2,FALSE),"No Trainer Assigned")</f>
        <v>Vishal</v>
      </c>
      <c r="D464">
        <f>IFERROR(VLOOKUP(B464,'Cleaned Trainer Data'!$A$2:$E$11,4,FALSE),"0")</f>
        <v>3.09</v>
      </c>
    </row>
    <row r="465" spans="1:4" x14ac:dyDescent="0.35">
      <c r="A465" t="s">
        <v>496</v>
      </c>
      <c r="B465" t="s">
        <v>10</v>
      </c>
      <c r="C465" t="str">
        <f>IFERROR(VLOOKUP(B465,'Cleaned Trainer Data'!$A$2:$E$9,2,FALSE),"No Trainer Assigned")</f>
        <v>Arun</v>
      </c>
      <c r="D465">
        <f>IFERROR(VLOOKUP(B465,'Cleaned Trainer Data'!$A$2:$E$11,4,FALSE),"0")</f>
        <v>4.3</v>
      </c>
    </row>
    <row r="466" spans="1:4" x14ac:dyDescent="0.35">
      <c r="A466" t="s">
        <v>497</v>
      </c>
      <c r="B466" t="s">
        <v>18</v>
      </c>
      <c r="C466" t="str">
        <f>IFERROR(VLOOKUP(B466,'Cleaned Trainer Data'!$A$2:$E$9,2,FALSE),"No Trainer Assigned")</f>
        <v>Meera</v>
      </c>
      <c r="D466">
        <f>IFERROR(VLOOKUP(B466,'Cleaned Trainer Data'!$A$2:$E$11,4,FALSE),"0")</f>
        <v>4.75</v>
      </c>
    </row>
    <row r="467" spans="1:4" x14ac:dyDescent="0.35">
      <c r="A467" t="s">
        <v>498</v>
      </c>
      <c r="B467" t="s">
        <v>21</v>
      </c>
      <c r="C467" t="str">
        <f>IFERROR(VLOOKUP(B467,'Cleaned Trainer Data'!$A$2:$E$9,2,FALSE),"No Trainer Assigned")</f>
        <v>Kavya</v>
      </c>
      <c r="D467">
        <f>IFERROR(VLOOKUP(B467,'Cleaned Trainer Data'!$A$2:$E$11,4,FALSE),"0")</f>
        <v>3.28</v>
      </c>
    </row>
    <row r="468" spans="1:4" x14ac:dyDescent="0.35">
      <c r="A468" t="s">
        <v>499</v>
      </c>
      <c r="B468" t="s">
        <v>21</v>
      </c>
      <c r="C468" t="str">
        <f>IFERROR(VLOOKUP(B468,'Cleaned Trainer Data'!$A$2:$E$9,2,FALSE),"No Trainer Assigned")</f>
        <v>Kavya</v>
      </c>
      <c r="D468">
        <f>IFERROR(VLOOKUP(B468,'Cleaned Trainer Data'!$A$2:$E$11,4,FALSE),"0")</f>
        <v>3.28</v>
      </c>
    </row>
    <row r="469" spans="1:4" x14ac:dyDescent="0.35">
      <c r="A469" t="s">
        <v>500</v>
      </c>
      <c r="B469" t="s">
        <v>14</v>
      </c>
      <c r="C469" t="str">
        <f>IFERROR(VLOOKUP(B469,'Cleaned Trainer Data'!$A$2:$E$9,2,FALSE),"No Trainer Assigned")</f>
        <v>Vishal</v>
      </c>
      <c r="D469">
        <f>IFERROR(VLOOKUP(B469,'Cleaned Trainer Data'!$A$2:$E$11,4,FALSE),"0")</f>
        <v>3.09</v>
      </c>
    </row>
    <row r="470" spans="1:4" x14ac:dyDescent="0.35">
      <c r="A470" t="s">
        <v>501</v>
      </c>
      <c r="B470" t="s">
        <v>27</v>
      </c>
      <c r="C470" t="str">
        <f>IFERROR(VLOOKUP(B470,'Cleaned Trainer Data'!$A$2:$E$9,2,FALSE),"No Trainer Assigned")</f>
        <v>Joseph</v>
      </c>
      <c r="D470">
        <f>IFERROR(VLOOKUP(B470,'Cleaned Trainer Data'!$A$2:$E$11,4,FALSE),"0")</f>
        <v>4.58</v>
      </c>
    </row>
    <row r="471" spans="1:4" x14ac:dyDescent="0.35">
      <c r="A471" t="s">
        <v>502</v>
      </c>
      <c r="B471" t="s">
        <v>27</v>
      </c>
      <c r="C471" t="str">
        <f>IFERROR(VLOOKUP(B471,'Cleaned Trainer Data'!$A$2:$E$9,2,FALSE),"No Trainer Assigned")</f>
        <v>Joseph</v>
      </c>
      <c r="D471">
        <f>IFERROR(VLOOKUP(B471,'Cleaned Trainer Data'!$A$2:$E$11,4,FALSE),"0")</f>
        <v>4.58</v>
      </c>
    </row>
    <row r="472" spans="1:4" x14ac:dyDescent="0.35">
      <c r="A472" t="s">
        <v>503</v>
      </c>
      <c r="B472" t="s">
        <v>10</v>
      </c>
      <c r="C472" t="str">
        <f>IFERROR(VLOOKUP(B472,'Cleaned Trainer Data'!$A$2:$E$9,2,FALSE),"No Trainer Assigned")</f>
        <v>Arun</v>
      </c>
      <c r="D472">
        <f>IFERROR(VLOOKUP(B472,'Cleaned Trainer Data'!$A$2:$E$11,4,FALSE),"0")</f>
        <v>4.3</v>
      </c>
    </row>
    <row r="473" spans="1:4" x14ac:dyDescent="0.35">
      <c r="A473" t="s">
        <v>504</v>
      </c>
      <c r="B473" t="s">
        <v>21</v>
      </c>
      <c r="C473" t="str">
        <f>IFERROR(VLOOKUP(B473,'Cleaned Trainer Data'!$A$2:$E$9,2,FALSE),"No Trainer Assigned")</f>
        <v>Kavya</v>
      </c>
      <c r="D473">
        <f>IFERROR(VLOOKUP(B473,'Cleaned Trainer Data'!$A$2:$E$11,4,FALSE),"0")</f>
        <v>3.28</v>
      </c>
    </row>
    <row r="474" spans="1:4" x14ac:dyDescent="0.35">
      <c r="A474" t="s">
        <v>505</v>
      </c>
      <c r="B474" t="s">
        <v>14</v>
      </c>
      <c r="C474" t="str">
        <f>IFERROR(VLOOKUP(B474,'Cleaned Trainer Data'!$A$2:$E$9,2,FALSE),"No Trainer Assigned")</f>
        <v>Vishal</v>
      </c>
      <c r="D474">
        <f>IFERROR(VLOOKUP(B474,'Cleaned Trainer Data'!$A$2:$E$11,4,FALSE),"0")</f>
        <v>3.09</v>
      </c>
    </row>
    <row r="475" spans="1:4" x14ac:dyDescent="0.35">
      <c r="A475" t="s">
        <v>506</v>
      </c>
      <c r="B475" t="s">
        <v>18</v>
      </c>
      <c r="C475" t="str">
        <f>IFERROR(VLOOKUP(B475,'Cleaned Trainer Data'!$A$2:$E$9,2,FALSE),"No Trainer Assigned")</f>
        <v>Meera</v>
      </c>
      <c r="D475">
        <f>IFERROR(VLOOKUP(B475,'Cleaned Trainer Data'!$A$2:$E$11,4,FALSE),"0")</f>
        <v>4.75</v>
      </c>
    </row>
    <row r="476" spans="1:4" x14ac:dyDescent="0.35">
      <c r="A476" t="s">
        <v>507</v>
      </c>
      <c r="B476" t="s">
        <v>21</v>
      </c>
      <c r="C476" t="str">
        <f>IFERROR(VLOOKUP(B476,'Cleaned Trainer Data'!$A$2:$E$9,2,FALSE),"No Trainer Assigned")</f>
        <v>Kavya</v>
      </c>
      <c r="D476">
        <f>IFERROR(VLOOKUP(B476,'Cleaned Trainer Data'!$A$2:$E$11,4,FALSE),"0")</f>
        <v>3.28</v>
      </c>
    </row>
    <row r="477" spans="1:4" x14ac:dyDescent="0.35">
      <c r="A477" t="s">
        <v>508</v>
      </c>
      <c r="B477" t="s">
        <v>14</v>
      </c>
      <c r="C477" t="str">
        <f>IFERROR(VLOOKUP(B477,'Cleaned Trainer Data'!$A$2:$E$9,2,FALSE),"No Trainer Assigned")</f>
        <v>Vishal</v>
      </c>
      <c r="D477">
        <f>IFERROR(VLOOKUP(B477,'Cleaned Trainer Data'!$A$2:$E$11,4,FALSE),"0")</f>
        <v>3.09</v>
      </c>
    </row>
    <row r="478" spans="1:4" x14ac:dyDescent="0.35">
      <c r="A478" t="s">
        <v>509</v>
      </c>
      <c r="B478" t="s">
        <v>14</v>
      </c>
      <c r="C478" t="str">
        <f>IFERROR(VLOOKUP(B478,'Cleaned Trainer Data'!$A$2:$E$9,2,FALSE),"No Trainer Assigned")</f>
        <v>Vishal</v>
      </c>
      <c r="D478">
        <f>IFERROR(VLOOKUP(B478,'Cleaned Trainer Data'!$A$2:$E$11,4,FALSE),"0")</f>
        <v>3.09</v>
      </c>
    </row>
    <row r="479" spans="1:4" x14ac:dyDescent="0.35">
      <c r="A479" t="s">
        <v>510</v>
      </c>
      <c r="B479" t="s">
        <v>37</v>
      </c>
      <c r="C479" t="str">
        <f>IFERROR(VLOOKUP(B479,'Cleaned Trainer Data'!$A$2:$E$9,2,FALSE),"No Trainer Assigned")</f>
        <v>No Trainer Assigned</v>
      </c>
      <c r="D479" t="str">
        <f>IFERROR(VLOOKUP(B479,'Cleaned Trainer Data'!$A$2:$E$11,4,FALSE),"0")</f>
        <v>0</v>
      </c>
    </row>
    <row r="480" spans="1:4" x14ac:dyDescent="0.35">
      <c r="A480" t="s">
        <v>511</v>
      </c>
      <c r="B480" t="s">
        <v>18</v>
      </c>
      <c r="C480" t="str">
        <f>IFERROR(VLOOKUP(B480,'Cleaned Trainer Data'!$A$2:$E$9,2,FALSE),"No Trainer Assigned")</f>
        <v>Meera</v>
      </c>
      <c r="D480">
        <f>IFERROR(VLOOKUP(B480,'Cleaned Trainer Data'!$A$2:$E$11,4,FALSE),"0")</f>
        <v>4.75</v>
      </c>
    </row>
    <row r="481" spans="1:4" x14ac:dyDescent="0.35">
      <c r="A481" t="s">
        <v>512</v>
      </c>
      <c r="B481" t="s">
        <v>37</v>
      </c>
      <c r="C481" t="str">
        <f>IFERROR(VLOOKUP(B481,'Cleaned Trainer Data'!$A$2:$E$9,2,FALSE),"No Trainer Assigned")</f>
        <v>No Trainer Assigned</v>
      </c>
      <c r="D481" t="str">
        <f>IFERROR(VLOOKUP(B481,'Cleaned Trainer Data'!$A$2:$E$11,4,FALSE),"0")</f>
        <v>0</v>
      </c>
    </row>
    <row r="482" spans="1:4" x14ac:dyDescent="0.35">
      <c r="A482" t="s">
        <v>513</v>
      </c>
      <c r="B482" t="s">
        <v>10</v>
      </c>
      <c r="C482" t="str">
        <f>IFERROR(VLOOKUP(B482,'Cleaned Trainer Data'!$A$2:$E$9,2,FALSE),"No Trainer Assigned")</f>
        <v>Arun</v>
      </c>
      <c r="D482">
        <f>IFERROR(VLOOKUP(B482,'Cleaned Trainer Data'!$A$2:$E$11,4,FALSE),"0")</f>
        <v>4.3</v>
      </c>
    </row>
    <row r="483" spans="1:4" x14ac:dyDescent="0.35">
      <c r="A483" t="s">
        <v>514</v>
      </c>
      <c r="B483" t="s">
        <v>37</v>
      </c>
      <c r="C483" t="str">
        <f>IFERROR(VLOOKUP(B483,'Cleaned Trainer Data'!$A$2:$E$9,2,FALSE),"No Trainer Assigned")</f>
        <v>No Trainer Assigned</v>
      </c>
      <c r="D483" t="str">
        <f>IFERROR(VLOOKUP(B483,'Cleaned Trainer Data'!$A$2:$E$11,4,FALSE),"0")</f>
        <v>0</v>
      </c>
    </row>
    <row r="484" spans="1:4" x14ac:dyDescent="0.35">
      <c r="A484" t="s">
        <v>515</v>
      </c>
      <c r="B484" t="s">
        <v>37</v>
      </c>
      <c r="C484" t="str">
        <f>IFERROR(VLOOKUP(B484,'Cleaned Trainer Data'!$A$2:$E$9,2,FALSE),"No Trainer Assigned")</f>
        <v>No Trainer Assigned</v>
      </c>
      <c r="D484" t="str">
        <f>IFERROR(VLOOKUP(B484,'Cleaned Trainer Data'!$A$2:$E$11,4,FALSE),"0")</f>
        <v>0</v>
      </c>
    </row>
    <row r="485" spans="1:4" x14ac:dyDescent="0.35">
      <c r="A485" t="s">
        <v>516</v>
      </c>
      <c r="B485" t="s">
        <v>21</v>
      </c>
      <c r="C485" t="str">
        <f>IFERROR(VLOOKUP(B485,'Cleaned Trainer Data'!$A$2:$E$9,2,FALSE),"No Trainer Assigned")</f>
        <v>Kavya</v>
      </c>
      <c r="D485">
        <f>IFERROR(VLOOKUP(B485,'Cleaned Trainer Data'!$A$2:$E$11,4,FALSE),"0")</f>
        <v>3.28</v>
      </c>
    </row>
    <row r="486" spans="1:4" x14ac:dyDescent="0.35">
      <c r="A486" t="s">
        <v>517</v>
      </c>
      <c r="B486" t="s">
        <v>27</v>
      </c>
      <c r="C486" t="str">
        <f>IFERROR(VLOOKUP(B486,'Cleaned Trainer Data'!$A$2:$E$9,2,FALSE),"No Trainer Assigned")</f>
        <v>Joseph</v>
      </c>
      <c r="D486">
        <f>IFERROR(VLOOKUP(B486,'Cleaned Trainer Data'!$A$2:$E$11,4,FALSE),"0")</f>
        <v>4.58</v>
      </c>
    </row>
    <row r="487" spans="1:4" x14ac:dyDescent="0.35">
      <c r="A487" t="s">
        <v>518</v>
      </c>
      <c r="B487" t="s">
        <v>14</v>
      </c>
      <c r="C487" t="str">
        <f>IFERROR(VLOOKUP(B487,'Cleaned Trainer Data'!$A$2:$E$9,2,FALSE),"No Trainer Assigned")</f>
        <v>Vishal</v>
      </c>
      <c r="D487">
        <f>IFERROR(VLOOKUP(B487,'Cleaned Trainer Data'!$A$2:$E$11,4,FALSE),"0")</f>
        <v>3.09</v>
      </c>
    </row>
    <row r="488" spans="1:4" x14ac:dyDescent="0.35">
      <c r="A488" t="s">
        <v>519</v>
      </c>
      <c r="B488" t="s">
        <v>18</v>
      </c>
      <c r="C488" t="str">
        <f>IFERROR(VLOOKUP(B488,'Cleaned Trainer Data'!$A$2:$E$9,2,FALSE),"No Trainer Assigned")</f>
        <v>Meera</v>
      </c>
      <c r="D488">
        <f>IFERROR(VLOOKUP(B488,'Cleaned Trainer Data'!$A$2:$E$11,4,FALSE),"0")</f>
        <v>4.75</v>
      </c>
    </row>
    <row r="489" spans="1:4" x14ac:dyDescent="0.35">
      <c r="A489" t="s">
        <v>520</v>
      </c>
      <c r="B489" t="s">
        <v>37</v>
      </c>
      <c r="C489" t="str">
        <f>IFERROR(VLOOKUP(B489,'Cleaned Trainer Data'!$A$2:$E$9,2,FALSE),"No Trainer Assigned")</f>
        <v>No Trainer Assigned</v>
      </c>
      <c r="D489" t="str">
        <f>IFERROR(VLOOKUP(B489,'Cleaned Trainer Data'!$A$2:$E$11,4,FALSE),"0")</f>
        <v>0</v>
      </c>
    </row>
    <row r="490" spans="1:4" x14ac:dyDescent="0.35">
      <c r="A490" t="s">
        <v>521</v>
      </c>
      <c r="B490" t="s">
        <v>18</v>
      </c>
      <c r="C490" t="str">
        <f>IFERROR(VLOOKUP(B490,'Cleaned Trainer Data'!$A$2:$E$9,2,FALSE),"No Trainer Assigned")</f>
        <v>Meera</v>
      </c>
      <c r="D490">
        <f>IFERROR(VLOOKUP(B490,'Cleaned Trainer Data'!$A$2:$E$11,4,FALSE),"0")</f>
        <v>4.75</v>
      </c>
    </row>
    <row r="491" spans="1:4" x14ac:dyDescent="0.35">
      <c r="A491" t="s">
        <v>522</v>
      </c>
      <c r="B491" t="s">
        <v>27</v>
      </c>
      <c r="C491" t="str">
        <f>IFERROR(VLOOKUP(B491,'Cleaned Trainer Data'!$A$2:$E$9,2,FALSE),"No Trainer Assigned")</f>
        <v>Joseph</v>
      </c>
      <c r="D491">
        <f>IFERROR(VLOOKUP(B491,'Cleaned Trainer Data'!$A$2:$E$11,4,FALSE),"0")</f>
        <v>4.58</v>
      </c>
    </row>
    <row r="492" spans="1:4" x14ac:dyDescent="0.35">
      <c r="A492" t="s">
        <v>523</v>
      </c>
      <c r="B492" t="s">
        <v>27</v>
      </c>
      <c r="C492" t="str">
        <f>IFERROR(VLOOKUP(B492,'Cleaned Trainer Data'!$A$2:$E$9,2,FALSE),"No Trainer Assigned")</f>
        <v>Joseph</v>
      </c>
      <c r="D492">
        <f>IFERROR(VLOOKUP(B492,'Cleaned Trainer Data'!$A$2:$E$11,4,FALSE),"0")</f>
        <v>4.58</v>
      </c>
    </row>
    <row r="493" spans="1:4" x14ac:dyDescent="0.35">
      <c r="A493" t="s">
        <v>524</v>
      </c>
      <c r="B493" t="s">
        <v>37</v>
      </c>
      <c r="C493" t="str">
        <f>IFERROR(VLOOKUP(B493,'Cleaned Trainer Data'!$A$2:$E$9,2,FALSE),"No Trainer Assigned")</f>
        <v>No Trainer Assigned</v>
      </c>
      <c r="D493" t="str">
        <f>IFERROR(VLOOKUP(B493,'Cleaned Trainer Data'!$A$2:$E$11,4,FALSE),"0")</f>
        <v>0</v>
      </c>
    </row>
    <row r="494" spans="1:4" x14ac:dyDescent="0.35">
      <c r="A494" t="s">
        <v>525</v>
      </c>
      <c r="B494" t="s">
        <v>10</v>
      </c>
      <c r="C494" t="str">
        <f>IFERROR(VLOOKUP(B494,'Cleaned Trainer Data'!$A$2:$E$9,2,FALSE),"No Trainer Assigned")</f>
        <v>Arun</v>
      </c>
      <c r="D494">
        <f>IFERROR(VLOOKUP(B494,'Cleaned Trainer Data'!$A$2:$E$11,4,FALSE),"0")</f>
        <v>4.3</v>
      </c>
    </row>
    <row r="495" spans="1:4" x14ac:dyDescent="0.35">
      <c r="A495" t="s">
        <v>526</v>
      </c>
      <c r="B495" t="s">
        <v>37</v>
      </c>
      <c r="C495" t="str">
        <f>IFERROR(VLOOKUP(B495,'Cleaned Trainer Data'!$A$2:$E$9,2,FALSE),"No Trainer Assigned")</f>
        <v>No Trainer Assigned</v>
      </c>
      <c r="D495" t="str">
        <f>IFERROR(VLOOKUP(B495,'Cleaned Trainer Data'!$A$2:$E$11,4,FALSE),"0")</f>
        <v>0</v>
      </c>
    </row>
    <row r="496" spans="1:4" x14ac:dyDescent="0.35">
      <c r="A496" t="s">
        <v>527</v>
      </c>
      <c r="B496" t="s">
        <v>21</v>
      </c>
      <c r="C496" t="str">
        <f>IFERROR(VLOOKUP(B496,'Cleaned Trainer Data'!$A$2:$E$9,2,FALSE),"No Trainer Assigned")</f>
        <v>Kavya</v>
      </c>
      <c r="D496">
        <f>IFERROR(VLOOKUP(B496,'Cleaned Trainer Data'!$A$2:$E$11,4,FALSE),"0")</f>
        <v>3.28</v>
      </c>
    </row>
    <row r="497" spans="1:4" x14ac:dyDescent="0.35">
      <c r="A497" t="s">
        <v>528</v>
      </c>
      <c r="B497" t="s">
        <v>14</v>
      </c>
      <c r="C497" t="str">
        <f>IFERROR(VLOOKUP(B497,'Cleaned Trainer Data'!$A$2:$E$9,2,FALSE),"No Trainer Assigned")</f>
        <v>Vishal</v>
      </c>
      <c r="D497">
        <f>IFERROR(VLOOKUP(B497,'Cleaned Trainer Data'!$A$2:$E$11,4,FALSE),"0")</f>
        <v>3.09</v>
      </c>
    </row>
    <row r="498" spans="1:4" x14ac:dyDescent="0.35">
      <c r="A498" t="s">
        <v>529</v>
      </c>
      <c r="B498" t="s">
        <v>10</v>
      </c>
      <c r="C498" t="str">
        <f>IFERROR(VLOOKUP(B498,'Cleaned Trainer Data'!$A$2:$E$9,2,FALSE),"No Trainer Assigned")</f>
        <v>Arun</v>
      </c>
      <c r="D498">
        <f>IFERROR(VLOOKUP(B498,'Cleaned Trainer Data'!$A$2:$E$11,4,FALSE),"0")</f>
        <v>4.3</v>
      </c>
    </row>
    <row r="499" spans="1:4" x14ac:dyDescent="0.35">
      <c r="A499" t="s">
        <v>530</v>
      </c>
      <c r="B499" t="s">
        <v>37</v>
      </c>
      <c r="C499" t="str">
        <f>IFERROR(VLOOKUP(B499,'Cleaned Trainer Data'!$A$2:$E$9,2,FALSE),"No Trainer Assigned")</f>
        <v>No Trainer Assigned</v>
      </c>
      <c r="D499" t="str">
        <f>IFERROR(VLOOKUP(B499,'Cleaned Trainer Data'!$A$2:$E$11,4,FALSE),"0")</f>
        <v>0</v>
      </c>
    </row>
    <row r="500" spans="1:4" x14ac:dyDescent="0.35">
      <c r="A500" t="s">
        <v>531</v>
      </c>
      <c r="B500" t="s">
        <v>18</v>
      </c>
      <c r="C500" t="str">
        <f>IFERROR(VLOOKUP(B500,'Cleaned Trainer Data'!$A$2:$E$9,2,FALSE),"No Trainer Assigned")</f>
        <v>Meera</v>
      </c>
      <c r="D500">
        <f>IFERROR(VLOOKUP(B500,'Cleaned Trainer Data'!$A$2:$E$11,4,FALSE),"0")</f>
        <v>4.75</v>
      </c>
    </row>
    <row r="501" spans="1:4" x14ac:dyDescent="0.35">
      <c r="A501" t="s">
        <v>532</v>
      </c>
      <c r="B501" t="s">
        <v>10</v>
      </c>
      <c r="C501" t="str">
        <f>IFERROR(VLOOKUP(B501,'Cleaned Trainer Data'!$A$2:$E$9,2,FALSE),"No Trainer Assigned")</f>
        <v>Arun</v>
      </c>
      <c r="D501">
        <f>IFERROR(VLOOKUP(B501,'Cleaned Trainer Data'!$A$2:$E$11,4,FALSE),"0")</f>
        <v>4.3</v>
      </c>
    </row>
    <row r="502" spans="1:4" x14ac:dyDescent="0.35">
      <c r="A502" t="s">
        <v>533</v>
      </c>
      <c r="B502" t="s">
        <v>10</v>
      </c>
      <c r="C502" t="str">
        <f>IFERROR(VLOOKUP(B502,'Cleaned Trainer Data'!$A$2:$E$9,2,FALSE),"No Trainer Assigned")</f>
        <v>Arun</v>
      </c>
      <c r="D502">
        <f>IFERROR(VLOOKUP(B502,'Cleaned Trainer Data'!$A$2:$E$11,4,FALSE),"0")</f>
        <v>4.3</v>
      </c>
    </row>
    <row r="503" spans="1:4" x14ac:dyDescent="0.35">
      <c r="A503" t="s">
        <v>534</v>
      </c>
      <c r="B503" t="s">
        <v>37</v>
      </c>
      <c r="C503" t="str">
        <f>IFERROR(VLOOKUP(B503,'Cleaned Trainer Data'!$A$2:$E$9,2,FALSE),"No Trainer Assigned")</f>
        <v>No Trainer Assigned</v>
      </c>
      <c r="D503" t="str">
        <f>IFERROR(VLOOKUP(B503,'Cleaned Trainer Data'!$A$2:$E$11,4,FALSE),"0")</f>
        <v>0</v>
      </c>
    </row>
    <row r="504" spans="1:4" x14ac:dyDescent="0.35">
      <c r="A504" t="s">
        <v>535</v>
      </c>
      <c r="B504" t="s">
        <v>10</v>
      </c>
      <c r="C504" t="str">
        <f>IFERROR(VLOOKUP(B504,'Cleaned Trainer Data'!$A$2:$E$9,2,FALSE),"No Trainer Assigned")</f>
        <v>Arun</v>
      </c>
      <c r="D504">
        <f>IFERROR(VLOOKUP(B504,'Cleaned Trainer Data'!$A$2:$E$11,4,FALSE),"0")</f>
        <v>4.3</v>
      </c>
    </row>
    <row r="505" spans="1:4" x14ac:dyDescent="0.35">
      <c r="A505" t="s">
        <v>536</v>
      </c>
      <c r="B505" t="s">
        <v>18</v>
      </c>
      <c r="C505" t="str">
        <f>IFERROR(VLOOKUP(B505,'Cleaned Trainer Data'!$A$2:$E$9,2,FALSE),"No Trainer Assigned")</f>
        <v>Meera</v>
      </c>
      <c r="D505">
        <f>IFERROR(VLOOKUP(B505,'Cleaned Trainer Data'!$A$2:$E$11,4,FALSE),"0")</f>
        <v>4.75</v>
      </c>
    </row>
    <row r="506" spans="1:4" x14ac:dyDescent="0.35">
      <c r="A506" t="s">
        <v>537</v>
      </c>
      <c r="B506" t="s">
        <v>27</v>
      </c>
      <c r="C506" t="str">
        <f>IFERROR(VLOOKUP(B506,'Cleaned Trainer Data'!$A$2:$E$9,2,FALSE),"No Trainer Assigned")</f>
        <v>Joseph</v>
      </c>
      <c r="D506">
        <f>IFERROR(VLOOKUP(B506,'Cleaned Trainer Data'!$A$2:$E$11,4,FALSE),"0")</f>
        <v>4.58</v>
      </c>
    </row>
    <row r="507" spans="1:4" x14ac:dyDescent="0.35">
      <c r="A507" t="s">
        <v>538</v>
      </c>
      <c r="B507" t="s">
        <v>10</v>
      </c>
      <c r="C507" t="str">
        <f>IFERROR(VLOOKUP(B507,'Cleaned Trainer Data'!$A$2:$E$9,2,FALSE),"No Trainer Assigned")</f>
        <v>Arun</v>
      </c>
      <c r="D507">
        <f>IFERROR(VLOOKUP(B507,'Cleaned Trainer Data'!$A$2:$E$11,4,FALSE),"0")</f>
        <v>4.3</v>
      </c>
    </row>
    <row r="508" spans="1:4" x14ac:dyDescent="0.35">
      <c r="A508" t="s">
        <v>539</v>
      </c>
      <c r="B508" t="s">
        <v>27</v>
      </c>
      <c r="C508" t="str">
        <f>IFERROR(VLOOKUP(B508,'Cleaned Trainer Data'!$A$2:$E$9,2,FALSE),"No Trainer Assigned")</f>
        <v>Joseph</v>
      </c>
      <c r="D508">
        <f>IFERROR(VLOOKUP(B508,'Cleaned Trainer Data'!$A$2:$E$11,4,FALSE),"0")</f>
        <v>4.58</v>
      </c>
    </row>
    <row r="509" spans="1:4" x14ac:dyDescent="0.35">
      <c r="A509" t="s">
        <v>540</v>
      </c>
      <c r="B509" t="s">
        <v>18</v>
      </c>
      <c r="C509" t="str">
        <f>IFERROR(VLOOKUP(B509,'Cleaned Trainer Data'!$A$2:$E$9,2,FALSE),"No Trainer Assigned")</f>
        <v>Meera</v>
      </c>
      <c r="D509">
        <f>IFERROR(VLOOKUP(B509,'Cleaned Trainer Data'!$A$2:$E$11,4,FALSE),"0")</f>
        <v>4.75</v>
      </c>
    </row>
    <row r="510" spans="1:4" x14ac:dyDescent="0.35">
      <c r="A510" t="s">
        <v>541</v>
      </c>
      <c r="B510" t="s">
        <v>37</v>
      </c>
      <c r="C510" t="str">
        <f>IFERROR(VLOOKUP(B510,'Cleaned Trainer Data'!$A$2:$E$9,2,FALSE),"No Trainer Assigned")</f>
        <v>No Trainer Assigned</v>
      </c>
      <c r="D510" t="str">
        <f>IFERROR(VLOOKUP(B510,'Cleaned Trainer Data'!$A$2:$E$11,4,FALSE),"0")</f>
        <v>0</v>
      </c>
    </row>
    <row r="511" spans="1:4" x14ac:dyDescent="0.35">
      <c r="A511" t="s">
        <v>542</v>
      </c>
      <c r="B511" t="s">
        <v>14</v>
      </c>
      <c r="C511" t="str">
        <f>IFERROR(VLOOKUP(B511,'Cleaned Trainer Data'!$A$2:$E$9,2,FALSE),"No Trainer Assigned")</f>
        <v>Vishal</v>
      </c>
      <c r="D511">
        <f>IFERROR(VLOOKUP(B511,'Cleaned Trainer Data'!$A$2:$E$11,4,FALSE),"0")</f>
        <v>3.09</v>
      </c>
    </row>
    <row r="512" spans="1:4" x14ac:dyDescent="0.35">
      <c r="A512" t="s">
        <v>543</v>
      </c>
      <c r="B512" t="s">
        <v>10</v>
      </c>
      <c r="C512" t="str">
        <f>IFERROR(VLOOKUP(B512,'Cleaned Trainer Data'!$A$2:$E$9,2,FALSE),"No Trainer Assigned")</f>
        <v>Arun</v>
      </c>
      <c r="D512">
        <f>IFERROR(VLOOKUP(B512,'Cleaned Trainer Data'!$A$2:$E$11,4,FALSE),"0")</f>
        <v>4.3</v>
      </c>
    </row>
    <row r="513" spans="1:4" x14ac:dyDescent="0.35">
      <c r="A513" t="s">
        <v>544</v>
      </c>
      <c r="B513" t="s">
        <v>14</v>
      </c>
      <c r="C513" t="str">
        <f>IFERROR(VLOOKUP(B513,'Cleaned Trainer Data'!$A$2:$E$9,2,FALSE),"No Trainer Assigned")</f>
        <v>Vishal</v>
      </c>
      <c r="D513">
        <f>IFERROR(VLOOKUP(B513,'Cleaned Trainer Data'!$A$2:$E$11,4,FALSE),"0")</f>
        <v>3.09</v>
      </c>
    </row>
    <row r="514" spans="1:4" x14ac:dyDescent="0.35">
      <c r="A514" t="s">
        <v>545</v>
      </c>
      <c r="B514" t="s">
        <v>18</v>
      </c>
      <c r="C514" t="str">
        <f>IFERROR(VLOOKUP(B514,'Cleaned Trainer Data'!$A$2:$E$9,2,FALSE),"No Trainer Assigned")</f>
        <v>Meera</v>
      </c>
      <c r="D514">
        <f>IFERROR(VLOOKUP(B514,'Cleaned Trainer Data'!$A$2:$E$11,4,FALSE),"0")</f>
        <v>4.75</v>
      </c>
    </row>
    <row r="515" spans="1:4" x14ac:dyDescent="0.35">
      <c r="A515" t="s">
        <v>546</v>
      </c>
      <c r="B515" t="s">
        <v>10</v>
      </c>
      <c r="C515" t="str">
        <f>IFERROR(VLOOKUP(B515,'Cleaned Trainer Data'!$A$2:$E$9,2,FALSE),"No Trainer Assigned")</f>
        <v>Arun</v>
      </c>
      <c r="D515">
        <f>IFERROR(VLOOKUP(B515,'Cleaned Trainer Data'!$A$2:$E$11,4,FALSE),"0")</f>
        <v>4.3</v>
      </c>
    </row>
    <row r="516" spans="1:4" x14ac:dyDescent="0.35">
      <c r="A516" t="s">
        <v>547</v>
      </c>
      <c r="B516" t="s">
        <v>27</v>
      </c>
      <c r="C516" t="str">
        <f>IFERROR(VLOOKUP(B516,'Cleaned Trainer Data'!$A$2:$E$9,2,FALSE),"No Trainer Assigned")</f>
        <v>Joseph</v>
      </c>
      <c r="D516">
        <f>IFERROR(VLOOKUP(B516,'Cleaned Trainer Data'!$A$2:$E$11,4,FALSE),"0")</f>
        <v>4.58</v>
      </c>
    </row>
    <row r="517" spans="1:4" x14ac:dyDescent="0.35">
      <c r="A517" t="s">
        <v>548</v>
      </c>
      <c r="B517" t="s">
        <v>21</v>
      </c>
      <c r="C517" t="str">
        <f>IFERROR(VLOOKUP(B517,'Cleaned Trainer Data'!$A$2:$E$9,2,FALSE),"No Trainer Assigned")</f>
        <v>Kavya</v>
      </c>
      <c r="D517">
        <f>IFERROR(VLOOKUP(B517,'Cleaned Trainer Data'!$A$2:$E$11,4,FALSE),"0")</f>
        <v>3.28</v>
      </c>
    </row>
    <row r="518" spans="1:4" x14ac:dyDescent="0.35">
      <c r="A518" t="s">
        <v>549</v>
      </c>
      <c r="B518" t="s">
        <v>14</v>
      </c>
      <c r="C518" t="str">
        <f>IFERROR(VLOOKUP(B518,'Cleaned Trainer Data'!$A$2:$E$9,2,FALSE),"No Trainer Assigned")</f>
        <v>Vishal</v>
      </c>
      <c r="D518">
        <f>IFERROR(VLOOKUP(B518,'Cleaned Trainer Data'!$A$2:$E$11,4,FALSE),"0")</f>
        <v>3.09</v>
      </c>
    </row>
    <row r="519" spans="1:4" x14ac:dyDescent="0.35">
      <c r="A519" t="s">
        <v>550</v>
      </c>
      <c r="B519" t="s">
        <v>10</v>
      </c>
      <c r="C519" t="str">
        <f>IFERROR(VLOOKUP(B519,'Cleaned Trainer Data'!$A$2:$E$9,2,FALSE),"No Trainer Assigned")</f>
        <v>Arun</v>
      </c>
      <c r="D519">
        <f>IFERROR(VLOOKUP(B519,'Cleaned Trainer Data'!$A$2:$E$11,4,FALSE),"0")</f>
        <v>4.3</v>
      </c>
    </row>
    <row r="520" spans="1:4" x14ac:dyDescent="0.35">
      <c r="A520" t="s">
        <v>551</v>
      </c>
      <c r="B520" t="s">
        <v>14</v>
      </c>
      <c r="C520" t="str">
        <f>IFERROR(VLOOKUP(B520,'Cleaned Trainer Data'!$A$2:$E$9,2,FALSE),"No Trainer Assigned")</f>
        <v>Vishal</v>
      </c>
      <c r="D520">
        <f>IFERROR(VLOOKUP(B520,'Cleaned Trainer Data'!$A$2:$E$11,4,FALSE),"0")</f>
        <v>3.09</v>
      </c>
    </row>
    <row r="521" spans="1:4" x14ac:dyDescent="0.35">
      <c r="A521" t="s">
        <v>552</v>
      </c>
      <c r="B521" t="s">
        <v>10</v>
      </c>
      <c r="C521" t="str">
        <f>IFERROR(VLOOKUP(B521,'Cleaned Trainer Data'!$A$2:$E$9,2,FALSE),"No Trainer Assigned")</f>
        <v>Arun</v>
      </c>
      <c r="D521">
        <f>IFERROR(VLOOKUP(B521,'Cleaned Trainer Data'!$A$2:$E$11,4,FALSE),"0")</f>
        <v>4.3</v>
      </c>
    </row>
    <row r="522" spans="1:4" x14ac:dyDescent="0.35">
      <c r="A522" t="s">
        <v>553</v>
      </c>
      <c r="B522" t="s">
        <v>37</v>
      </c>
      <c r="C522" t="str">
        <f>IFERROR(VLOOKUP(B522,'Cleaned Trainer Data'!$A$2:$E$9,2,FALSE),"No Trainer Assigned")</f>
        <v>No Trainer Assigned</v>
      </c>
      <c r="D522" t="str">
        <f>IFERROR(VLOOKUP(B522,'Cleaned Trainer Data'!$A$2:$E$11,4,FALSE),"0")</f>
        <v>0</v>
      </c>
    </row>
    <row r="523" spans="1:4" x14ac:dyDescent="0.35">
      <c r="A523" t="s">
        <v>554</v>
      </c>
      <c r="B523" t="s">
        <v>27</v>
      </c>
      <c r="C523" t="str">
        <f>IFERROR(VLOOKUP(B523,'Cleaned Trainer Data'!$A$2:$E$9,2,FALSE),"No Trainer Assigned")</f>
        <v>Joseph</v>
      </c>
      <c r="D523">
        <f>IFERROR(VLOOKUP(B523,'Cleaned Trainer Data'!$A$2:$E$11,4,FALSE),"0")</f>
        <v>4.58</v>
      </c>
    </row>
    <row r="524" spans="1:4" x14ac:dyDescent="0.35">
      <c r="A524" t="s">
        <v>555</v>
      </c>
      <c r="B524" t="s">
        <v>14</v>
      </c>
      <c r="C524" t="str">
        <f>IFERROR(VLOOKUP(B524,'Cleaned Trainer Data'!$A$2:$E$9,2,FALSE),"No Trainer Assigned")</f>
        <v>Vishal</v>
      </c>
      <c r="D524">
        <f>IFERROR(VLOOKUP(B524,'Cleaned Trainer Data'!$A$2:$E$11,4,FALSE),"0")</f>
        <v>3.09</v>
      </c>
    </row>
    <row r="525" spans="1:4" x14ac:dyDescent="0.35">
      <c r="A525" t="s">
        <v>556</v>
      </c>
      <c r="B525" t="s">
        <v>21</v>
      </c>
      <c r="C525" t="str">
        <f>IFERROR(VLOOKUP(B525,'Cleaned Trainer Data'!$A$2:$E$9,2,FALSE),"No Trainer Assigned")</f>
        <v>Kavya</v>
      </c>
      <c r="D525">
        <f>IFERROR(VLOOKUP(B525,'Cleaned Trainer Data'!$A$2:$E$11,4,FALSE),"0")</f>
        <v>3.28</v>
      </c>
    </row>
    <row r="526" spans="1:4" x14ac:dyDescent="0.35">
      <c r="A526" t="s">
        <v>557</v>
      </c>
      <c r="B526" t="s">
        <v>21</v>
      </c>
      <c r="C526" t="str">
        <f>IFERROR(VLOOKUP(B526,'Cleaned Trainer Data'!$A$2:$E$9,2,FALSE),"No Trainer Assigned")</f>
        <v>Kavya</v>
      </c>
      <c r="D526">
        <f>IFERROR(VLOOKUP(B526,'Cleaned Trainer Data'!$A$2:$E$11,4,FALSE),"0")</f>
        <v>3.28</v>
      </c>
    </row>
    <row r="527" spans="1:4" x14ac:dyDescent="0.35">
      <c r="A527" t="s">
        <v>558</v>
      </c>
      <c r="B527" t="s">
        <v>18</v>
      </c>
      <c r="C527" t="str">
        <f>IFERROR(VLOOKUP(B527,'Cleaned Trainer Data'!$A$2:$E$9,2,FALSE),"No Trainer Assigned")</f>
        <v>Meera</v>
      </c>
      <c r="D527">
        <f>IFERROR(VLOOKUP(B527,'Cleaned Trainer Data'!$A$2:$E$11,4,FALSE),"0")</f>
        <v>4.75</v>
      </c>
    </row>
    <row r="528" spans="1:4" x14ac:dyDescent="0.35">
      <c r="A528" t="s">
        <v>559</v>
      </c>
      <c r="B528" t="s">
        <v>10</v>
      </c>
      <c r="C528" t="str">
        <f>IFERROR(VLOOKUP(B528,'Cleaned Trainer Data'!$A$2:$E$9,2,FALSE),"No Trainer Assigned")</f>
        <v>Arun</v>
      </c>
      <c r="D528">
        <f>IFERROR(VLOOKUP(B528,'Cleaned Trainer Data'!$A$2:$E$11,4,FALSE),"0")</f>
        <v>4.3</v>
      </c>
    </row>
    <row r="529" spans="1:4" x14ac:dyDescent="0.35">
      <c r="A529" t="s">
        <v>560</v>
      </c>
      <c r="B529" t="s">
        <v>14</v>
      </c>
      <c r="C529" t="str">
        <f>IFERROR(VLOOKUP(B529,'Cleaned Trainer Data'!$A$2:$E$9,2,FALSE),"No Trainer Assigned")</f>
        <v>Vishal</v>
      </c>
      <c r="D529">
        <f>IFERROR(VLOOKUP(B529,'Cleaned Trainer Data'!$A$2:$E$11,4,FALSE),"0")</f>
        <v>3.09</v>
      </c>
    </row>
    <row r="530" spans="1:4" x14ac:dyDescent="0.35">
      <c r="A530" t="s">
        <v>561</v>
      </c>
      <c r="B530" t="s">
        <v>18</v>
      </c>
      <c r="C530" t="str">
        <f>IFERROR(VLOOKUP(B530,'Cleaned Trainer Data'!$A$2:$E$9,2,FALSE),"No Trainer Assigned")</f>
        <v>Meera</v>
      </c>
      <c r="D530">
        <f>IFERROR(VLOOKUP(B530,'Cleaned Trainer Data'!$A$2:$E$11,4,FALSE),"0")</f>
        <v>4.75</v>
      </c>
    </row>
    <row r="531" spans="1:4" x14ac:dyDescent="0.35">
      <c r="A531" t="s">
        <v>562</v>
      </c>
      <c r="B531" t="s">
        <v>14</v>
      </c>
      <c r="C531" t="str">
        <f>IFERROR(VLOOKUP(B531,'Cleaned Trainer Data'!$A$2:$E$9,2,FALSE),"No Trainer Assigned")</f>
        <v>Vishal</v>
      </c>
      <c r="D531">
        <f>IFERROR(VLOOKUP(B531,'Cleaned Trainer Data'!$A$2:$E$11,4,FALSE),"0")</f>
        <v>3.09</v>
      </c>
    </row>
    <row r="532" spans="1:4" x14ac:dyDescent="0.35">
      <c r="A532" t="s">
        <v>563</v>
      </c>
      <c r="B532" t="s">
        <v>10</v>
      </c>
      <c r="C532" t="str">
        <f>IFERROR(VLOOKUP(B532,'Cleaned Trainer Data'!$A$2:$E$9,2,FALSE),"No Trainer Assigned")</f>
        <v>Arun</v>
      </c>
      <c r="D532">
        <f>IFERROR(VLOOKUP(B532,'Cleaned Trainer Data'!$A$2:$E$11,4,FALSE),"0")</f>
        <v>4.3</v>
      </c>
    </row>
    <row r="533" spans="1:4" x14ac:dyDescent="0.35">
      <c r="A533" t="s">
        <v>564</v>
      </c>
      <c r="B533" t="s">
        <v>21</v>
      </c>
      <c r="C533" t="str">
        <f>IFERROR(VLOOKUP(B533,'Cleaned Trainer Data'!$A$2:$E$9,2,FALSE),"No Trainer Assigned")</f>
        <v>Kavya</v>
      </c>
      <c r="D533">
        <f>IFERROR(VLOOKUP(B533,'Cleaned Trainer Data'!$A$2:$E$11,4,FALSE),"0")</f>
        <v>3.28</v>
      </c>
    </row>
    <row r="534" spans="1:4" x14ac:dyDescent="0.35">
      <c r="A534" t="s">
        <v>565</v>
      </c>
      <c r="B534" t="s">
        <v>37</v>
      </c>
      <c r="C534" t="str">
        <f>IFERROR(VLOOKUP(B534,'Cleaned Trainer Data'!$A$2:$E$9,2,FALSE),"No Trainer Assigned")</f>
        <v>No Trainer Assigned</v>
      </c>
      <c r="D534" t="str">
        <f>IFERROR(VLOOKUP(B534,'Cleaned Trainer Data'!$A$2:$E$11,4,FALSE),"0")</f>
        <v>0</v>
      </c>
    </row>
    <row r="535" spans="1:4" x14ac:dyDescent="0.35">
      <c r="A535" t="s">
        <v>566</v>
      </c>
      <c r="B535" t="s">
        <v>21</v>
      </c>
      <c r="C535" t="str">
        <f>IFERROR(VLOOKUP(B535,'Cleaned Trainer Data'!$A$2:$E$9,2,FALSE),"No Trainer Assigned")</f>
        <v>Kavya</v>
      </c>
      <c r="D535">
        <f>IFERROR(VLOOKUP(B535,'Cleaned Trainer Data'!$A$2:$E$11,4,FALSE),"0")</f>
        <v>3.28</v>
      </c>
    </row>
    <row r="536" spans="1:4" x14ac:dyDescent="0.35">
      <c r="A536" t="s">
        <v>567</v>
      </c>
      <c r="B536" t="s">
        <v>18</v>
      </c>
      <c r="C536" t="str">
        <f>IFERROR(VLOOKUP(B536,'Cleaned Trainer Data'!$A$2:$E$9,2,FALSE),"No Trainer Assigned")</f>
        <v>Meera</v>
      </c>
      <c r="D536">
        <f>IFERROR(VLOOKUP(B536,'Cleaned Trainer Data'!$A$2:$E$11,4,FALSE),"0")</f>
        <v>4.75</v>
      </c>
    </row>
    <row r="537" spans="1:4" x14ac:dyDescent="0.35">
      <c r="A537" t="s">
        <v>568</v>
      </c>
      <c r="B537" t="s">
        <v>27</v>
      </c>
      <c r="C537" t="str">
        <f>IFERROR(VLOOKUP(B537,'Cleaned Trainer Data'!$A$2:$E$9,2,FALSE),"No Trainer Assigned")</f>
        <v>Joseph</v>
      </c>
      <c r="D537">
        <f>IFERROR(VLOOKUP(B537,'Cleaned Trainer Data'!$A$2:$E$11,4,FALSE),"0")</f>
        <v>4.58</v>
      </c>
    </row>
    <row r="538" spans="1:4" x14ac:dyDescent="0.35">
      <c r="A538" t="s">
        <v>569</v>
      </c>
      <c r="B538" t="s">
        <v>37</v>
      </c>
      <c r="C538" t="str">
        <f>IFERROR(VLOOKUP(B538,'Cleaned Trainer Data'!$A$2:$E$9,2,FALSE),"No Trainer Assigned")</f>
        <v>No Trainer Assigned</v>
      </c>
      <c r="D538" t="str">
        <f>IFERROR(VLOOKUP(B538,'Cleaned Trainer Data'!$A$2:$E$11,4,FALSE),"0")</f>
        <v>0</v>
      </c>
    </row>
    <row r="539" spans="1:4" x14ac:dyDescent="0.35">
      <c r="A539" t="s">
        <v>570</v>
      </c>
      <c r="B539" t="s">
        <v>18</v>
      </c>
      <c r="C539" t="str">
        <f>IFERROR(VLOOKUP(B539,'Cleaned Trainer Data'!$A$2:$E$9,2,FALSE),"No Trainer Assigned")</f>
        <v>Meera</v>
      </c>
      <c r="D539">
        <f>IFERROR(VLOOKUP(B539,'Cleaned Trainer Data'!$A$2:$E$11,4,FALSE),"0")</f>
        <v>4.75</v>
      </c>
    </row>
    <row r="540" spans="1:4" x14ac:dyDescent="0.35">
      <c r="A540" t="s">
        <v>571</v>
      </c>
      <c r="B540" t="s">
        <v>10</v>
      </c>
      <c r="C540" t="str">
        <f>IFERROR(VLOOKUP(B540,'Cleaned Trainer Data'!$A$2:$E$9,2,FALSE),"No Trainer Assigned")</f>
        <v>Arun</v>
      </c>
      <c r="D540">
        <f>IFERROR(VLOOKUP(B540,'Cleaned Trainer Data'!$A$2:$E$11,4,FALSE),"0")</f>
        <v>4.3</v>
      </c>
    </row>
    <row r="541" spans="1:4" x14ac:dyDescent="0.35">
      <c r="A541" t="s">
        <v>572</v>
      </c>
      <c r="B541" t="s">
        <v>37</v>
      </c>
      <c r="C541" t="str">
        <f>IFERROR(VLOOKUP(B541,'Cleaned Trainer Data'!$A$2:$E$9,2,FALSE),"No Trainer Assigned")</f>
        <v>No Trainer Assigned</v>
      </c>
      <c r="D541" t="str">
        <f>IFERROR(VLOOKUP(B541,'Cleaned Trainer Data'!$A$2:$E$11,4,FALSE),"0")</f>
        <v>0</v>
      </c>
    </row>
    <row r="542" spans="1:4" x14ac:dyDescent="0.35">
      <c r="A542" t="s">
        <v>573</v>
      </c>
      <c r="B542" t="s">
        <v>18</v>
      </c>
      <c r="C542" t="str">
        <f>IFERROR(VLOOKUP(B542,'Cleaned Trainer Data'!$A$2:$E$9,2,FALSE),"No Trainer Assigned")</f>
        <v>Meera</v>
      </c>
      <c r="D542">
        <f>IFERROR(VLOOKUP(B542,'Cleaned Trainer Data'!$A$2:$E$11,4,FALSE),"0")</f>
        <v>4.75</v>
      </c>
    </row>
    <row r="543" spans="1:4" x14ac:dyDescent="0.35">
      <c r="A543" t="s">
        <v>574</v>
      </c>
      <c r="B543" t="s">
        <v>10</v>
      </c>
      <c r="C543" t="str">
        <f>IFERROR(VLOOKUP(B543,'Cleaned Trainer Data'!$A$2:$E$9,2,FALSE),"No Trainer Assigned")</f>
        <v>Arun</v>
      </c>
      <c r="D543">
        <f>IFERROR(VLOOKUP(B543,'Cleaned Trainer Data'!$A$2:$E$11,4,FALSE),"0")</f>
        <v>4.3</v>
      </c>
    </row>
    <row r="544" spans="1:4" x14ac:dyDescent="0.35">
      <c r="A544" t="s">
        <v>575</v>
      </c>
      <c r="B544" t="s">
        <v>21</v>
      </c>
      <c r="C544" t="str">
        <f>IFERROR(VLOOKUP(B544,'Cleaned Trainer Data'!$A$2:$E$9,2,FALSE),"No Trainer Assigned")</f>
        <v>Kavya</v>
      </c>
      <c r="D544">
        <f>IFERROR(VLOOKUP(B544,'Cleaned Trainer Data'!$A$2:$E$11,4,FALSE),"0")</f>
        <v>3.28</v>
      </c>
    </row>
    <row r="545" spans="1:4" x14ac:dyDescent="0.35">
      <c r="A545" t="s">
        <v>576</v>
      </c>
      <c r="B545" t="s">
        <v>27</v>
      </c>
      <c r="C545" t="str">
        <f>IFERROR(VLOOKUP(B545,'Cleaned Trainer Data'!$A$2:$E$9,2,FALSE),"No Trainer Assigned")</f>
        <v>Joseph</v>
      </c>
      <c r="D545">
        <f>IFERROR(VLOOKUP(B545,'Cleaned Trainer Data'!$A$2:$E$11,4,FALSE),"0")</f>
        <v>4.58</v>
      </c>
    </row>
    <row r="546" spans="1:4" x14ac:dyDescent="0.35">
      <c r="A546" t="s">
        <v>577</v>
      </c>
      <c r="B546" t="s">
        <v>10</v>
      </c>
      <c r="C546" t="str">
        <f>IFERROR(VLOOKUP(B546,'Cleaned Trainer Data'!$A$2:$E$9,2,FALSE),"No Trainer Assigned")</f>
        <v>Arun</v>
      </c>
      <c r="D546">
        <f>IFERROR(VLOOKUP(B546,'Cleaned Trainer Data'!$A$2:$E$11,4,FALSE),"0")</f>
        <v>4.3</v>
      </c>
    </row>
    <row r="547" spans="1:4" x14ac:dyDescent="0.35">
      <c r="A547" t="s">
        <v>578</v>
      </c>
      <c r="B547" t="s">
        <v>14</v>
      </c>
      <c r="C547" t="str">
        <f>IFERROR(VLOOKUP(B547,'Cleaned Trainer Data'!$A$2:$E$9,2,FALSE),"No Trainer Assigned")</f>
        <v>Vishal</v>
      </c>
      <c r="D547">
        <f>IFERROR(VLOOKUP(B547,'Cleaned Trainer Data'!$A$2:$E$11,4,FALSE),"0")</f>
        <v>3.09</v>
      </c>
    </row>
    <row r="548" spans="1:4" x14ac:dyDescent="0.35">
      <c r="A548" t="s">
        <v>579</v>
      </c>
      <c r="B548" t="s">
        <v>10</v>
      </c>
      <c r="C548" t="str">
        <f>IFERROR(VLOOKUP(B548,'Cleaned Trainer Data'!$A$2:$E$9,2,FALSE),"No Trainer Assigned")</f>
        <v>Arun</v>
      </c>
      <c r="D548">
        <f>IFERROR(VLOOKUP(B548,'Cleaned Trainer Data'!$A$2:$E$11,4,FALSE),"0")</f>
        <v>4.3</v>
      </c>
    </row>
    <row r="549" spans="1:4" x14ac:dyDescent="0.35">
      <c r="A549" t="s">
        <v>580</v>
      </c>
      <c r="B549" t="s">
        <v>10</v>
      </c>
      <c r="C549" t="str">
        <f>IFERROR(VLOOKUP(B549,'Cleaned Trainer Data'!$A$2:$E$9,2,FALSE),"No Trainer Assigned")</f>
        <v>Arun</v>
      </c>
      <c r="D549">
        <f>IFERROR(VLOOKUP(B549,'Cleaned Trainer Data'!$A$2:$E$11,4,FALSE),"0")</f>
        <v>4.3</v>
      </c>
    </row>
    <row r="550" spans="1:4" x14ac:dyDescent="0.35">
      <c r="A550" t="s">
        <v>581</v>
      </c>
      <c r="B550" t="s">
        <v>27</v>
      </c>
      <c r="C550" t="str">
        <f>IFERROR(VLOOKUP(B550,'Cleaned Trainer Data'!$A$2:$E$9,2,FALSE),"No Trainer Assigned")</f>
        <v>Joseph</v>
      </c>
      <c r="D550">
        <f>IFERROR(VLOOKUP(B550,'Cleaned Trainer Data'!$A$2:$E$11,4,FALSE),"0")</f>
        <v>4.58</v>
      </c>
    </row>
    <row r="551" spans="1:4" x14ac:dyDescent="0.35">
      <c r="A551" t="s">
        <v>582</v>
      </c>
      <c r="B551" t="s">
        <v>14</v>
      </c>
      <c r="C551" t="str">
        <f>IFERROR(VLOOKUP(B551,'Cleaned Trainer Data'!$A$2:$E$9,2,FALSE),"No Trainer Assigned")</f>
        <v>Vishal</v>
      </c>
      <c r="D551">
        <f>IFERROR(VLOOKUP(B551,'Cleaned Trainer Data'!$A$2:$E$11,4,FALSE),"0")</f>
        <v>3.09</v>
      </c>
    </row>
    <row r="552" spans="1:4" x14ac:dyDescent="0.35">
      <c r="A552" t="s">
        <v>583</v>
      </c>
      <c r="B552" t="s">
        <v>18</v>
      </c>
      <c r="C552" t="str">
        <f>IFERROR(VLOOKUP(B552,'Cleaned Trainer Data'!$A$2:$E$9,2,FALSE),"No Trainer Assigned")</f>
        <v>Meera</v>
      </c>
      <c r="D552">
        <f>IFERROR(VLOOKUP(B552,'Cleaned Trainer Data'!$A$2:$E$11,4,FALSE),"0")</f>
        <v>4.75</v>
      </c>
    </row>
    <row r="553" spans="1:4" x14ac:dyDescent="0.35">
      <c r="A553" t="s">
        <v>584</v>
      </c>
      <c r="B553" t="s">
        <v>18</v>
      </c>
      <c r="C553" t="str">
        <f>IFERROR(VLOOKUP(B553,'Cleaned Trainer Data'!$A$2:$E$9,2,FALSE),"No Trainer Assigned")</f>
        <v>Meera</v>
      </c>
      <c r="D553">
        <f>IFERROR(VLOOKUP(B553,'Cleaned Trainer Data'!$A$2:$E$11,4,FALSE),"0")</f>
        <v>4.75</v>
      </c>
    </row>
    <row r="554" spans="1:4" x14ac:dyDescent="0.35">
      <c r="A554" t="s">
        <v>585</v>
      </c>
      <c r="B554" t="s">
        <v>10</v>
      </c>
      <c r="C554" t="str">
        <f>IFERROR(VLOOKUP(B554,'Cleaned Trainer Data'!$A$2:$E$9,2,FALSE),"No Trainer Assigned")</f>
        <v>Arun</v>
      </c>
      <c r="D554">
        <f>IFERROR(VLOOKUP(B554,'Cleaned Trainer Data'!$A$2:$E$11,4,FALSE),"0")</f>
        <v>4.3</v>
      </c>
    </row>
    <row r="555" spans="1:4" x14ac:dyDescent="0.35">
      <c r="A555" t="s">
        <v>586</v>
      </c>
      <c r="B555" t="s">
        <v>14</v>
      </c>
      <c r="C555" t="str">
        <f>IFERROR(VLOOKUP(B555,'Cleaned Trainer Data'!$A$2:$E$9,2,FALSE),"No Trainer Assigned")</f>
        <v>Vishal</v>
      </c>
      <c r="D555">
        <f>IFERROR(VLOOKUP(B555,'Cleaned Trainer Data'!$A$2:$E$11,4,FALSE),"0")</f>
        <v>3.09</v>
      </c>
    </row>
    <row r="556" spans="1:4" x14ac:dyDescent="0.35">
      <c r="A556" t="s">
        <v>587</v>
      </c>
      <c r="B556" t="s">
        <v>14</v>
      </c>
      <c r="C556" t="str">
        <f>IFERROR(VLOOKUP(B556,'Cleaned Trainer Data'!$A$2:$E$9,2,FALSE),"No Trainer Assigned")</f>
        <v>Vishal</v>
      </c>
      <c r="D556">
        <f>IFERROR(VLOOKUP(B556,'Cleaned Trainer Data'!$A$2:$E$11,4,FALSE),"0")</f>
        <v>3.09</v>
      </c>
    </row>
    <row r="557" spans="1:4" x14ac:dyDescent="0.35">
      <c r="A557" t="s">
        <v>588</v>
      </c>
      <c r="B557" t="s">
        <v>27</v>
      </c>
      <c r="C557" t="str">
        <f>IFERROR(VLOOKUP(B557,'Cleaned Trainer Data'!$A$2:$E$9,2,FALSE),"No Trainer Assigned")</f>
        <v>Joseph</v>
      </c>
      <c r="D557">
        <f>IFERROR(VLOOKUP(B557,'Cleaned Trainer Data'!$A$2:$E$11,4,FALSE),"0")</f>
        <v>4.58</v>
      </c>
    </row>
    <row r="558" spans="1:4" x14ac:dyDescent="0.35">
      <c r="A558" t="s">
        <v>589</v>
      </c>
      <c r="B558" t="s">
        <v>21</v>
      </c>
      <c r="C558" t="str">
        <f>IFERROR(VLOOKUP(B558,'Cleaned Trainer Data'!$A$2:$E$9,2,FALSE),"No Trainer Assigned")</f>
        <v>Kavya</v>
      </c>
      <c r="D558">
        <f>IFERROR(VLOOKUP(B558,'Cleaned Trainer Data'!$A$2:$E$11,4,FALSE),"0")</f>
        <v>3.28</v>
      </c>
    </row>
    <row r="559" spans="1:4" x14ac:dyDescent="0.35">
      <c r="A559" t="s">
        <v>590</v>
      </c>
      <c r="B559" t="s">
        <v>18</v>
      </c>
      <c r="C559" t="str">
        <f>IFERROR(VLOOKUP(B559,'Cleaned Trainer Data'!$A$2:$E$9,2,FALSE),"No Trainer Assigned")</f>
        <v>Meera</v>
      </c>
      <c r="D559">
        <f>IFERROR(VLOOKUP(B559,'Cleaned Trainer Data'!$A$2:$E$11,4,FALSE),"0")</f>
        <v>4.75</v>
      </c>
    </row>
    <row r="560" spans="1:4" x14ac:dyDescent="0.35">
      <c r="A560" t="s">
        <v>591</v>
      </c>
      <c r="B560" t="s">
        <v>27</v>
      </c>
      <c r="C560" t="str">
        <f>IFERROR(VLOOKUP(B560,'Cleaned Trainer Data'!$A$2:$E$9,2,FALSE),"No Trainer Assigned")</f>
        <v>Joseph</v>
      </c>
      <c r="D560">
        <f>IFERROR(VLOOKUP(B560,'Cleaned Trainer Data'!$A$2:$E$11,4,FALSE),"0")</f>
        <v>4.58</v>
      </c>
    </row>
    <row r="561" spans="1:4" x14ac:dyDescent="0.35">
      <c r="A561" t="s">
        <v>592</v>
      </c>
      <c r="B561" t="s">
        <v>37</v>
      </c>
      <c r="C561" t="str">
        <f>IFERROR(VLOOKUP(B561,'Cleaned Trainer Data'!$A$2:$E$9,2,FALSE),"No Trainer Assigned")</f>
        <v>No Trainer Assigned</v>
      </c>
      <c r="D561" t="str">
        <f>IFERROR(VLOOKUP(B561,'Cleaned Trainer Data'!$A$2:$E$11,4,FALSE),"0")</f>
        <v>0</v>
      </c>
    </row>
    <row r="562" spans="1:4" x14ac:dyDescent="0.35">
      <c r="A562" t="s">
        <v>593</v>
      </c>
      <c r="B562" t="s">
        <v>18</v>
      </c>
      <c r="C562" t="str">
        <f>IFERROR(VLOOKUP(B562,'Cleaned Trainer Data'!$A$2:$E$9,2,FALSE),"No Trainer Assigned")</f>
        <v>Meera</v>
      </c>
      <c r="D562">
        <f>IFERROR(VLOOKUP(B562,'Cleaned Trainer Data'!$A$2:$E$11,4,FALSE),"0")</f>
        <v>4.75</v>
      </c>
    </row>
    <row r="563" spans="1:4" x14ac:dyDescent="0.35">
      <c r="A563" t="s">
        <v>594</v>
      </c>
      <c r="B563" t="s">
        <v>27</v>
      </c>
      <c r="C563" t="str">
        <f>IFERROR(VLOOKUP(B563,'Cleaned Trainer Data'!$A$2:$E$9,2,FALSE),"No Trainer Assigned")</f>
        <v>Joseph</v>
      </c>
      <c r="D563">
        <f>IFERROR(VLOOKUP(B563,'Cleaned Trainer Data'!$A$2:$E$11,4,FALSE),"0")</f>
        <v>4.58</v>
      </c>
    </row>
    <row r="564" spans="1:4" x14ac:dyDescent="0.35">
      <c r="A564" t="s">
        <v>595</v>
      </c>
      <c r="B564" t="s">
        <v>18</v>
      </c>
      <c r="C564" t="str">
        <f>IFERROR(VLOOKUP(B564,'Cleaned Trainer Data'!$A$2:$E$9,2,FALSE),"No Trainer Assigned")</f>
        <v>Meera</v>
      </c>
      <c r="D564">
        <f>IFERROR(VLOOKUP(B564,'Cleaned Trainer Data'!$A$2:$E$11,4,FALSE),"0")</f>
        <v>4.75</v>
      </c>
    </row>
    <row r="565" spans="1:4" x14ac:dyDescent="0.35">
      <c r="A565" t="s">
        <v>596</v>
      </c>
      <c r="B565" t="s">
        <v>21</v>
      </c>
      <c r="C565" t="str">
        <f>IFERROR(VLOOKUP(B565,'Cleaned Trainer Data'!$A$2:$E$9,2,FALSE),"No Trainer Assigned")</f>
        <v>Kavya</v>
      </c>
      <c r="D565">
        <f>IFERROR(VLOOKUP(B565,'Cleaned Trainer Data'!$A$2:$E$11,4,FALSE),"0")</f>
        <v>3.28</v>
      </c>
    </row>
    <row r="566" spans="1:4" x14ac:dyDescent="0.35">
      <c r="A566" t="s">
        <v>597</v>
      </c>
      <c r="B566" t="s">
        <v>37</v>
      </c>
      <c r="C566" t="str">
        <f>IFERROR(VLOOKUP(B566,'Cleaned Trainer Data'!$A$2:$E$9,2,FALSE),"No Trainer Assigned")</f>
        <v>No Trainer Assigned</v>
      </c>
      <c r="D566" t="str">
        <f>IFERROR(VLOOKUP(B566,'Cleaned Trainer Data'!$A$2:$E$11,4,FALSE),"0")</f>
        <v>0</v>
      </c>
    </row>
    <row r="567" spans="1:4" x14ac:dyDescent="0.35">
      <c r="A567" t="s">
        <v>598</v>
      </c>
      <c r="B567" t="s">
        <v>21</v>
      </c>
      <c r="C567" t="str">
        <f>IFERROR(VLOOKUP(B567,'Cleaned Trainer Data'!$A$2:$E$9,2,FALSE),"No Trainer Assigned")</f>
        <v>Kavya</v>
      </c>
      <c r="D567">
        <f>IFERROR(VLOOKUP(B567,'Cleaned Trainer Data'!$A$2:$E$11,4,FALSE),"0")</f>
        <v>3.28</v>
      </c>
    </row>
    <row r="568" spans="1:4" x14ac:dyDescent="0.35">
      <c r="A568" t="s">
        <v>599</v>
      </c>
      <c r="B568" t="s">
        <v>37</v>
      </c>
      <c r="C568" t="str">
        <f>IFERROR(VLOOKUP(B568,'Cleaned Trainer Data'!$A$2:$E$9,2,FALSE),"No Trainer Assigned")</f>
        <v>No Trainer Assigned</v>
      </c>
      <c r="D568" t="str">
        <f>IFERROR(VLOOKUP(B568,'Cleaned Trainer Data'!$A$2:$E$11,4,FALSE),"0")</f>
        <v>0</v>
      </c>
    </row>
    <row r="569" spans="1:4" x14ac:dyDescent="0.35">
      <c r="A569" t="s">
        <v>600</v>
      </c>
      <c r="B569" t="s">
        <v>10</v>
      </c>
      <c r="C569" t="str">
        <f>IFERROR(VLOOKUP(B569,'Cleaned Trainer Data'!$A$2:$E$9,2,FALSE),"No Trainer Assigned")</f>
        <v>Arun</v>
      </c>
      <c r="D569">
        <f>IFERROR(VLOOKUP(B569,'Cleaned Trainer Data'!$A$2:$E$11,4,FALSE),"0")</f>
        <v>4.3</v>
      </c>
    </row>
    <row r="570" spans="1:4" x14ac:dyDescent="0.35">
      <c r="A570" t="s">
        <v>601</v>
      </c>
      <c r="B570" t="s">
        <v>27</v>
      </c>
      <c r="C570" t="str">
        <f>IFERROR(VLOOKUP(B570,'Cleaned Trainer Data'!$A$2:$E$9,2,FALSE),"No Trainer Assigned")</f>
        <v>Joseph</v>
      </c>
      <c r="D570">
        <f>IFERROR(VLOOKUP(B570,'Cleaned Trainer Data'!$A$2:$E$11,4,FALSE),"0")</f>
        <v>4.58</v>
      </c>
    </row>
    <row r="571" spans="1:4" x14ac:dyDescent="0.35">
      <c r="A571" t="s">
        <v>602</v>
      </c>
      <c r="B571" t="s">
        <v>37</v>
      </c>
      <c r="C571" t="str">
        <f>IFERROR(VLOOKUP(B571,'Cleaned Trainer Data'!$A$2:$E$9,2,FALSE),"No Trainer Assigned")</f>
        <v>No Trainer Assigned</v>
      </c>
      <c r="D571" t="str">
        <f>IFERROR(VLOOKUP(B571,'Cleaned Trainer Data'!$A$2:$E$11,4,FALSE),"0")</f>
        <v>0</v>
      </c>
    </row>
    <row r="572" spans="1:4" x14ac:dyDescent="0.35">
      <c r="A572" t="s">
        <v>603</v>
      </c>
      <c r="B572" t="s">
        <v>21</v>
      </c>
      <c r="C572" t="str">
        <f>IFERROR(VLOOKUP(B572,'Cleaned Trainer Data'!$A$2:$E$9,2,FALSE),"No Trainer Assigned")</f>
        <v>Kavya</v>
      </c>
      <c r="D572">
        <f>IFERROR(VLOOKUP(B572,'Cleaned Trainer Data'!$A$2:$E$11,4,FALSE),"0")</f>
        <v>3.28</v>
      </c>
    </row>
    <row r="573" spans="1:4" x14ac:dyDescent="0.35">
      <c r="A573" t="s">
        <v>604</v>
      </c>
      <c r="B573" t="s">
        <v>18</v>
      </c>
      <c r="C573" t="str">
        <f>IFERROR(VLOOKUP(B573,'Cleaned Trainer Data'!$A$2:$E$9,2,FALSE),"No Trainer Assigned")</f>
        <v>Meera</v>
      </c>
      <c r="D573">
        <f>IFERROR(VLOOKUP(B573,'Cleaned Trainer Data'!$A$2:$E$11,4,FALSE),"0")</f>
        <v>4.75</v>
      </c>
    </row>
    <row r="574" spans="1:4" x14ac:dyDescent="0.35">
      <c r="A574" t="s">
        <v>605</v>
      </c>
      <c r="B574" t="s">
        <v>37</v>
      </c>
      <c r="C574" t="str">
        <f>IFERROR(VLOOKUP(B574,'Cleaned Trainer Data'!$A$2:$E$9,2,FALSE),"No Trainer Assigned")</f>
        <v>No Trainer Assigned</v>
      </c>
      <c r="D574" t="str">
        <f>IFERROR(VLOOKUP(B574,'Cleaned Trainer Data'!$A$2:$E$11,4,FALSE),"0")</f>
        <v>0</v>
      </c>
    </row>
    <row r="575" spans="1:4" x14ac:dyDescent="0.35">
      <c r="A575" t="s">
        <v>606</v>
      </c>
      <c r="B575" t="s">
        <v>27</v>
      </c>
      <c r="C575" t="str">
        <f>IFERROR(VLOOKUP(B575,'Cleaned Trainer Data'!$A$2:$E$9,2,FALSE),"No Trainer Assigned")</f>
        <v>Joseph</v>
      </c>
      <c r="D575">
        <f>IFERROR(VLOOKUP(B575,'Cleaned Trainer Data'!$A$2:$E$11,4,FALSE),"0")</f>
        <v>4.58</v>
      </c>
    </row>
    <row r="576" spans="1:4" x14ac:dyDescent="0.35">
      <c r="A576" t="s">
        <v>607</v>
      </c>
      <c r="B576" t="s">
        <v>37</v>
      </c>
      <c r="C576" t="str">
        <f>IFERROR(VLOOKUP(B576,'Cleaned Trainer Data'!$A$2:$E$9,2,FALSE),"No Trainer Assigned")</f>
        <v>No Trainer Assigned</v>
      </c>
      <c r="D576" t="str">
        <f>IFERROR(VLOOKUP(B576,'Cleaned Trainer Data'!$A$2:$E$11,4,FALSE),"0")</f>
        <v>0</v>
      </c>
    </row>
    <row r="577" spans="1:4" x14ac:dyDescent="0.35">
      <c r="A577" t="s">
        <v>608</v>
      </c>
      <c r="B577" t="s">
        <v>14</v>
      </c>
      <c r="C577" t="str">
        <f>IFERROR(VLOOKUP(B577,'Cleaned Trainer Data'!$A$2:$E$9,2,FALSE),"No Trainer Assigned")</f>
        <v>Vishal</v>
      </c>
      <c r="D577">
        <f>IFERROR(VLOOKUP(B577,'Cleaned Trainer Data'!$A$2:$E$11,4,FALSE),"0")</f>
        <v>3.09</v>
      </c>
    </row>
    <row r="578" spans="1:4" x14ac:dyDescent="0.35">
      <c r="A578" t="s">
        <v>609</v>
      </c>
      <c r="B578" t="s">
        <v>18</v>
      </c>
      <c r="C578" t="str">
        <f>IFERROR(VLOOKUP(B578,'Cleaned Trainer Data'!$A$2:$E$9,2,FALSE),"No Trainer Assigned")</f>
        <v>Meera</v>
      </c>
      <c r="D578">
        <f>IFERROR(VLOOKUP(B578,'Cleaned Trainer Data'!$A$2:$E$11,4,FALSE),"0")</f>
        <v>4.75</v>
      </c>
    </row>
    <row r="579" spans="1:4" x14ac:dyDescent="0.35">
      <c r="A579" t="s">
        <v>610</v>
      </c>
      <c r="B579" t="s">
        <v>27</v>
      </c>
      <c r="C579" t="str">
        <f>IFERROR(VLOOKUP(B579,'Cleaned Trainer Data'!$A$2:$E$9,2,FALSE),"No Trainer Assigned")</f>
        <v>Joseph</v>
      </c>
      <c r="D579">
        <f>IFERROR(VLOOKUP(B579,'Cleaned Trainer Data'!$A$2:$E$11,4,FALSE),"0")</f>
        <v>4.58</v>
      </c>
    </row>
    <row r="580" spans="1:4" x14ac:dyDescent="0.35">
      <c r="A580" t="s">
        <v>611</v>
      </c>
      <c r="B580" t="s">
        <v>27</v>
      </c>
      <c r="C580" t="str">
        <f>IFERROR(VLOOKUP(B580,'Cleaned Trainer Data'!$A$2:$E$9,2,FALSE),"No Trainer Assigned")</f>
        <v>Joseph</v>
      </c>
      <c r="D580">
        <f>IFERROR(VLOOKUP(B580,'Cleaned Trainer Data'!$A$2:$E$11,4,FALSE),"0")</f>
        <v>4.58</v>
      </c>
    </row>
    <row r="581" spans="1:4" x14ac:dyDescent="0.35">
      <c r="A581" t="s">
        <v>612</v>
      </c>
      <c r="B581" t="s">
        <v>10</v>
      </c>
      <c r="C581" t="str">
        <f>IFERROR(VLOOKUP(B581,'Cleaned Trainer Data'!$A$2:$E$9,2,FALSE),"No Trainer Assigned")</f>
        <v>Arun</v>
      </c>
      <c r="D581">
        <f>IFERROR(VLOOKUP(B581,'Cleaned Trainer Data'!$A$2:$E$11,4,FALSE),"0")</f>
        <v>4.3</v>
      </c>
    </row>
    <row r="582" spans="1:4" x14ac:dyDescent="0.35">
      <c r="A582" t="s">
        <v>613</v>
      </c>
      <c r="B582" t="s">
        <v>21</v>
      </c>
      <c r="C582" t="str">
        <f>IFERROR(VLOOKUP(B582,'Cleaned Trainer Data'!$A$2:$E$9,2,FALSE),"No Trainer Assigned")</f>
        <v>Kavya</v>
      </c>
      <c r="D582">
        <f>IFERROR(VLOOKUP(B582,'Cleaned Trainer Data'!$A$2:$E$11,4,FALSE),"0")</f>
        <v>3.28</v>
      </c>
    </row>
    <row r="583" spans="1:4" x14ac:dyDescent="0.35">
      <c r="A583" t="s">
        <v>614</v>
      </c>
      <c r="B583" t="s">
        <v>10</v>
      </c>
      <c r="C583" t="str">
        <f>IFERROR(VLOOKUP(B583,'Cleaned Trainer Data'!$A$2:$E$9,2,FALSE),"No Trainer Assigned")</f>
        <v>Arun</v>
      </c>
      <c r="D583">
        <f>IFERROR(VLOOKUP(B583,'Cleaned Trainer Data'!$A$2:$E$11,4,FALSE),"0")</f>
        <v>4.3</v>
      </c>
    </row>
    <row r="584" spans="1:4" x14ac:dyDescent="0.35">
      <c r="A584" t="s">
        <v>615</v>
      </c>
      <c r="B584" t="s">
        <v>27</v>
      </c>
      <c r="C584" t="str">
        <f>IFERROR(VLOOKUP(B584,'Cleaned Trainer Data'!$A$2:$E$9,2,FALSE),"No Trainer Assigned")</f>
        <v>Joseph</v>
      </c>
      <c r="D584">
        <f>IFERROR(VLOOKUP(B584,'Cleaned Trainer Data'!$A$2:$E$11,4,FALSE),"0")</f>
        <v>4.58</v>
      </c>
    </row>
    <row r="585" spans="1:4" x14ac:dyDescent="0.35">
      <c r="A585" t="s">
        <v>616</v>
      </c>
      <c r="B585" t="s">
        <v>18</v>
      </c>
      <c r="C585" t="str">
        <f>IFERROR(VLOOKUP(B585,'Cleaned Trainer Data'!$A$2:$E$9,2,FALSE),"No Trainer Assigned")</f>
        <v>Meera</v>
      </c>
      <c r="D585">
        <f>IFERROR(VLOOKUP(B585,'Cleaned Trainer Data'!$A$2:$E$11,4,FALSE),"0")</f>
        <v>4.75</v>
      </c>
    </row>
    <row r="586" spans="1:4" x14ac:dyDescent="0.35">
      <c r="A586" t="s">
        <v>617</v>
      </c>
      <c r="B586" t="s">
        <v>37</v>
      </c>
      <c r="C586" t="str">
        <f>IFERROR(VLOOKUP(B586,'Cleaned Trainer Data'!$A$2:$E$9,2,FALSE),"No Trainer Assigned")</f>
        <v>No Trainer Assigned</v>
      </c>
      <c r="D586" t="str">
        <f>IFERROR(VLOOKUP(B586,'Cleaned Trainer Data'!$A$2:$E$11,4,FALSE),"0")</f>
        <v>0</v>
      </c>
    </row>
    <row r="587" spans="1:4" x14ac:dyDescent="0.35">
      <c r="A587" t="s">
        <v>618</v>
      </c>
      <c r="B587" t="s">
        <v>37</v>
      </c>
      <c r="C587" t="str">
        <f>IFERROR(VLOOKUP(B587,'Cleaned Trainer Data'!$A$2:$E$9,2,FALSE),"No Trainer Assigned")</f>
        <v>No Trainer Assigned</v>
      </c>
      <c r="D587" t="str">
        <f>IFERROR(VLOOKUP(B587,'Cleaned Trainer Data'!$A$2:$E$11,4,FALSE),"0")</f>
        <v>0</v>
      </c>
    </row>
    <row r="588" spans="1:4" x14ac:dyDescent="0.35">
      <c r="A588" t="s">
        <v>619</v>
      </c>
      <c r="B588" t="s">
        <v>18</v>
      </c>
      <c r="C588" t="str">
        <f>IFERROR(VLOOKUP(B588,'Cleaned Trainer Data'!$A$2:$E$9,2,FALSE),"No Trainer Assigned")</f>
        <v>Meera</v>
      </c>
      <c r="D588">
        <f>IFERROR(VLOOKUP(B588,'Cleaned Trainer Data'!$A$2:$E$11,4,FALSE),"0")</f>
        <v>4.75</v>
      </c>
    </row>
    <row r="589" spans="1:4" x14ac:dyDescent="0.35">
      <c r="A589" t="s">
        <v>620</v>
      </c>
      <c r="B589" t="s">
        <v>27</v>
      </c>
      <c r="C589" t="str">
        <f>IFERROR(VLOOKUP(B589,'Cleaned Trainer Data'!$A$2:$E$9,2,FALSE),"No Trainer Assigned")</f>
        <v>Joseph</v>
      </c>
      <c r="D589">
        <f>IFERROR(VLOOKUP(B589,'Cleaned Trainer Data'!$A$2:$E$11,4,FALSE),"0")</f>
        <v>4.58</v>
      </c>
    </row>
    <row r="590" spans="1:4" x14ac:dyDescent="0.35">
      <c r="A590" t="s">
        <v>621</v>
      </c>
      <c r="B590" t="s">
        <v>37</v>
      </c>
      <c r="C590" t="str">
        <f>IFERROR(VLOOKUP(B590,'Cleaned Trainer Data'!$A$2:$E$9,2,FALSE),"No Trainer Assigned")</f>
        <v>No Trainer Assigned</v>
      </c>
      <c r="D590" t="str">
        <f>IFERROR(VLOOKUP(B590,'Cleaned Trainer Data'!$A$2:$E$11,4,FALSE),"0")</f>
        <v>0</v>
      </c>
    </row>
    <row r="591" spans="1:4" x14ac:dyDescent="0.35">
      <c r="A591" t="s">
        <v>622</v>
      </c>
      <c r="B591" t="s">
        <v>37</v>
      </c>
      <c r="C591" t="str">
        <f>IFERROR(VLOOKUP(B591,'Cleaned Trainer Data'!$A$2:$E$9,2,FALSE),"No Trainer Assigned")</f>
        <v>No Trainer Assigned</v>
      </c>
      <c r="D591" t="str">
        <f>IFERROR(VLOOKUP(B591,'Cleaned Trainer Data'!$A$2:$E$11,4,FALSE),"0")</f>
        <v>0</v>
      </c>
    </row>
    <row r="592" spans="1:4" x14ac:dyDescent="0.35">
      <c r="A592" t="s">
        <v>623</v>
      </c>
      <c r="B592" t="s">
        <v>37</v>
      </c>
      <c r="C592" t="str">
        <f>IFERROR(VLOOKUP(B592,'Cleaned Trainer Data'!$A$2:$E$9,2,FALSE),"No Trainer Assigned")</f>
        <v>No Trainer Assigned</v>
      </c>
      <c r="D592" t="str">
        <f>IFERROR(VLOOKUP(B592,'Cleaned Trainer Data'!$A$2:$E$11,4,FALSE),"0")</f>
        <v>0</v>
      </c>
    </row>
    <row r="593" spans="1:4" x14ac:dyDescent="0.35">
      <c r="A593" t="s">
        <v>624</v>
      </c>
      <c r="B593" t="s">
        <v>21</v>
      </c>
      <c r="C593" t="str">
        <f>IFERROR(VLOOKUP(B593,'Cleaned Trainer Data'!$A$2:$E$9,2,FALSE),"No Trainer Assigned")</f>
        <v>Kavya</v>
      </c>
      <c r="D593">
        <f>IFERROR(VLOOKUP(B593,'Cleaned Trainer Data'!$A$2:$E$11,4,FALSE),"0")</f>
        <v>3.28</v>
      </c>
    </row>
    <row r="594" spans="1:4" x14ac:dyDescent="0.35">
      <c r="A594" t="s">
        <v>625</v>
      </c>
      <c r="B594" t="s">
        <v>21</v>
      </c>
      <c r="C594" t="str">
        <f>IFERROR(VLOOKUP(B594,'Cleaned Trainer Data'!$A$2:$E$9,2,FALSE),"No Trainer Assigned")</f>
        <v>Kavya</v>
      </c>
      <c r="D594">
        <f>IFERROR(VLOOKUP(B594,'Cleaned Trainer Data'!$A$2:$E$11,4,FALSE),"0")</f>
        <v>3.28</v>
      </c>
    </row>
    <row r="595" spans="1:4" x14ac:dyDescent="0.35">
      <c r="A595" t="s">
        <v>626</v>
      </c>
      <c r="B595" t="s">
        <v>14</v>
      </c>
      <c r="C595" t="str">
        <f>IFERROR(VLOOKUP(B595,'Cleaned Trainer Data'!$A$2:$E$9,2,FALSE),"No Trainer Assigned")</f>
        <v>Vishal</v>
      </c>
      <c r="D595">
        <f>IFERROR(VLOOKUP(B595,'Cleaned Trainer Data'!$A$2:$E$11,4,FALSE),"0")</f>
        <v>3.09</v>
      </c>
    </row>
    <row r="596" spans="1:4" x14ac:dyDescent="0.35">
      <c r="A596" t="s">
        <v>627</v>
      </c>
      <c r="B596" t="s">
        <v>10</v>
      </c>
      <c r="C596" t="str">
        <f>IFERROR(VLOOKUP(B596,'Cleaned Trainer Data'!$A$2:$E$9,2,FALSE),"No Trainer Assigned")</f>
        <v>Arun</v>
      </c>
      <c r="D596">
        <f>IFERROR(VLOOKUP(B596,'Cleaned Trainer Data'!$A$2:$E$11,4,FALSE),"0")</f>
        <v>4.3</v>
      </c>
    </row>
    <row r="597" spans="1:4" x14ac:dyDescent="0.35">
      <c r="A597" t="s">
        <v>628</v>
      </c>
      <c r="B597" t="s">
        <v>18</v>
      </c>
      <c r="C597" t="str">
        <f>IFERROR(VLOOKUP(B597,'Cleaned Trainer Data'!$A$2:$E$9,2,FALSE),"No Trainer Assigned")</f>
        <v>Meera</v>
      </c>
      <c r="D597">
        <f>IFERROR(VLOOKUP(B597,'Cleaned Trainer Data'!$A$2:$E$11,4,FALSE),"0")</f>
        <v>4.75</v>
      </c>
    </row>
    <row r="598" spans="1:4" x14ac:dyDescent="0.35">
      <c r="A598" t="s">
        <v>629</v>
      </c>
      <c r="B598" t="s">
        <v>18</v>
      </c>
      <c r="C598" t="str">
        <f>IFERROR(VLOOKUP(B598,'Cleaned Trainer Data'!$A$2:$E$9,2,FALSE),"No Trainer Assigned")</f>
        <v>Meera</v>
      </c>
      <c r="D598">
        <f>IFERROR(VLOOKUP(B598,'Cleaned Trainer Data'!$A$2:$E$11,4,FALSE),"0")</f>
        <v>4.75</v>
      </c>
    </row>
    <row r="599" spans="1:4" x14ac:dyDescent="0.35">
      <c r="A599" t="s">
        <v>630</v>
      </c>
      <c r="B599" t="s">
        <v>18</v>
      </c>
      <c r="C599" t="str">
        <f>IFERROR(VLOOKUP(B599,'Cleaned Trainer Data'!$A$2:$E$9,2,FALSE),"No Trainer Assigned")</f>
        <v>Meera</v>
      </c>
      <c r="D599">
        <f>IFERROR(VLOOKUP(B599,'Cleaned Trainer Data'!$A$2:$E$11,4,FALSE),"0")</f>
        <v>4.75</v>
      </c>
    </row>
    <row r="600" spans="1:4" x14ac:dyDescent="0.35">
      <c r="A600" t="s">
        <v>631</v>
      </c>
      <c r="B600" t="s">
        <v>14</v>
      </c>
      <c r="C600" t="str">
        <f>IFERROR(VLOOKUP(B600,'Cleaned Trainer Data'!$A$2:$E$9,2,FALSE),"No Trainer Assigned")</f>
        <v>Vishal</v>
      </c>
      <c r="D600">
        <f>IFERROR(VLOOKUP(B600,'Cleaned Trainer Data'!$A$2:$E$11,4,FALSE),"0")</f>
        <v>3.09</v>
      </c>
    </row>
    <row r="601" spans="1:4" x14ac:dyDescent="0.35">
      <c r="A601" t="s">
        <v>632</v>
      </c>
      <c r="B601" t="s">
        <v>21</v>
      </c>
      <c r="C601" t="str">
        <f>IFERROR(VLOOKUP(B601,'Cleaned Trainer Data'!$A$2:$E$9,2,FALSE),"No Trainer Assigned")</f>
        <v>Kavya</v>
      </c>
      <c r="D601">
        <f>IFERROR(VLOOKUP(B601,'Cleaned Trainer Data'!$A$2:$E$11,4,FALSE),"0")</f>
        <v>3.28</v>
      </c>
    </row>
    <row r="602" spans="1:4" x14ac:dyDescent="0.35">
      <c r="A602" t="s">
        <v>633</v>
      </c>
      <c r="B602" t="s">
        <v>27</v>
      </c>
      <c r="C602" t="str">
        <f>IFERROR(VLOOKUP(B602,'Cleaned Trainer Data'!$A$2:$E$9,2,FALSE),"No Trainer Assigned")</f>
        <v>Joseph</v>
      </c>
      <c r="D602">
        <f>IFERROR(VLOOKUP(B602,'Cleaned Trainer Data'!$A$2:$E$11,4,FALSE),"0")</f>
        <v>4.58</v>
      </c>
    </row>
    <row r="603" spans="1:4" x14ac:dyDescent="0.35">
      <c r="A603" t="s">
        <v>634</v>
      </c>
      <c r="B603" t="s">
        <v>27</v>
      </c>
      <c r="C603" t="str">
        <f>IFERROR(VLOOKUP(B603,'Cleaned Trainer Data'!$A$2:$E$9,2,FALSE),"No Trainer Assigned")</f>
        <v>Joseph</v>
      </c>
      <c r="D603">
        <f>IFERROR(VLOOKUP(B603,'Cleaned Trainer Data'!$A$2:$E$11,4,FALSE),"0")</f>
        <v>4.58</v>
      </c>
    </row>
    <row r="604" spans="1:4" x14ac:dyDescent="0.35">
      <c r="A604" t="s">
        <v>635</v>
      </c>
      <c r="B604" t="s">
        <v>14</v>
      </c>
      <c r="C604" t="str">
        <f>IFERROR(VLOOKUP(B604,'Cleaned Trainer Data'!$A$2:$E$9,2,FALSE),"No Trainer Assigned")</f>
        <v>Vishal</v>
      </c>
      <c r="D604">
        <f>IFERROR(VLOOKUP(B604,'Cleaned Trainer Data'!$A$2:$E$11,4,FALSE),"0")</f>
        <v>3.09</v>
      </c>
    </row>
    <row r="605" spans="1:4" x14ac:dyDescent="0.35">
      <c r="A605" t="s">
        <v>636</v>
      </c>
      <c r="B605" t="s">
        <v>27</v>
      </c>
      <c r="C605" t="str">
        <f>IFERROR(VLOOKUP(B605,'Cleaned Trainer Data'!$A$2:$E$9,2,FALSE),"No Trainer Assigned")</f>
        <v>Joseph</v>
      </c>
      <c r="D605">
        <f>IFERROR(VLOOKUP(B605,'Cleaned Trainer Data'!$A$2:$E$11,4,FALSE),"0")</f>
        <v>4.58</v>
      </c>
    </row>
    <row r="606" spans="1:4" x14ac:dyDescent="0.35">
      <c r="A606" t="s">
        <v>637</v>
      </c>
      <c r="B606" t="s">
        <v>18</v>
      </c>
      <c r="C606" t="str">
        <f>IFERROR(VLOOKUP(B606,'Cleaned Trainer Data'!$A$2:$E$9,2,FALSE),"No Trainer Assigned")</f>
        <v>Meera</v>
      </c>
      <c r="D606">
        <f>IFERROR(VLOOKUP(B606,'Cleaned Trainer Data'!$A$2:$E$11,4,FALSE),"0")</f>
        <v>4.75</v>
      </c>
    </row>
    <row r="607" spans="1:4" x14ac:dyDescent="0.35">
      <c r="A607" t="s">
        <v>638</v>
      </c>
      <c r="B607" t="s">
        <v>10</v>
      </c>
      <c r="C607" t="str">
        <f>IFERROR(VLOOKUP(B607,'Cleaned Trainer Data'!$A$2:$E$9,2,FALSE),"No Trainer Assigned")</f>
        <v>Arun</v>
      </c>
      <c r="D607">
        <f>IFERROR(VLOOKUP(B607,'Cleaned Trainer Data'!$A$2:$E$11,4,FALSE),"0")</f>
        <v>4.3</v>
      </c>
    </row>
    <row r="608" spans="1:4" x14ac:dyDescent="0.35">
      <c r="A608" t="s">
        <v>639</v>
      </c>
      <c r="B608" t="s">
        <v>37</v>
      </c>
      <c r="C608" t="str">
        <f>IFERROR(VLOOKUP(B608,'Cleaned Trainer Data'!$A$2:$E$9,2,FALSE),"No Trainer Assigned")</f>
        <v>No Trainer Assigned</v>
      </c>
      <c r="D608" t="str">
        <f>IFERROR(VLOOKUP(B608,'Cleaned Trainer Data'!$A$2:$E$11,4,FALSE),"0")</f>
        <v>0</v>
      </c>
    </row>
    <row r="609" spans="1:4" x14ac:dyDescent="0.35">
      <c r="A609" t="s">
        <v>640</v>
      </c>
      <c r="B609" t="s">
        <v>21</v>
      </c>
      <c r="C609" t="str">
        <f>IFERROR(VLOOKUP(B609,'Cleaned Trainer Data'!$A$2:$E$9,2,FALSE),"No Trainer Assigned")</f>
        <v>Kavya</v>
      </c>
      <c r="D609">
        <f>IFERROR(VLOOKUP(B609,'Cleaned Trainer Data'!$A$2:$E$11,4,FALSE),"0")</f>
        <v>3.28</v>
      </c>
    </row>
    <row r="610" spans="1:4" x14ac:dyDescent="0.35">
      <c r="A610" t="s">
        <v>641</v>
      </c>
      <c r="B610" t="s">
        <v>21</v>
      </c>
      <c r="C610" t="str">
        <f>IFERROR(VLOOKUP(B610,'Cleaned Trainer Data'!$A$2:$E$9,2,FALSE),"No Trainer Assigned")</f>
        <v>Kavya</v>
      </c>
      <c r="D610">
        <f>IFERROR(VLOOKUP(B610,'Cleaned Trainer Data'!$A$2:$E$11,4,FALSE),"0")</f>
        <v>3.28</v>
      </c>
    </row>
    <row r="611" spans="1:4" x14ac:dyDescent="0.35">
      <c r="A611" t="s">
        <v>642</v>
      </c>
      <c r="B611" t="s">
        <v>14</v>
      </c>
      <c r="C611" t="str">
        <f>IFERROR(VLOOKUP(B611,'Cleaned Trainer Data'!$A$2:$E$9,2,FALSE),"No Trainer Assigned")</f>
        <v>Vishal</v>
      </c>
      <c r="D611">
        <f>IFERROR(VLOOKUP(B611,'Cleaned Trainer Data'!$A$2:$E$11,4,FALSE),"0")</f>
        <v>3.09</v>
      </c>
    </row>
    <row r="612" spans="1:4" x14ac:dyDescent="0.35">
      <c r="A612" t="s">
        <v>643</v>
      </c>
      <c r="B612" t="s">
        <v>21</v>
      </c>
      <c r="C612" t="str">
        <f>IFERROR(VLOOKUP(B612,'Cleaned Trainer Data'!$A$2:$E$9,2,FALSE),"No Trainer Assigned")</f>
        <v>Kavya</v>
      </c>
      <c r="D612">
        <f>IFERROR(VLOOKUP(B612,'Cleaned Trainer Data'!$A$2:$E$11,4,FALSE),"0")</f>
        <v>3.28</v>
      </c>
    </row>
    <row r="613" spans="1:4" x14ac:dyDescent="0.35">
      <c r="A613" t="s">
        <v>644</v>
      </c>
      <c r="B613" t="s">
        <v>18</v>
      </c>
      <c r="C613" t="str">
        <f>IFERROR(VLOOKUP(B613,'Cleaned Trainer Data'!$A$2:$E$9,2,FALSE),"No Trainer Assigned")</f>
        <v>Meera</v>
      </c>
      <c r="D613">
        <f>IFERROR(VLOOKUP(B613,'Cleaned Trainer Data'!$A$2:$E$11,4,FALSE),"0")</f>
        <v>4.75</v>
      </c>
    </row>
    <row r="614" spans="1:4" x14ac:dyDescent="0.35">
      <c r="A614" t="s">
        <v>645</v>
      </c>
      <c r="B614" t="s">
        <v>27</v>
      </c>
      <c r="C614" t="str">
        <f>IFERROR(VLOOKUP(B614,'Cleaned Trainer Data'!$A$2:$E$9,2,FALSE),"No Trainer Assigned")</f>
        <v>Joseph</v>
      </c>
      <c r="D614">
        <f>IFERROR(VLOOKUP(B614,'Cleaned Trainer Data'!$A$2:$E$11,4,FALSE),"0")</f>
        <v>4.58</v>
      </c>
    </row>
    <row r="615" spans="1:4" x14ac:dyDescent="0.35">
      <c r="A615" t="s">
        <v>646</v>
      </c>
      <c r="B615" t="s">
        <v>18</v>
      </c>
      <c r="C615" t="str">
        <f>IFERROR(VLOOKUP(B615,'Cleaned Trainer Data'!$A$2:$E$9,2,FALSE),"No Trainer Assigned")</f>
        <v>Meera</v>
      </c>
      <c r="D615">
        <f>IFERROR(VLOOKUP(B615,'Cleaned Trainer Data'!$A$2:$E$11,4,FALSE),"0")</f>
        <v>4.75</v>
      </c>
    </row>
    <row r="616" spans="1:4" x14ac:dyDescent="0.35">
      <c r="A616" t="s">
        <v>647</v>
      </c>
      <c r="B616" t="s">
        <v>14</v>
      </c>
      <c r="C616" t="str">
        <f>IFERROR(VLOOKUP(B616,'Cleaned Trainer Data'!$A$2:$E$9,2,FALSE),"No Trainer Assigned")</f>
        <v>Vishal</v>
      </c>
      <c r="D616">
        <f>IFERROR(VLOOKUP(B616,'Cleaned Trainer Data'!$A$2:$E$11,4,FALSE),"0")</f>
        <v>3.09</v>
      </c>
    </row>
    <row r="617" spans="1:4" x14ac:dyDescent="0.35">
      <c r="A617" t="s">
        <v>648</v>
      </c>
      <c r="B617" t="s">
        <v>18</v>
      </c>
      <c r="C617" t="str">
        <f>IFERROR(VLOOKUP(B617,'Cleaned Trainer Data'!$A$2:$E$9,2,FALSE),"No Trainer Assigned")</f>
        <v>Meera</v>
      </c>
      <c r="D617">
        <f>IFERROR(VLOOKUP(B617,'Cleaned Trainer Data'!$A$2:$E$11,4,FALSE),"0")</f>
        <v>4.75</v>
      </c>
    </row>
    <row r="618" spans="1:4" x14ac:dyDescent="0.35">
      <c r="A618" t="s">
        <v>649</v>
      </c>
      <c r="B618" t="s">
        <v>27</v>
      </c>
      <c r="C618" t="str">
        <f>IFERROR(VLOOKUP(B618,'Cleaned Trainer Data'!$A$2:$E$9,2,FALSE),"No Trainer Assigned")</f>
        <v>Joseph</v>
      </c>
      <c r="D618">
        <f>IFERROR(VLOOKUP(B618,'Cleaned Trainer Data'!$A$2:$E$11,4,FALSE),"0")</f>
        <v>4.58</v>
      </c>
    </row>
    <row r="619" spans="1:4" x14ac:dyDescent="0.35">
      <c r="A619" t="s">
        <v>650</v>
      </c>
      <c r="B619" t="s">
        <v>10</v>
      </c>
      <c r="C619" t="str">
        <f>IFERROR(VLOOKUP(B619,'Cleaned Trainer Data'!$A$2:$E$9,2,FALSE),"No Trainer Assigned")</f>
        <v>Arun</v>
      </c>
      <c r="D619">
        <f>IFERROR(VLOOKUP(B619,'Cleaned Trainer Data'!$A$2:$E$11,4,FALSE),"0")</f>
        <v>4.3</v>
      </c>
    </row>
    <row r="620" spans="1:4" x14ac:dyDescent="0.35">
      <c r="A620" t="s">
        <v>651</v>
      </c>
      <c r="B620" t="s">
        <v>14</v>
      </c>
      <c r="C620" t="str">
        <f>IFERROR(VLOOKUP(B620,'Cleaned Trainer Data'!$A$2:$E$9,2,FALSE),"No Trainer Assigned")</f>
        <v>Vishal</v>
      </c>
      <c r="D620">
        <f>IFERROR(VLOOKUP(B620,'Cleaned Trainer Data'!$A$2:$E$11,4,FALSE),"0")</f>
        <v>3.09</v>
      </c>
    </row>
    <row r="621" spans="1:4" x14ac:dyDescent="0.35">
      <c r="A621" t="s">
        <v>652</v>
      </c>
      <c r="B621" t="s">
        <v>10</v>
      </c>
      <c r="C621" t="str">
        <f>IFERROR(VLOOKUP(B621,'Cleaned Trainer Data'!$A$2:$E$9,2,FALSE),"No Trainer Assigned")</f>
        <v>Arun</v>
      </c>
      <c r="D621">
        <f>IFERROR(VLOOKUP(B621,'Cleaned Trainer Data'!$A$2:$E$11,4,FALSE),"0")</f>
        <v>4.3</v>
      </c>
    </row>
    <row r="622" spans="1:4" x14ac:dyDescent="0.35">
      <c r="A622" t="s">
        <v>653</v>
      </c>
      <c r="B622" t="s">
        <v>37</v>
      </c>
      <c r="C622" t="str">
        <f>IFERROR(VLOOKUP(B622,'Cleaned Trainer Data'!$A$2:$E$9,2,FALSE),"No Trainer Assigned")</f>
        <v>No Trainer Assigned</v>
      </c>
      <c r="D622" t="str">
        <f>IFERROR(VLOOKUP(B622,'Cleaned Trainer Data'!$A$2:$E$11,4,FALSE),"0")</f>
        <v>0</v>
      </c>
    </row>
    <row r="623" spans="1:4" x14ac:dyDescent="0.35">
      <c r="A623" t="s">
        <v>654</v>
      </c>
      <c r="B623" t="s">
        <v>10</v>
      </c>
      <c r="C623" t="str">
        <f>IFERROR(VLOOKUP(B623,'Cleaned Trainer Data'!$A$2:$E$9,2,FALSE),"No Trainer Assigned")</f>
        <v>Arun</v>
      </c>
      <c r="D623">
        <f>IFERROR(VLOOKUP(B623,'Cleaned Trainer Data'!$A$2:$E$11,4,FALSE),"0")</f>
        <v>4.3</v>
      </c>
    </row>
    <row r="624" spans="1:4" x14ac:dyDescent="0.35">
      <c r="A624" t="s">
        <v>655</v>
      </c>
      <c r="B624" t="s">
        <v>37</v>
      </c>
      <c r="C624" t="str">
        <f>IFERROR(VLOOKUP(B624,'Cleaned Trainer Data'!$A$2:$E$9,2,FALSE),"No Trainer Assigned")</f>
        <v>No Trainer Assigned</v>
      </c>
      <c r="D624" t="str">
        <f>IFERROR(VLOOKUP(B624,'Cleaned Trainer Data'!$A$2:$E$11,4,FALSE),"0")</f>
        <v>0</v>
      </c>
    </row>
    <row r="625" spans="1:4" x14ac:dyDescent="0.35">
      <c r="A625" t="s">
        <v>656</v>
      </c>
      <c r="B625" t="s">
        <v>37</v>
      </c>
      <c r="C625" t="str">
        <f>IFERROR(VLOOKUP(B625,'Cleaned Trainer Data'!$A$2:$E$9,2,FALSE),"No Trainer Assigned")</f>
        <v>No Trainer Assigned</v>
      </c>
      <c r="D625" t="str">
        <f>IFERROR(VLOOKUP(B625,'Cleaned Trainer Data'!$A$2:$E$11,4,FALSE),"0")</f>
        <v>0</v>
      </c>
    </row>
    <row r="626" spans="1:4" x14ac:dyDescent="0.35">
      <c r="A626" t="s">
        <v>657</v>
      </c>
      <c r="B626" t="s">
        <v>10</v>
      </c>
      <c r="C626" t="str">
        <f>IFERROR(VLOOKUP(B626,'Cleaned Trainer Data'!$A$2:$E$9,2,FALSE),"No Trainer Assigned")</f>
        <v>Arun</v>
      </c>
      <c r="D626">
        <f>IFERROR(VLOOKUP(B626,'Cleaned Trainer Data'!$A$2:$E$11,4,FALSE),"0")</f>
        <v>4.3</v>
      </c>
    </row>
    <row r="627" spans="1:4" x14ac:dyDescent="0.35">
      <c r="A627" t="s">
        <v>658</v>
      </c>
      <c r="B627" t="s">
        <v>14</v>
      </c>
      <c r="C627" t="str">
        <f>IFERROR(VLOOKUP(B627,'Cleaned Trainer Data'!$A$2:$E$9,2,FALSE),"No Trainer Assigned")</f>
        <v>Vishal</v>
      </c>
      <c r="D627">
        <f>IFERROR(VLOOKUP(B627,'Cleaned Trainer Data'!$A$2:$E$11,4,FALSE),"0")</f>
        <v>3.09</v>
      </c>
    </row>
    <row r="628" spans="1:4" x14ac:dyDescent="0.35">
      <c r="A628" t="s">
        <v>659</v>
      </c>
      <c r="B628" t="s">
        <v>27</v>
      </c>
      <c r="C628" t="str">
        <f>IFERROR(VLOOKUP(B628,'Cleaned Trainer Data'!$A$2:$E$9,2,FALSE),"No Trainer Assigned")</f>
        <v>Joseph</v>
      </c>
      <c r="D628">
        <f>IFERROR(VLOOKUP(B628,'Cleaned Trainer Data'!$A$2:$E$11,4,FALSE),"0")</f>
        <v>4.58</v>
      </c>
    </row>
    <row r="629" spans="1:4" x14ac:dyDescent="0.35">
      <c r="A629" t="s">
        <v>660</v>
      </c>
      <c r="B629" t="s">
        <v>18</v>
      </c>
      <c r="C629" t="str">
        <f>IFERROR(VLOOKUP(B629,'Cleaned Trainer Data'!$A$2:$E$9,2,FALSE),"No Trainer Assigned")</f>
        <v>Meera</v>
      </c>
      <c r="D629">
        <f>IFERROR(VLOOKUP(B629,'Cleaned Trainer Data'!$A$2:$E$11,4,FALSE),"0")</f>
        <v>4.75</v>
      </c>
    </row>
    <row r="630" spans="1:4" x14ac:dyDescent="0.35">
      <c r="A630" t="s">
        <v>661</v>
      </c>
      <c r="B630" t="s">
        <v>18</v>
      </c>
      <c r="C630" t="str">
        <f>IFERROR(VLOOKUP(B630,'Cleaned Trainer Data'!$A$2:$E$9,2,FALSE),"No Trainer Assigned")</f>
        <v>Meera</v>
      </c>
      <c r="D630">
        <f>IFERROR(VLOOKUP(B630,'Cleaned Trainer Data'!$A$2:$E$11,4,FALSE),"0")</f>
        <v>4.75</v>
      </c>
    </row>
    <row r="631" spans="1:4" x14ac:dyDescent="0.35">
      <c r="A631" t="s">
        <v>662</v>
      </c>
      <c r="B631" t="s">
        <v>27</v>
      </c>
      <c r="C631" t="str">
        <f>IFERROR(VLOOKUP(B631,'Cleaned Trainer Data'!$A$2:$E$9,2,FALSE),"No Trainer Assigned")</f>
        <v>Joseph</v>
      </c>
      <c r="D631">
        <f>IFERROR(VLOOKUP(B631,'Cleaned Trainer Data'!$A$2:$E$11,4,FALSE),"0")</f>
        <v>4.58</v>
      </c>
    </row>
    <row r="632" spans="1:4" x14ac:dyDescent="0.35">
      <c r="A632" t="s">
        <v>663</v>
      </c>
      <c r="B632" t="s">
        <v>37</v>
      </c>
      <c r="C632" t="str">
        <f>IFERROR(VLOOKUP(B632,'Cleaned Trainer Data'!$A$2:$E$9,2,FALSE),"No Trainer Assigned")</f>
        <v>No Trainer Assigned</v>
      </c>
      <c r="D632" t="str">
        <f>IFERROR(VLOOKUP(B632,'Cleaned Trainer Data'!$A$2:$E$11,4,FALSE),"0")</f>
        <v>0</v>
      </c>
    </row>
    <row r="633" spans="1:4" x14ac:dyDescent="0.35">
      <c r="A633" t="s">
        <v>664</v>
      </c>
      <c r="B633" t="s">
        <v>37</v>
      </c>
      <c r="C633" t="str">
        <f>IFERROR(VLOOKUP(B633,'Cleaned Trainer Data'!$A$2:$E$9,2,FALSE),"No Trainer Assigned")</f>
        <v>No Trainer Assigned</v>
      </c>
      <c r="D633" t="str">
        <f>IFERROR(VLOOKUP(B633,'Cleaned Trainer Data'!$A$2:$E$11,4,FALSE),"0")</f>
        <v>0</v>
      </c>
    </row>
    <row r="634" spans="1:4" x14ac:dyDescent="0.35">
      <c r="A634" t="s">
        <v>665</v>
      </c>
      <c r="B634" t="s">
        <v>14</v>
      </c>
      <c r="C634" t="str">
        <f>IFERROR(VLOOKUP(B634,'Cleaned Trainer Data'!$A$2:$E$9,2,FALSE),"No Trainer Assigned")</f>
        <v>Vishal</v>
      </c>
      <c r="D634">
        <f>IFERROR(VLOOKUP(B634,'Cleaned Trainer Data'!$A$2:$E$11,4,FALSE),"0")</f>
        <v>3.09</v>
      </c>
    </row>
    <row r="635" spans="1:4" x14ac:dyDescent="0.35">
      <c r="A635" t="s">
        <v>666</v>
      </c>
      <c r="B635" t="s">
        <v>21</v>
      </c>
      <c r="C635" t="str">
        <f>IFERROR(VLOOKUP(B635,'Cleaned Trainer Data'!$A$2:$E$9,2,FALSE),"No Trainer Assigned")</f>
        <v>Kavya</v>
      </c>
      <c r="D635">
        <f>IFERROR(VLOOKUP(B635,'Cleaned Trainer Data'!$A$2:$E$11,4,FALSE),"0")</f>
        <v>3.28</v>
      </c>
    </row>
    <row r="636" spans="1:4" x14ac:dyDescent="0.35">
      <c r="A636" t="s">
        <v>667</v>
      </c>
      <c r="B636" t="s">
        <v>10</v>
      </c>
      <c r="C636" t="str">
        <f>IFERROR(VLOOKUP(B636,'Cleaned Trainer Data'!$A$2:$E$9,2,FALSE),"No Trainer Assigned")</f>
        <v>Arun</v>
      </c>
      <c r="D636">
        <f>IFERROR(VLOOKUP(B636,'Cleaned Trainer Data'!$A$2:$E$11,4,FALSE),"0")</f>
        <v>4.3</v>
      </c>
    </row>
    <row r="637" spans="1:4" x14ac:dyDescent="0.35">
      <c r="A637" t="s">
        <v>668</v>
      </c>
      <c r="B637" t="s">
        <v>37</v>
      </c>
      <c r="C637" t="str">
        <f>IFERROR(VLOOKUP(B637,'Cleaned Trainer Data'!$A$2:$E$9,2,FALSE),"No Trainer Assigned")</f>
        <v>No Trainer Assigned</v>
      </c>
      <c r="D637" t="str">
        <f>IFERROR(VLOOKUP(B637,'Cleaned Trainer Data'!$A$2:$E$11,4,FALSE),"0")</f>
        <v>0</v>
      </c>
    </row>
    <row r="638" spans="1:4" x14ac:dyDescent="0.35">
      <c r="A638" t="s">
        <v>669</v>
      </c>
      <c r="B638" t="s">
        <v>18</v>
      </c>
      <c r="C638" t="str">
        <f>IFERROR(VLOOKUP(B638,'Cleaned Trainer Data'!$A$2:$E$9,2,FALSE),"No Trainer Assigned")</f>
        <v>Meera</v>
      </c>
      <c r="D638">
        <f>IFERROR(VLOOKUP(B638,'Cleaned Trainer Data'!$A$2:$E$11,4,FALSE),"0")</f>
        <v>4.75</v>
      </c>
    </row>
    <row r="639" spans="1:4" x14ac:dyDescent="0.35">
      <c r="A639" t="s">
        <v>670</v>
      </c>
      <c r="B639" t="s">
        <v>14</v>
      </c>
      <c r="C639" t="str">
        <f>IFERROR(VLOOKUP(B639,'Cleaned Trainer Data'!$A$2:$E$9,2,FALSE),"No Trainer Assigned")</f>
        <v>Vishal</v>
      </c>
      <c r="D639">
        <f>IFERROR(VLOOKUP(B639,'Cleaned Trainer Data'!$A$2:$E$11,4,FALSE),"0")</f>
        <v>3.09</v>
      </c>
    </row>
    <row r="640" spans="1:4" x14ac:dyDescent="0.35">
      <c r="A640" t="s">
        <v>671</v>
      </c>
      <c r="B640" t="s">
        <v>10</v>
      </c>
      <c r="C640" t="str">
        <f>IFERROR(VLOOKUP(B640,'Cleaned Trainer Data'!$A$2:$E$9,2,FALSE),"No Trainer Assigned")</f>
        <v>Arun</v>
      </c>
      <c r="D640">
        <f>IFERROR(VLOOKUP(B640,'Cleaned Trainer Data'!$A$2:$E$11,4,FALSE),"0")</f>
        <v>4.3</v>
      </c>
    </row>
    <row r="641" spans="1:4" x14ac:dyDescent="0.35">
      <c r="A641" t="s">
        <v>672</v>
      </c>
      <c r="B641" t="s">
        <v>14</v>
      </c>
      <c r="C641" t="str">
        <f>IFERROR(VLOOKUP(B641,'Cleaned Trainer Data'!$A$2:$E$9,2,FALSE),"No Trainer Assigned")</f>
        <v>Vishal</v>
      </c>
      <c r="D641">
        <f>IFERROR(VLOOKUP(B641,'Cleaned Trainer Data'!$A$2:$E$11,4,FALSE),"0")</f>
        <v>3.09</v>
      </c>
    </row>
    <row r="642" spans="1:4" x14ac:dyDescent="0.35">
      <c r="A642" t="s">
        <v>673</v>
      </c>
      <c r="B642" t="s">
        <v>10</v>
      </c>
      <c r="C642" t="str">
        <f>IFERROR(VLOOKUP(B642,'Cleaned Trainer Data'!$A$2:$E$9,2,FALSE),"No Trainer Assigned")</f>
        <v>Arun</v>
      </c>
      <c r="D642">
        <f>IFERROR(VLOOKUP(B642,'Cleaned Trainer Data'!$A$2:$E$11,4,FALSE),"0")</f>
        <v>4.3</v>
      </c>
    </row>
    <row r="643" spans="1:4" x14ac:dyDescent="0.35">
      <c r="A643" t="s">
        <v>674</v>
      </c>
      <c r="B643" t="s">
        <v>10</v>
      </c>
      <c r="C643" t="str">
        <f>IFERROR(VLOOKUP(B643,'Cleaned Trainer Data'!$A$2:$E$9,2,FALSE),"No Trainer Assigned")</f>
        <v>Arun</v>
      </c>
      <c r="D643">
        <f>IFERROR(VLOOKUP(B643,'Cleaned Trainer Data'!$A$2:$E$11,4,FALSE),"0")</f>
        <v>4.3</v>
      </c>
    </row>
    <row r="644" spans="1:4" x14ac:dyDescent="0.35">
      <c r="A644" t="s">
        <v>675</v>
      </c>
      <c r="B644" t="s">
        <v>27</v>
      </c>
      <c r="C644" t="str">
        <f>IFERROR(VLOOKUP(B644,'Cleaned Trainer Data'!$A$2:$E$9,2,FALSE),"No Trainer Assigned")</f>
        <v>Joseph</v>
      </c>
      <c r="D644">
        <f>IFERROR(VLOOKUP(B644,'Cleaned Trainer Data'!$A$2:$E$11,4,FALSE),"0")</f>
        <v>4.58</v>
      </c>
    </row>
    <row r="645" spans="1:4" x14ac:dyDescent="0.35">
      <c r="A645" t="s">
        <v>676</v>
      </c>
      <c r="B645" t="s">
        <v>37</v>
      </c>
      <c r="C645" t="str">
        <f>IFERROR(VLOOKUP(B645,'Cleaned Trainer Data'!$A$2:$E$9,2,FALSE),"No Trainer Assigned")</f>
        <v>No Trainer Assigned</v>
      </c>
      <c r="D645" t="str">
        <f>IFERROR(VLOOKUP(B645,'Cleaned Trainer Data'!$A$2:$E$11,4,FALSE),"0")</f>
        <v>0</v>
      </c>
    </row>
    <row r="646" spans="1:4" x14ac:dyDescent="0.35">
      <c r="A646" t="s">
        <v>677</v>
      </c>
      <c r="B646" t="s">
        <v>14</v>
      </c>
      <c r="C646" t="str">
        <f>IFERROR(VLOOKUP(B646,'Cleaned Trainer Data'!$A$2:$E$9,2,FALSE),"No Trainer Assigned")</f>
        <v>Vishal</v>
      </c>
      <c r="D646">
        <f>IFERROR(VLOOKUP(B646,'Cleaned Trainer Data'!$A$2:$E$11,4,FALSE),"0")</f>
        <v>3.09</v>
      </c>
    </row>
    <row r="647" spans="1:4" x14ac:dyDescent="0.35">
      <c r="A647" t="s">
        <v>678</v>
      </c>
      <c r="B647" t="s">
        <v>14</v>
      </c>
      <c r="C647" t="str">
        <f>IFERROR(VLOOKUP(B647,'Cleaned Trainer Data'!$A$2:$E$9,2,FALSE),"No Trainer Assigned")</f>
        <v>Vishal</v>
      </c>
      <c r="D647">
        <f>IFERROR(VLOOKUP(B647,'Cleaned Trainer Data'!$A$2:$E$11,4,FALSE),"0")</f>
        <v>3.09</v>
      </c>
    </row>
    <row r="648" spans="1:4" x14ac:dyDescent="0.35">
      <c r="A648" t="s">
        <v>679</v>
      </c>
      <c r="B648" t="s">
        <v>27</v>
      </c>
      <c r="C648" t="str">
        <f>IFERROR(VLOOKUP(B648,'Cleaned Trainer Data'!$A$2:$E$9,2,FALSE),"No Trainer Assigned")</f>
        <v>Joseph</v>
      </c>
      <c r="D648">
        <f>IFERROR(VLOOKUP(B648,'Cleaned Trainer Data'!$A$2:$E$11,4,FALSE),"0")</f>
        <v>4.58</v>
      </c>
    </row>
    <row r="649" spans="1:4" x14ac:dyDescent="0.35">
      <c r="A649" t="s">
        <v>680</v>
      </c>
      <c r="B649" t="s">
        <v>18</v>
      </c>
      <c r="C649" t="str">
        <f>IFERROR(VLOOKUP(B649,'Cleaned Trainer Data'!$A$2:$E$9,2,FALSE),"No Trainer Assigned")</f>
        <v>Meera</v>
      </c>
      <c r="D649">
        <f>IFERROR(VLOOKUP(B649,'Cleaned Trainer Data'!$A$2:$E$11,4,FALSE),"0")</f>
        <v>4.75</v>
      </c>
    </row>
    <row r="650" spans="1:4" x14ac:dyDescent="0.35">
      <c r="A650" t="s">
        <v>681</v>
      </c>
      <c r="B650" t="s">
        <v>18</v>
      </c>
      <c r="C650" t="str">
        <f>IFERROR(VLOOKUP(B650,'Cleaned Trainer Data'!$A$2:$E$9,2,FALSE),"No Trainer Assigned")</f>
        <v>Meera</v>
      </c>
      <c r="D650">
        <f>IFERROR(VLOOKUP(B650,'Cleaned Trainer Data'!$A$2:$E$11,4,FALSE),"0")</f>
        <v>4.75</v>
      </c>
    </row>
    <row r="651" spans="1:4" x14ac:dyDescent="0.35">
      <c r="A651" t="s">
        <v>682</v>
      </c>
      <c r="B651" t="s">
        <v>37</v>
      </c>
      <c r="C651" t="str">
        <f>IFERROR(VLOOKUP(B651,'Cleaned Trainer Data'!$A$2:$E$9,2,FALSE),"No Trainer Assigned")</f>
        <v>No Trainer Assigned</v>
      </c>
      <c r="D651" t="str">
        <f>IFERROR(VLOOKUP(B651,'Cleaned Trainer Data'!$A$2:$E$11,4,FALSE),"0")</f>
        <v>0</v>
      </c>
    </row>
    <row r="652" spans="1:4" x14ac:dyDescent="0.35">
      <c r="A652" t="s">
        <v>683</v>
      </c>
      <c r="B652" t="s">
        <v>37</v>
      </c>
      <c r="C652" t="str">
        <f>IFERROR(VLOOKUP(B652,'Cleaned Trainer Data'!$A$2:$E$9,2,FALSE),"No Trainer Assigned")</f>
        <v>No Trainer Assigned</v>
      </c>
      <c r="D652" t="str">
        <f>IFERROR(VLOOKUP(B652,'Cleaned Trainer Data'!$A$2:$E$11,4,FALSE),"0")</f>
        <v>0</v>
      </c>
    </row>
    <row r="653" spans="1:4" x14ac:dyDescent="0.35">
      <c r="A653" t="s">
        <v>684</v>
      </c>
      <c r="B653" t="s">
        <v>21</v>
      </c>
      <c r="C653" t="str">
        <f>IFERROR(VLOOKUP(B653,'Cleaned Trainer Data'!$A$2:$E$9,2,FALSE),"No Trainer Assigned")</f>
        <v>Kavya</v>
      </c>
      <c r="D653">
        <f>IFERROR(VLOOKUP(B653,'Cleaned Trainer Data'!$A$2:$E$11,4,FALSE),"0")</f>
        <v>3.28</v>
      </c>
    </row>
    <row r="654" spans="1:4" x14ac:dyDescent="0.35">
      <c r="A654" t="s">
        <v>685</v>
      </c>
      <c r="B654" t="s">
        <v>27</v>
      </c>
      <c r="C654" t="str">
        <f>IFERROR(VLOOKUP(B654,'Cleaned Trainer Data'!$A$2:$E$9,2,FALSE),"No Trainer Assigned")</f>
        <v>Joseph</v>
      </c>
      <c r="D654">
        <f>IFERROR(VLOOKUP(B654,'Cleaned Trainer Data'!$A$2:$E$11,4,FALSE),"0")</f>
        <v>4.58</v>
      </c>
    </row>
    <row r="655" spans="1:4" x14ac:dyDescent="0.35">
      <c r="A655" t="s">
        <v>686</v>
      </c>
      <c r="B655" t="s">
        <v>18</v>
      </c>
      <c r="C655" t="str">
        <f>IFERROR(VLOOKUP(B655,'Cleaned Trainer Data'!$A$2:$E$9,2,FALSE),"No Trainer Assigned")</f>
        <v>Meera</v>
      </c>
      <c r="D655">
        <f>IFERROR(VLOOKUP(B655,'Cleaned Trainer Data'!$A$2:$E$11,4,FALSE),"0")</f>
        <v>4.75</v>
      </c>
    </row>
    <row r="656" spans="1:4" x14ac:dyDescent="0.35">
      <c r="A656" t="s">
        <v>687</v>
      </c>
      <c r="B656" t="s">
        <v>10</v>
      </c>
      <c r="C656" t="str">
        <f>IFERROR(VLOOKUP(B656,'Cleaned Trainer Data'!$A$2:$E$9,2,FALSE),"No Trainer Assigned")</f>
        <v>Arun</v>
      </c>
      <c r="D656">
        <f>IFERROR(VLOOKUP(B656,'Cleaned Trainer Data'!$A$2:$E$11,4,FALSE),"0")</f>
        <v>4.3</v>
      </c>
    </row>
    <row r="657" spans="1:4" x14ac:dyDescent="0.35">
      <c r="A657" t="s">
        <v>688</v>
      </c>
      <c r="B657" t="s">
        <v>14</v>
      </c>
      <c r="C657" t="str">
        <f>IFERROR(VLOOKUP(B657,'Cleaned Trainer Data'!$A$2:$E$9,2,FALSE),"No Trainer Assigned")</f>
        <v>Vishal</v>
      </c>
      <c r="D657">
        <f>IFERROR(VLOOKUP(B657,'Cleaned Trainer Data'!$A$2:$E$11,4,FALSE),"0")</f>
        <v>3.09</v>
      </c>
    </row>
    <row r="658" spans="1:4" x14ac:dyDescent="0.35">
      <c r="A658" t="s">
        <v>689</v>
      </c>
      <c r="B658" t="s">
        <v>37</v>
      </c>
      <c r="C658" t="str">
        <f>IFERROR(VLOOKUP(B658,'Cleaned Trainer Data'!$A$2:$E$9,2,FALSE),"No Trainer Assigned")</f>
        <v>No Trainer Assigned</v>
      </c>
      <c r="D658" t="str">
        <f>IFERROR(VLOOKUP(B658,'Cleaned Trainer Data'!$A$2:$E$11,4,FALSE),"0")</f>
        <v>0</v>
      </c>
    </row>
    <row r="659" spans="1:4" x14ac:dyDescent="0.35">
      <c r="A659" t="s">
        <v>690</v>
      </c>
      <c r="B659" t="s">
        <v>14</v>
      </c>
      <c r="C659" t="str">
        <f>IFERROR(VLOOKUP(B659,'Cleaned Trainer Data'!$A$2:$E$9,2,FALSE),"No Trainer Assigned")</f>
        <v>Vishal</v>
      </c>
      <c r="D659">
        <f>IFERROR(VLOOKUP(B659,'Cleaned Trainer Data'!$A$2:$E$11,4,FALSE),"0")</f>
        <v>3.09</v>
      </c>
    </row>
    <row r="660" spans="1:4" x14ac:dyDescent="0.35">
      <c r="A660" t="s">
        <v>691</v>
      </c>
      <c r="B660" t="s">
        <v>14</v>
      </c>
      <c r="C660" t="str">
        <f>IFERROR(VLOOKUP(B660,'Cleaned Trainer Data'!$A$2:$E$9,2,FALSE),"No Trainer Assigned")</f>
        <v>Vishal</v>
      </c>
      <c r="D660">
        <f>IFERROR(VLOOKUP(B660,'Cleaned Trainer Data'!$A$2:$E$11,4,FALSE),"0")</f>
        <v>3.09</v>
      </c>
    </row>
    <row r="661" spans="1:4" x14ac:dyDescent="0.35">
      <c r="A661" t="s">
        <v>692</v>
      </c>
      <c r="B661" t="s">
        <v>21</v>
      </c>
      <c r="C661" t="str">
        <f>IFERROR(VLOOKUP(B661,'Cleaned Trainer Data'!$A$2:$E$9,2,FALSE),"No Trainer Assigned")</f>
        <v>Kavya</v>
      </c>
      <c r="D661">
        <f>IFERROR(VLOOKUP(B661,'Cleaned Trainer Data'!$A$2:$E$11,4,FALSE),"0")</f>
        <v>3.28</v>
      </c>
    </row>
    <row r="662" spans="1:4" x14ac:dyDescent="0.35">
      <c r="A662" t="s">
        <v>693</v>
      </c>
      <c r="B662" t="s">
        <v>18</v>
      </c>
      <c r="C662" t="str">
        <f>IFERROR(VLOOKUP(B662,'Cleaned Trainer Data'!$A$2:$E$9,2,FALSE),"No Trainer Assigned")</f>
        <v>Meera</v>
      </c>
      <c r="D662">
        <f>IFERROR(VLOOKUP(B662,'Cleaned Trainer Data'!$A$2:$E$11,4,FALSE),"0")</f>
        <v>4.75</v>
      </c>
    </row>
    <row r="663" spans="1:4" x14ac:dyDescent="0.35">
      <c r="A663" t="s">
        <v>694</v>
      </c>
      <c r="B663" t="s">
        <v>37</v>
      </c>
      <c r="C663" t="str">
        <f>IFERROR(VLOOKUP(B663,'Cleaned Trainer Data'!$A$2:$E$9,2,FALSE),"No Trainer Assigned")</f>
        <v>No Trainer Assigned</v>
      </c>
      <c r="D663" t="str">
        <f>IFERROR(VLOOKUP(B663,'Cleaned Trainer Data'!$A$2:$E$11,4,FALSE),"0")</f>
        <v>0</v>
      </c>
    </row>
    <row r="664" spans="1:4" x14ac:dyDescent="0.35">
      <c r="A664" t="s">
        <v>695</v>
      </c>
      <c r="B664" t="s">
        <v>14</v>
      </c>
      <c r="C664" t="str">
        <f>IFERROR(VLOOKUP(B664,'Cleaned Trainer Data'!$A$2:$E$9,2,FALSE),"No Trainer Assigned")</f>
        <v>Vishal</v>
      </c>
      <c r="D664">
        <f>IFERROR(VLOOKUP(B664,'Cleaned Trainer Data'!$A$2:$E$11,4,FALSE),"0")</f>
        <v>3.09</v>
      </c>
    </row>
    <row r="665" spans="1:4" x14ac:dyDescent="0.35">
      <c r="A665" t="s">
        <v>696</v>
      </c>
      <c r="B665" t="s">
        <v>37</v>
      </c>
      <c r="C665" t="str">
        <f>IFERROR(VLOOKUP(B665,'Cleaned Trainer Data'!$A$2:$E$9,2,FALSE),"No Trainer Assigned")</f>
        <v>No Trainer Assigned</v>
      </c>
      <c r="D665" t="str">
        <f>IFERROR(VLOOKUP(B665,'Cleaned Trainer Data'!$A$2:$E$11,4,FALSE),"0")</f>
        <v>0</v>
      </c>
    </row>
    <row r="666" spans="1:4" x14ac:dyDescent="0.35">
      <c r="A666" t="s">
        <v>697</v>
      </c>
      <c r="B666" t="s">
        <v>10</v>
      </c>
      <c r="C666" t="str">
        <f>IFERROR(VLOOKUP(B666,'Cleaned Trainer Data'!$A$2:$E$9,2,FALSE),"No Trainer Assigned")</f>
        <v>Arun</v>
      </c>
      <c r="D666">
        <f>IFERROR(VLOOKUP(B666,'Cleaned Trainer Data'!$A$2:$E$11,4,FALSE),"0")</f>
        <v>4.3</v>
      </c>
    </row>
    <row r="667" spans="1:4" x14ac:dyDescent="0.35">
      <c r="A667" t="s">
        <v>698</v>
      </c>
      <c r="B667" t="s">
        <v>21</v>
      </c>
      <c r="C667" t="str">
        <f>IFERROR(VLOOKUP(B667,'Cleaned Trainer Data'!$A$2:$E$9,2,FALSE),"No Trainer Assigned")</f>
        <v>Kavya</v>
      </c>
      <c r="D667">
        <f>IFERROR(VLOOKUP(B667,'Cleaned Trainer Data'!$A$2:$E$11,4,FALSE),"0")</f>
        <v>3.28</v>
      </c>
    </row>
    <row r="668" spans="1:4" x14ac:dyDescent="0.35">
      <c r="A668" t="s">
        <v>699</v>
      </c>
      <c r="B668" t="s">
        <v>10</v>
      </c>
      <c r="C668" t="str">
        <f>IFERROR(VLOOKUP(B668,'Cleaned Trainer Data'!$A$2:$E$9,2,FALSE),"No Trainer Assigned")</f>
        <v>Arun</v>
      </c>
      <c r="D668">
        <f>IFERROR(VLOOKUP(B668,'Cleaned Trainer Data'!$A$2:$E$11,4,FALSE),"0")</f>
        <v>4.3</v>
      </c>
    </row>
    <row r="669" spans="1:4" x14ac:dyDescent="0.35">
      <c r="A669" t="s">
        <v>700</v>
      </c>
      <c r="B669" t="s">
        <v>37</v>
      </c>
      <c r="C669" t="str">
        <f>IFERROR(VLOOKUP(B669,'Cleaned Trainer Data'!$A$2:$E$9,2,FALSE),"No Trainer Assigned")</f>
        <v>No Trainer Assigned</v>
      </c>
      <c r="D669" t="str">
        <f>IFERROR(VLOOKUP(B669,'Cleaned Trainer Data'!$A$2:$E$11,4,FALSE),"0")</f>
        <v>0</v>
      </c>
    </row>
    <row r="670" spans="1:4" x14ac:dyDescent="0.35">
      <c r="A670" t="s">
        <v>701</v>
      </c>
      <c r="B670" t="s">
        <v>37</v>
      </c>
      <c r="C670" t="str">
        <f>IFERROR(VLOOKUP(B670,'Cleaned Trainer Data'!$A$2:$E$9,2,FALSE),"No Trainer Assigned")</f>
        <v>No Trainer Assigned</v>
      </c>
      <c r="D670" t="str">
        <f>IFERROR(VLOOKUP(B670,'Cleaned Trainer Data'!$A$2:$E$11,4,FALSE),"0")</f>
        <v>0</v>
      </c>
    </row>
    <row r="671" spans="1:4" x14ac:dyDescent="0.35">
      <c r="A671" t="s">
        <v>702</v>
      </c>
      <c r="B671" t="s">
        <v>18</v>
      </c>
      <c r="C671" t="str">
        <f>IFERROR(VLOOKUP(B671,'Cleaned Trainer Data'!$A$2:$E$9,2,FALSE),"No Trainer Assigned")</f>
        <v>Meera</v>
      </c>
      <c r="D671">
        <f>IFERROR(VLOOKUP(B671,'Cleaned Trainer Data'!$A$2:$E$11,4,FALSE),"0")</f>
        <v>4.75</v>
      </c>
    </row>
    <row r="672" spans="1:4" x14ac:dyDescent="0.35">
      <c r="A672" t="s">
        <v>703</v>
      </c>
      <c r="B672" t="s">
        <v>14</v>
      </c>
      <c r="C672" t="str">
        <f>IFERROR(VLOOKUP(B672,'Cleaned Trainer Data'!$A$2:$E$9,2,FALSE),"No Trainer Assigned")</f>
        <v>Vishal</v>
      </c>
      <c r="D672">
        <f>IFERROR(VLOOKUP(B672,'Cleaned Trainer Data'!$A$2:$E$11,4,FALSE),"0")</f>
        <v>3.09</v>
      </c>
    </row>
    <row r="673" spans="1:4" x14ac:dyDescent="0.35">
      <c r="A673" t="s">
        <v>704</v>
      </c>
      <c r="B673" t="s">
        <v>14</v>
      </c>
      <c r="C673" t="str">
        <f>IFERROR(VLOOKUP(B673,'Cleaned Trainer Data'!$A$2:$E$9,2,FALSE),"No Trainer Assigned")</f>
        <v>Vishal</v>
      </c>
      <c r="D673">
        <f>IFERROR(VLOOKUP(B673,'Cleaned Trainer Data'!$A$2:$E$11,4,FALSE),"0")</f>
        <v>3.09</v>
      </c>
    </row>
    <row r="674" spans="1:4" x14ac:dyDescent="0.35">
      <c r="A674" t="s">
        <v>705</v>
      </c>
      <c r="B674" t="s">
        <v>10</v>
      </c>
      <c r="C674" t="str">
        <f>IFERROR(VLOOKUP(B674,'Cleaned Trainer Data'!$A$2:$E$9,2,FALSE),"No Trainer Assigned")</f>
        <v>Arun</v>
      </c>
      <c r="D674">
        <f>IFERROR(VLOOKUP(B674,'Cleaned Trainer Data'!$A$2:$E$11,4,FALSE),"0")</f>
        <v>4.3</v>
      </c>
    </row>
    <row r="675" spans="1:4" x14ac:dyDescent="0.35">
      <c r="A675" t="s">
        <v>706</v>
      </c>
      <c r="B675" t="s">
        <v>21</v>
      </c>
      <c r="C675" t="str">
        <f>IFERROR(VLOOKUP(B675,'Cleaned Trainer Data'!$A$2:$E$9,2,FALSE),"No Trainer Assigned")</f>
        <v>Kavya</v>
      </c>
      <c r="D675">
        <f>IFERROR(VLOOKUP(B675,'Cleaned Trainer Data'!$A$2:$E$11,4,FALSE),"0")</f>
        <v>3.28</v>
      </c>
    </row>
    <row r="676" spans="1:4" x14ac:dyDescent="0.35">
      <c r="A676" t="s">
        <v>707</v>
      </c>
      <c r="B676" t="s">
        <v>27</v>
      </c>
      <c r="C676" t="str">
        <f>IFERROR(VLOOKUP(B676,'Cleaned Trainer Data'!$A$2:$E$9,2,FALSE),"No Trainer Assigned")</f>
        <v>Joseph</v>
      </c>
      <c r="D676">
        <f>IFERROR(VLOOKUP(B676,'Cleaned Trainer Data'!$A$2:$E$11,4,FALSE),"0")</f>
        <v>4.58</v>
      </c>
    </row>
    <row r="677" spans="1:4" x14ac:dyDescent="0.35">
      <c r="A677" t="s">
        <v>708</v>
      </c>
      <c r="B677" t="s">
        <v>14</v>
      </c>
      <c r="C677" t="str">
        <f>IFERROR(VLOOKUP(B677,'Cleaned Trainer Data'!$A$2:$E$9,2,FALSE),"No Trainer Assigned")</f>
        <v>Vishal</v>
      </c>
      <c r="D677">
        <f>IFERROR(VLOOKUP(B677,'Cleaned Trainer Data'!$A$2:$E$11,4,FALSE),"0")</f>
        <v>3.09</v>
      </c>
    </row>
    <row r="678" spans="1:4" x14ac:dyDescent="0.35">
      <c r="A678" t="s">
        <v>709</v>
      </c>
      <c r="B678" t="s">
        <v>18</v>
      </c>
      <c r="C678" t="str">
        <f>IFERROR(VLOOKUP(B678,'Cleaned Trainer Data'!$A$2:$E$9,2,FALSE),"No Trainer Assigned")</f>
        <v>Meera</v>
      </c>
      <c r="D678">
        <f>IFERROR(VLOOKUP(B678,'Cleaned Trainer Data'!$A$2:$E$11,4,FALSE),"0")</f>
        <v>4.75</v>
      </c>
    </row>
    <row r="679" spans="1:4" x14ac:dyDescent="0.35">
      <c r="A679" t="s">
        <v>710</v>
      </c>
      <c r="B679" t="s">
        <v>10</v>
      </c>
      <c r="C679" t="str">
        <f>IFERROR(VLOOKUP(B679,'Cleaned Trainer Data'!$A$2:$E$9,2,FALSE),"No Trainer Assigned")</f>
        <v>Arun</v>
      </c>
      <c r="D679">
        <f>IFERROR(VLOOKUP(B679,'Cleaned Trainer Data'!$A$2:$E$11,4,FALSE),"0")</f>
        <v>4.3</v>
      </c>
    </row>
    <row r="680" spans="1:4" x14ac:dyDescent="0.35">
      <c r="A680" t="s">
        <v>711</v>
      </c>
      <c r="B680" t="s">
        <v>10</v>
      </c>
      <c r="C680" t="str">
        <f>IFERROR(VLOOKUP(B680,'Cleaned Trainer Data'!$A$2:$E$9,2,FALSE),"No Trainer Assigned")</f>
        <v>Arun</v>
      </c>
      <c r="D680">
        <f>IFERROR(VLOOKUP(B680,'Cleaned Trainer Data'!$A$2:$E$11,4,FALSE),"0")</f>
        <v>4.3</v>
      </c>
    </row>
    <row r="681" spans="1:4" x14ac:dyDescent="0.35">
      <c r="A681" t="s">
        <v>712</v>
      </c>
      <c r="B681" t="s">
        <v>27</v>
      </c>
      <c r="C681" t="str">
        <f>IFERROR(VLOOKUP(B681,'Cleaned Trainer Data'!$A$2:$E$9,2,FALSE),"No Trainer Assigned")</f>
        <v>Joseph</v>
      </c>
      <c r="D681">
        <f>IFERROR(VLOOKUP(B681,'Cleaned Trainer Data'!$A$2:$E$11,4,FALSE),"0")</f>
        <v>4.58</v>
      </c>
    </row>
    <row r="682" spans="1:4" x14ac:dyDescent="0.35">
      <c r="A682" t="s">
        <v>713</v>
      </c>
      <c r="B682" t="s">
        <v>18</v>
      </c>
      <c r="C682" t="str">
        <f>IFERROR(VLOOKUP(B682,'Cleaned Trainer Data'!$A$2:$E$9,2,FALSE),"No Trainer Assigned")</f>
        <v>Meera</v>
      </c>
      <c r="D682">
        <f>IFERROR(VLOOKUP(B682,'Cleaned Trainer Data'!$A$2:$E$11,4,FALSE),"0")</f>
        <v>4.75</v>
      </c>
    </row>
    <row r="683" spans="1:4" x14ac:dyDescent="0.35">
      <c r="A683" t="s">
        <v>714</v>
      </c>
      <c r="B683" t="s">
        <v>21</v>
      </c>
      <c r="C683" t="str">
        <f>IFERROR(VLOOKUP(B683,'Cleaned Trainer Data'!$A$2:$E$9,2,FALSE),"No Trainer Assigned")</f>
        <v>Kavya</v>
      </c>
      <c r="D683">
        <f>IFERROR(VLOOKUP(B683,'Cleaned Trainer Data'!$A$2:$E$11,4,FALSE),"0")</f>
        <v>3.28</v>
      </c>
    </row>
    <row r="684" spans="1:4" x14ac:dyDescent="0.35">
      <c r="A684" t="s">
        <v>715</v>
      </c>
      <c r="B684" t="s">
        <v>18</v>
      </c>
      <c r="C684" t="str">
        <f>IFERROR(VLOOKUP(B684,'Cleaned Trainer Data'!$A$2:$E$9,2,FALSE),"No Trainer Assigned")</f>
        <v>Meera</v>
      </c>
      <c r="D684">
        <f>IFERROR(VLOOKUP(B684,'Cleaned Trainer Data'!$A$2:$E$11,4,FALSE),"0")</f>
        <v>4.75</v>
      </c>
    </row>
    <row r="685" spans="1:4" x14ac:dyDescent="0.35">
      <c r="A685" t="s">
        <v>716</v>
      </c>
      <c r="B685" t="s">
        <v>21</v>
      </c>
      <c r="C685" t="str">
        <f>IFERROR(VLOOKUP(B685,'Cleaned Trainer Data'!$A$2:$E$9,2,FALSE),"No Trainer Assigned")</f>
        <v>Kavya</v>
      </c>
      <c r="D685">
        <f>IFERROR(VLOOKUP(B685,'Cleaned Trainer Data'!$A$2:$E$11,4,FALSE),"0")</f>
        <v>3.28</v>
      </c>
    </row>
    <row r="686" spans="1:4" x14ac:dyDescent="0.35">
      <c r="A686" t="s">
        <v>717</v>
      </c>
      <c r="B686" t="s">
        <v>18</v>
      </c>
      <c r="C686" t="str">
        <f>IFERROR(VLOOKUP(B686,'Cleaned Trainer Data'!$A$2:$E$9,2,FALSE),"No Trainer Assigned")</f>
        <v>Meera</v>
      </c>
      <c r="D686">
        <f>IFERROR(VLOOKUP(B686,'Cleaned Trainer Data'!$A$2:$E$11,4,FALSE),"0")</f>
        <v>4.75</v>
      </c>
    </row>
    <row r="687" spans="1:4" x14ac:dyDescent="0.35">
      <c r="A687" t="s">
        <v>718</v>
      </c>
      <c r="B687" t="s">
        <v>18</v>
      </c>
      <c r="C687" t="str">
        <f>IFERROR(VLOOKUP(B687,'Cleaned Trainer Data'!$A$2:$E$9,2,FALSE),"No Trainer Assigned")</f>
        <v>Meera</v>
      </c>
      <c r="D687">
        <f>IFERROR(VLOOKUP(B687,'Cleaned Trainer Data'!$A$2:$E$11,4,FALSE),"0")</f>
        <v>4.75</v>
      </c>
    </row>
    <row r="688" spans="1:4" x14ac:dyDescent="0.35">
      <c r="A688" t="s">
        <v>719</v>
      </c>
      <c r="B688" t="s">
        <v>37</v>
      </c>
      <c r="C688" t="str">
        <f>IFERROR(VLOOKUP(B688,'Cleaned Trainer Data'!$A$2:$E$9,2,FALSE),"No Trainer Assigned")</f>
        <v>No Trainer Assigned</v>
      </c>
      <c r="D688" t="str">
        <f>IFERROR(VLOOKUP(B688,'Cleaned Trainer Data'!$A$2:$E$11,4,FALSE),"0")</f>
        <v>0</v>
      </c>
    </row>
    <row r="689" spans="1:4" x14ac:dyDescent="0.35">
      <c r="A689" t="s">
        <v>720</v>
      </c>
      <c r="B689" t="s">
        <v>10</v>
      </c>
      <c r="C689" t="str">
        <f>IFERROR(VLOOKUP(B689,'Cleaned Trainer Data'!$A$2:$E$9,2,FALSE),"No Trainer Assigned")</f>
        <v>Arun</v>
      </c>
      <c r="D689">
        <f>IFERROR(VLOOKUP(B689,'Cleaned Trainer Data'!$A$2:$E$11,4,FALSE),"0")</f>
        <v>4.3</v>
      </c>
    </row>
    <row r="690" spans="1:4" x14ac:dyDescent="0.35">
      <c r="A690" t="s">
        <v>721</v>
      </c>
      <c r="B690" t="s">
        <v>18</v>
      </c>
      <c r="C690" t="str">
        <f>IFERROR(VLOOKUP(B690,'Cleaned Trainer Data'!$A$2:$E$9,2,FALSE),"No Trainer Assigned")</f>
        <v>Meera</v>
      </c>
      <c r="D690">
        <f>IFERROR(VLOOKUP(B690,'Cleaned Trainer Data'!$A$2:$E$11,4,FALSE),"0")</f>
        <v>4.75</v>
      </c>
    </row>
    <row r="691" spans="1:4" x14ac:dyDescent="0.35">
      <c r="A691" t="s">
        <v>722</v>
      </c>
      <c r="B691" t="s">
        <v>27</v>
      </c>
      <c r="C691" t="str">
        <f>IFERROR(VLOOKUP(B691,'Cleaned Trainer Data'!$A$2:$E$9,2,FALSE),"No Trainer Assigned")</f>
        <v>Joseph</v>
      </c>
      <c r="D691">
        <f>IFERROR(VLOOKUP(B691,'Cleaned Trainer Data'!$A$2:$E$11,4,FALSE),"0")</f>
        <v>4.58</v>
      </c>
    </row>
    <row r="692" spans="1:4" x14ac:dyDescent="0.35">
      <c r="A692" t="s">
        <v>723</v>
      </c>
      <c r="B692" t="s">
        <v>18</v>
      </c>
      <c r="C692" t="str">
        <f>IFERROR(VLOOKUP(B692,'Cleaned Trainer Data'!$A$2:$E$9,2,FALSE),"No Trainer Assigned")</f>
        <v>Meera</v>
      </c>
      <c r="D692">
        <f>IFERROR(VLOOKUP(B692,'Cleaned Trainer Data'!$A$2:$E$11,4,FALSE),"0")</f>
        <v>4.75</v>
      </c>
    </row>
    <row r="693" spans="1:4" x14ac:dyDescent="0.35">
      <c r="A693" t="s">
        <v>724</v>
      </c>
      <c r="B693" t="s">
        <v>14</v>
      </c>
      <c r="C693" t="str">
        <f>IFERROR(VLOOKUP(B693,'Cleaned Trainer Data'!$A$2:$E$9,2,FALSE),"No Trainer Assigned")</f>
        <v>Vishal</v>
      </c>
      <c r="D693">
        <f>IFERROR(VLOOKUP(B693,'Cleaned Trainer Data'!$A$2:$E$11,4,FALSE),"0")</f>
        <v>3.09</v>
      </c>
    </row>
    <row r="694" spans="1:4" x14ac:dyDescent="0.35">
      <c r="A694" t="s">
        <v>725</v>
      </c>
      <c r="B694" t="s">
        <v>10</v>
      </c>
      <c r="C694" t="str">
        <f>IFERROR(VLOOKUP(B694,'Cleaned Trainer Data'!$A$2:$E$9,2,FALSE),"No Trainer Assigned")</f>
        <v>Arun</v>
      </c>
      <c r="D694">
        <f>IFERROR(VLOOKUP(B694,'Cleaned Trainer Data'!$A$2:$E$11,4,FALSE),"0")</f>
        <v>4.3</v>
      </c>
    </row>
    <row r="695" spans="1:4" x14ac:dyDescent="0.35">
      <c r="A695" t="s">
        <v>726</v>
      </c>
      <c r="B695" t="s">
        <v>14</v>
      </c>
      <c r="C695" t="str">
        <f>IFERROR(VLOOKUP(B695,'Cleaned Trainer Data'!$A$2:$E$9,2,FALSE),"No Trainer Assigned")</f>
        <v>Vishal</v>
      </c>
      <c r="D695">
        <f>IFERROR(VLOOKUP(B695,'Cleaned Trainer Data'!$A$2:$E$11,4,FALSE),"0")</f>
        <v>3.09</v>
      </c>
    </row>
    <row r="696" spans="1:4" x14ac:dyDescent="0.35">
      <c r="A696" t="s">
        <v>727</v>
      </c>
      <c r="B696" t="s">
        <v>10</v>
      </c>
      <c r="C696" t="str">
        <f>IFERROR(VLOOKUP(B696,'Cleaned Trainer Data'!$A$2:$E$9,2,FALSE),"No Trainer Assigned")</f>
        <v>Arun</v>
      </c>
      <c r="D696">
        <f>IFERROR(VLOOKUP(B696,'Cleaned Trainer Data'!$A$2:$E$11,4,FALSE),"0")</f>
        <v>4.3</v>
      </c>
    </row>
    <row r="697" spans="1:4" x14ac:dyDescent="0.35">
      <c r="A697" t="s">
        <v>728</v>
      </c>
      <c r="B697" t="s">
        <v>14</v>
      </c>
      <c r="C697" t="str">
        <f>IFERROR(VLOOKUP(B697,'Cleaned Trainer Data'!$A$2:$E$9,2,FALSE),"No Trainer Assigned")</f>
        <v>Vishal</v>
      </c>
      <c r="D697">
        <f>IFERROR(VLOOKUP(B697,'Cleaned Trainer Data'!$A$2:$E$11,4,FALSE),"0")</f>
        <v>3.09</v>
      </c>
    </row>
    <row r="698" spans="1:4" x14ac:dyDescent="0.35">
      <c r="A698" t="s">
        <v>729</v>
      </c>
      <c r="B698" t="s">
        <v>18</v>
      </c>
      <c r="C698" t="str">
        <f>IFERROR(VLOOKUP(B698,'Cleaned Trainer Data'!$A$2:$E$9,2,FALSE),"No Trainer Assigned")</f>
        <v>Meera</v>
      </c>
      <c r="D698">
        <f>IFERROR(VLOOKUP(B698,'Cleaned Trainer Data'!$A$2:$E$11,4,FALSE),"0")</f>
        <v>4.75</v>
      </c>
    </row>
    <row r="699" spans="1:4" x14ac:dyDescent="0.35">
      <c r="A699" t="s">
        <v>730</v>
      </c>
      <c r="B699" t="s">
        <v>18</v>
      </c>
      <c r="C699" t="str">
        <f>IFERROR(VLOOKUP(B699,'Cleaned Trainer Data'!$A$2:$E$9,2,FALSE),"No Trainer Assigned")</f>
        <v>Meera</v>
      </c>
      <c r="D699">
        <f>IFERROR(VLOOKUP(B699,'Cleaned Trainer Data'!$A$2:$E$11,4,FALSE),"0")</f>
        <v>4.75</v>
      </c>
    </row>
    <row r="700" spans="1:4" x14ac:dyDescent="0.35">
      <c r="A700" t="s">
        <v>731</v>
      </c>
      <c r="B700" t="s">
        <v>37</v>
      </c>
      <c r="C700" t="str">
        <f>IFERROR(VLOOKUP(B700,'Cleaned Trainer Data'!$A$2:$E$9,2,FALSE),"No Trainer Assigned")</f>
        <v>No Trainer Assigned</v>
      </c>
      <c r="D700" t="str">
        <f>IFERROR(VLOOKUP(B700,'Cleaned Trainer Data'!$A$2:$E$11,4,FALSE),"0")</f>
        <v>0</v>
      </c>
    </row>
    <row r="701" spans="1:4" x14ac:dyDescent="0.35">
      <c r="A701" t="s">
        <v>732</v>
      </c>
      <c r="B701" t="s">
        <v>27</v>
      </c>
      <c r="C701" t="str">
        <f>IFERROR(VLOOKUP(B701,'Cleaned Trainer Data'!$A$2:$E$9,2,FALSE),"No Trainer Assigned")</f>
        <v>Joseph</v>
      </c>
      <c r="D701">
        <f>IFERROR(VLOOKUP(B701,'Cleaned Trainer Data'!$A$2:$E$11,4,FALSE),"0")</f>
        <v>4.58</v>
      </c>
    </row>
    <row r="702" spans="1:4" x14ac:dyDescent="0.35">
      <c r="A702" t="s">
        <v>733</v>
      </c>
      <c r="B702" t="s">
        <v>14</v>
      </c>
      <c r="C702" t="str">
        <f>IFERROR(VLOOKUP(B702,'Cleaned Trainer Data'!$A$2:$E$9,2,FALSE),"No Trainer Assigned")</f>
        <v>Vishal</v>
      </c>
      <c r="D702">
        <f>IFERROR(VLOOKUP(B702,'Cleaned Trainer Data'!$A$2:$E$11,4,FALSE),"0")</f>
        <v>3.09</v>
      </c>
    </row>
    <row r="703" spans="1:4" x14ac:dyDescent="0.35">
      <c r="A703" t="s">
        <v>734</v>
      </c>
      <c r="B703" t="s">
        <v>21</v>
      </c>
      <c r="C703" t="str">
        <f>IFERROR(VLOOKUP(B703,'Cleaned Trainer Data'!$A$2:$E$9,2,FALSE),"No Trainer Assigned")</f>
        <v>Kavya</v>
      </c>
      <c r="D703">
        <f>IFERROR(VLOOKUP(B703,'Cleaned Trainer Data'!$A$2:$E$11,4,FALSE),"0")</f>
        <v>3.28</v>
      </c>
    </row>
    <row r="704" spans="1:4" x14ac:dyDescent="0.35">
      <c r="A704" t="s">
        <v>735</v>
      </c>
      <c r="B704" t="s">
        <v>37</v>
      </c>
      <c r="C704" t="str">
        <f>IFERROR(VLOOKUP(B704,'Cleaned Trainer Data'!$A$2:$E$9,2,FALSE),"No Trainer Assigned")</f>
        <v>No Trainer Assigned</v>
      </c>
      <c r="D704" t="str">
        <f>IFERROR(VLOOKUP(B704,'Cleaned Trainer Data'!$A$2:$E$11,4,FALSE),"0")</f>
        <v>0</v>
      </c>
    </row>
    <row r="705" spans="1:4" x14ac:dyDescent="0.35">
      <c r="A705" t="s">
        <v>736</v>
      </c>
      <c r="B705" t="s">
        <v>14</v>
      </c>
      <c r="C705" t="str">
        <f>IFERROR(VLOOKUP(B705,'Cleaned Trainer Data'!$A$2:$E$9,2,FALSE),"No Trainer Assigned")</f>
        <v>Vishal</v>
      </c>
      <c r="D705">
        <f>IFERROR(VLOOKUP(B705,'Cleaned Trainer Data'!$A$2:$E$11,4,FALSE),"0")</f>
        <v>3.09</v>
      </c>
    </row>
    <row r="706" spans="1:4" x14ac:dyDescent="0.35">
      <c r="A706" t="s">
        <v>737</v>
      </c>
      <c r="B706" t="s">
        <v>14</v>
      </c>
      <c r="C706" t="str">
        <f>IFERROR(VLOOKUP(B706,'Cleaned Trainer Data'!$A$2:$E$9,2,FALSE),"No Trainer Assigned")</f>
        <v>Vishal</v>
      </c>
      <c r="D706">
        <f>IFERROR(VLOOKUP(B706,'Cleaned Trainer Data'!$A$2:$E$11,4,FALSE),"0")</f>
        <v>3.09</v>
      </c>
    </row>
    <row r="707" spans="1:4" x14ac:dyDescent="0.35">
      <c r="A707" t="s">
        <v>738</v>
      </c>
      <c r="B707" t="s">
        <v>37</v>
      </c>
      <c r="C707" t="str">
        <f>IFERROR(VLOOKUP(B707,'Cleaned Trainer Data'!$A$2:$E$9,2,FALSE),"No Trainer Assigned")</f>
        <v>No Trainer Assigned</v>
      </c>
      <c r="D707" t="str">
        <f>IFERROR(VLOOKUP(B707,'Cleaned Trainer Data'!$A$2:$E$11,4,FALSE),"0")</f>
        <v>0</v>
      </c>
    </row>
    <row r="708" spans="1:4" x14ac:dyDescent="0.35">
      <c r="A708" t="s">
        <v>739</v>
      </c>
      <c r="B708" t="s">
        <v>18</v>
      </c>
      <c r="C708" t="str">
        <f>IFERROR(VLOOKUP(B708,'Cleaned Trainer Data'!$A$2:$E$9,2,FALSE),"No Trainer Assigned")</f>
        <v>Meera</v>
      </c>
      <c r="D708">
        <f>IFERROR(VLOOKUP(B708,'Cleaned Trainer Data'!$A$2:$E$11,4,FALSE),"0")</f>
        <v>4.75</v>
      </c>
    </row>
    <row r="709" spans="1:4" x14ac:dyDescent="0.35">
      <c r="A709" t="s">
        <v>740</v>
      </c>
      <c r="B709" t="s">
        <v>14</v>
      </c>
      <c r="C709" t="str">
        <f>IFERROR(VLOOKUP(B709,'Cleaned Trainer Data'!$A$2:$E$9,2,FALSE),"No Trainer Assigned")</f>
        <v>Vishal</v>
      </c>
      <c r="D709">
        <f>IFERROR(VLOOKUP(B709,'Cleaned Trainer Data'!$A$2:$E$11,4,FALSE),"0")</f>
        <v>3.09</v>
      </c>
    </row>
    <row r="710" spans="1:4" x14ac:dyDescent="0.35">
      <c r="A710" t="s">
        <v>741</v>
      </c>
      <c r="B710" t="s">
        <v>18</v>
      </c>
      <c r="C710" t="str">
        <f>IFERROR(VLOOKUP(B710,'Cleaned Trainer Data'!$A$2:$E$9,2,FALSE),"No Trainer Assigned")</f>
        <v>Meera</v>
      </c>
      <c r="D710">
        <f>IFERROR(VLOOKUP(B710,'Cleaned Trainer Data'!$A$2:$E$11,4,FALSE),"0")</f>
        <v>4.75</v>
      </c>
    </row>
    <row r="711" spans="1:4" x14ac:dyDescent="0.35">
      <c r="A711" t="s">
        <v>742</v>
      </c>
      <c r="B711" t="s">
        <v>37</v>
      </c>
      <c r="C711" t="str">
        <f>IFERROR(VLOOKUP(B711,'Cleaned Trainer Data'!$A$2:$E$9,2,FALSE),"No Trainer Assigned")</f>
        <v>No Trainer Assigned</v>
      </c>
      <c r="D711" t="str">
        <f>IFERROR(VLOOKUP(B711,'Cleaned Trainer Data'!$A$2:$E$11,4,FALSE),"0")</f>
        <v>0</v>
      </c>
    </row>
    <row r="712" spans="1:4" x14ac:dyDescent="0.35">
      <c r="A712" t="s">
        <v>743</v>
      </c>
      <c r="B712" t="s">
        <v>18</v>
      </c>
      <c r="C712" t="str">
        <f>IFERROR(VLOOKUP(B712,'Cleaned Trainer Data'!$A$2:$E$9,2,FALSE),"No Trainer Assigned")</f>
        <v>Meera</v>
      </c>
      <c r="D712">
        <f>IFERROR(VLOOKUP(B712,'Cleaned Trainer Data'!$A$2:$E$11,4,FALSE),"0")</f>
        <v>4.75</v>
      </c>
    </row>
    <row r="713" spans="1:4" x14ac:dyDescent="0.35">
      <c r="A713" t="s">
        <v>744</v>
      </c>
      <c r="B713" t="s">
        <v>10</v>
      </c>
      <c r="C713" t="str">
        <f>IFERROR(VLOOKUP(B713,'Cleaned Trainer Data'!$A$2:$E$9,2,FALSE),"No Trainer Assigned")</f>
        <v>Arun</v>
      </c>
      <c r="D713">
        <f>IFERROR(VLOOKUP(B713,'Cleaned Trainer Data'!$A$2:$E$11,4,FALSE),"0")</f>
        <v>4.3</v>
      </c>
    </row>
    <row r="714" spans="1:4" x14ac:dyDescent="0.35">
      <c r="A714" t="s">
        <v>745</v>
      </c>
      <c r="B714" t="s">
        <v>21</v>
      </c>
      <c r="C714" t="str">
        <f>IFERROR(VLOOKUP(B714,'Cleaned Trainer Data'!$A$2:$E$9,2,FALSE),"No Trainer Assigned")</f>
        <v>Kavya</v>
      </c>
      <c r="D714">
        <f>IFERROR(VLOOKUP(B714,'Cleaned Trainer Data'!$A$2:$E$11,4,FALSE),"0")</f>
        <v>3.28</v>
      </c>
    </row>
    <row r="715" spans="1:4" x14ac:dyDescent="0.35">
      <c r="A715" t="s">
        <v>746</v>
      </c>
      <c r="B715" t="s">
        <v>14</v>
      </c>
      <c r="C715" t="str">
        <f>IFERROR(VLOOKUP(B715,'Cleaned Trainer Data'!$A$2:$E$9,2,FALSE),"No Trainer Assigned")</f>
        <v>Vishal</v>
      </c>
      <c r="D715">
        <f>IFERROR(VLOOKUP(B715,'Cleaned Trainer Data'!$A$2:$E$11,4,FALSE),"0")</f>
        <v>3.09</v>
      </c>
    </row>
    <row r="716" spans="1:4" x14ac:dyDescent="0.35">
      <c r="A716" t="s">
        <v>747</v>
      </c>
      <c r="B716" t="s">
        <v>27</v>
      </c>
      <c r="C716" t="str">
        <f>IFERROR(VLOOKUP(B716,'Cleaned Trainer Data'!$A$2:$E$9,2,FALSE),"No Trainer Assigned")</f>
        <v>Joseph</v>
      </c>
      <c r="D716">
        <f>IFERROR(VLOOKUP(B716,'Cleaned Trainer Data'!$A$2:$E$11,4,FALSE),"0")</f>
        <v>4.58</v>
      </c>
    </row>
    <row r="717" spans="1:4" x14ac:dyDescent="0.35">
      <c r="A717" t="s">
        <v>748</v>
      </c>
      <c r="B717" t="s">
        <v>21</v>
      </c>
      <c r="C717" t="str">
        <f>IFERROR(VLOOKUP(B717,'Cleaned Trainer Data'!$A$2:$E$9,2,FALSE),"No Trainer Assigned")</f>
        <v>Kavya</v>
      </c>
      <c r="D717">
        <f>IFERROR(VLOOKUP(B717,'Cleaned Trainer Data'!$A$2:$E$11,4,FALSE),"0")</f>
        <v>3.28</v>
      </c>
    </row>
    <row r="718" spans="1:4" x14ac:dyDescent="0.35">
      <c r="A718" t="s">
        <v>749</v>
      </c>
      <c r="B718" t="s">
        <v>18</v>
      </c>
      <c r="C718" t="str">
        <f>IFERROR(VLOOKUP(B718,'Cleaned Trainer Data'!$A$2:$E$9,2,FALSE),"No Trainer Assigned")</f>
        <v>Meera</v>
      </c>
      <c r="D718">
        <f>IFERROR(VLOOKUP(B718,'Cleaned Trainer Data'!$A$2:$E$11,4,FALSE),"0")</f>
        <v>4.75</v>
      </c>
    </row>
    <row r="719" spans="1:4" x14ac:dyDescent="0.35">
      <c r="A719" t="s">
        <v>750</v>
      </c>
      <c r="B719" t="s">
        <v>14</v>
      </c>
      <c r="C719" t="str">
        <f>IFERROR(VLOOKUP(B719,'Cleaned Trainer Data'!$A$2:$E$9,2,FALSE),"No Trainer Assigned")</f>
        <v>Vishal</v>
      </c>
      <c r="D719">
        <f>IFERROR(VLOOKUP(B719,'Cleaned Trainer Data'!$A$2:$E$11,4,FALSE),"0")</f>
        <v>3.09</v>
      </c>
    </row>
    <row r="720" spans="1:4" x14ac:dyDescent="0.35">
      <c r="A720" t="s">
        <v>751</v>
      </c>
      <c r="B720" t="s">
        <v>18</v>
      </c>
      <c r="C720" t="str">
        <f>IFERROR(VLOOKUP(B720,'Cleaned Trainer Data'!$A$2:$E$9,2,FALSE),"No Trainer Assigned")</f>
        <v>Meera</v>
      </c>
      <c r="D720">
        <f>IFERROR(VLOOKUP(B720,'Cleaned Trainer Data'!$A$2:$E$11,4,FALSE),"0")</f>
        <v>4.75</v>
      </c>
    </row>
    <row r="721" spans="1:4" x14ac:dyDescent="0.35">
      <c r="A721" t="s">
        <v>752</v>
      </c>
      <c r="B721" t="s">
        <v>10</v>
      </c>
      <c r="C721" t="str">
        <f>IFERROR(VLOOKUP(B721,'Cleaned Trainer Data'!$A$2:$E$9,2,FALSE),"No Trainer Assigned")</f>
        <v>Arun</v>
      </c>
      <c r="D721">
        <f>IFERROR(VLOOKUP(B721,'Cleaned Trainer Data'!$A$2:$E$11,4,FALSE),"0")</f>
        <v>4.3</v>
      </c>
    </row>
    <row r="722" spans="1:4" x14ac:dyDescent="0.35">
      <c r="A722" t="s">
        <v>753</v>
      </c>
      <c r="B722" t="s">
        <v>37</v>
      </c>
      <c r="C722" t="str">
        <f>IFERROR(VLOOKUP(B722,'Cleaned Trainer Data'!$A$2:$E$9,2,FALSE),"No Trainer Assigned")</f>
        <v>No Trainer Assigned</v>
      </c>
      <c r="D722" t="str">
        <f>IFERROR(VLOOKUP(B722,'Cleaned Trainer Data'!$A$2:$E$11,4,FALSE),"0")</f>
        <v>0</v>
      </c>
    </row>
    <row r="723" spans="1:4" x14ac:dyDescent="0.35">
      <c r="A723" t="s">
        <v>754</v>
      </c>
      <c r="B723" t="s">
        <v>14</v>
      </c>
      <c r="C723" t="str">
        <f>IFERROR(VLOOKUP(B723,'Cleaned Trainer Data'!$A$2:$E$9,2,FALSE),"No Trainer Assigned")</f>
        <v>Vishal</v>
      </c>
      <c r="D723">
        <f>IFERROR(VLOOKUP(B723,'Cleaned Trainer Data'!$A$2:$E$11,4,FALSE),"0")</f>
        <v>3.09</v>
      </c>
    </row>
    <row r="724" spans="1:4" x14ac:dyDescent="0.35">
      <c r="A724" t="s">
        <v>755</v>
      </c>
      <c r="B724" t="s">
        <v>10</v>
      </c>
      <c r="C724" t="str">
        <f>IFERROR(VLOOKUP(B724,'Cleaned Trainer Data'!$A$2:$E$9,2,FALSE),"No Trainer Assigned")</f>
        <v>Arun</v>
      </c>
      <c r="D724">
        <f>IFERROR(VLOOKUP(B724,'Cleaned Trainer Data'!$A$2:$E$11,4,FALSE),"0")</f>
        <v>4.3</v>
      </c>
    </row>
    <row r="725" spans="1:4" x14ac:dyDescent="0.35">
      <c r="A725" t="s">
        <v>756</v>
      </c>
      <c r="B725" t="s">
        <v>10</v>
      </c>
      <c r="C725" t="str">
        <f>IFERROR(VLOOKUP(B725,'Cleaned Trainer Data'!$A$2:$E$9,2,FALSE),"No Trainer Assigned")</f>
        <v>Arun</v>
      </c>
      <c r="D725">
        <f>IFERROR(VLOOKUP(B725,'Cleaned Trainer Data'!$A$2:$E$11,4,FALSE),"0")</f>
        <v>4.3</v>
      </c>
    </row>
    <row r="726" spans="1:4" x14ac:dyDescent="0.35">
      <c r="A726" t="s">
        <v>757</v>
      </c>
      <c r="B726" t="s">
        <v>14</v>
      </c>
      <c r="C726" t="str">
        <f>IFERROR(VLOOKUP(B726,'Cleaned Trainer Data'!$A$2:$E$9,2,FALSE),"No Trainer Assigned")</f>
        <v>Vishal</v>
      </c>
      <c r="D726">
        <f>IFERROR(VLOOKUP(B726,'Cleaned Trainer Data'!$A$2:$E$11,4,FALSE),"0")</f>
        <v>3.09</v>
      </c>
    </row>
    <row r="727" spans="1:4" x14ac:dyDescent="0.35">
      <c r="A727" t="s">
        <v>758</v>
      </c>
      <c r="B727" t="s">
        <v>18</v>
      </c>
      <c r="C727" t="str">
        <f>IFERROR(VLOOKUP(B727,'Cleaned Trainer Data'!$A$2:$E$9,2,FALSE),"No Trainer Assigned")</f>
        <v>Meera</v>
      </c>
      <c r="D727">
        <f>IFERROR(VLOOKUP(B727,'Cleaned Trainer Data'!$A$2:$E$11,4,FALSE),"0")</f>
        <v>4.75</v>
      </c>
    </row>
    <row r="728" spans="1:4" x14ac:dyDescent="0.35">
      <c r="A728" t="s">
        <v>759</v>
      </c>
      <c r="B728" t="s">
        <v>27</v>
      </c>
      <c r="C728" t="str">
        <f>IFERROR(VLOOKUP(B728,'Cleaned Trainer Data'!$A$2:$E$9,2,FALSE),"No Trainer Assigned")</f>
        <v>Joseph</v>
      </c>
      <c r="D728">
        <f>IFERROR(VLOOKUP(B728,'Cleaned Trainer Data'!$A$2:$E$11,4,FALSE),"0")</f>
        <v>4.58</v>
      </c>
    </row>
    <row r="729" spans="1:4" x14ac:dyDescent="0.35">
      <c r="A729" t="s">
        <v>760</v>
      </c>
      <c r="B729" t="s">
        <v>10</v>
      </c>
      <c r="C729" t="str">
        <f>IFERROR(VLOOKUP(B729,'Cleaned Trainer Data'!$A$2:$E$9,2,FALSE),"No Trainer Assigned")</f>
        <v>Arun</v>
      </c>
      <c r="D729">
        <f>IFERROR(VLOOKUP(B729,'Cleaned Trainer Data'!$A$2:$E$11,4,FALSE),"0")</f>
        <v>4.3</v>
      </c>
    </row>
    <row r="730" spans="1:4" x14ac:dyDescent="0.35">
      <c r="A730" t="s">
        <v>761</v>
      </c>
      <c r="B730" t="s">
        <v>21</v>
      </c>
      <c r="C730" t="str">
        <f>IFERROR(VLOOKUP(B730,'Cleaned Trainer Data'!$A$2:$E$9,2,FALSE),"No Trainer Assigned")</f>
        <v>Kavya</v>
      </c>
      <c r="D730">
        <f>IFERROR(VLOOKUP(B730,'Cleaned Trainer Data'!$A$2:$E$11,4,FALSE),"0")</f>
        <v>3.28</v>
      </c>
    </row>
    <row r="731" spans="1:4" x14ac:dyDescent="0.35">
      <c r="A731" t="s">
        <v>762</v>
      </c>
      <c r="B731" t="s">
        <v>10</v>
      </c>
      <c r="C731" t="str">
        <f>IFERROR(VLOOKUP(B731,'Cleaned Trainer Data'!$A$2:$E$9,2,FALSE),"No Trainer Assigned")</f>
        <v>Arun</v>
      </c>
      <c r="D731">
        <f>IFERROR(VLOOKUP(B731,'Cleaned Trainer Data'!$A$2:$E$11,4,FALSE),"0")</f>
        <v>4.3</v>
      </c>
    </row>
    <row r="732" spans="1:4" x14ac:dyDescent="0.35">
      <c r="A732" t="s">
        <v>763</v>
      </c>
      <c r="B732" t="s">
        <v>27</v>
      </c>
      <c r="C732" t="str">
        <f>IFERROR(VLOOKUP(B732,'Cleaned Trainer Data'!$A$2:$E$9,2,FALSE),"No Trainer Assigned")</f>
        <v>Joseph</v>
      </c>
      <c r="D732">
        <f>IFERROR(VLOOKUP(B732,'Cleaned Trainer Data'!$A$2:$E$11,4,FALSE),"0")</f>
        <v>4.58</v>
      </c>
    </row>
    <row r="733" spans="1:4" x14ac:dyDescent="0.35">
      <c r="A733" t="s">
        <v>764</v>
      </c>
      <c r="B733" t="s">
        <v>18</v>
      </c>
      <c r="C733" t="str">
        <f>IFERROR(VLOOKUP(B733,'Cleaned Trainer Data'!$A$2:$E$9,2,FALSE),"No Trainer Assigned")</f>
        <v>Meera</v>
      </c>
      <c r="D733">
        <f>IFERROR(VLOOKUP(B733,'Cleaned Trainer Data'!$A$2:$E$11,4,FALSE),"0")</f>
        <v>4.75</v>
      </c>
    </row>
    <row r="734" spans="1:4" x14ac:dyDescent="0.35">
      <c r="A734" t="s">
        <v>765</v>
      </c>
      <c r="B734" t="s">
        <v>18</v>
      </c>
      <c r="C734" t="str">
        <f>IFERROR(VLOOKUP(B734,'Cleaned Trainer Data'!$A$2:$E$9,2,FALSE),"No Trainer Assigned")</f>
        <v>Meera</v>
      </c>
      <c r="D734">
        <f>IFERROR(VLOOKUP(B734,'Cleaned Trainer Data'!$A$2:$E$11,4,FALSE),"0")</f>
        <v>4.75</v>
      </c>
    </row>
    <row r="735" spans="1:4" x14ac:dyDescent="0.35">
      <c r="A735" t="s">
        <v>766</v>
      </c>
      <c r="B735" t="s">
        <v>21</v>
      </c>
      <c r="C735" t="str">
        <f>IFERROR(VLOOKUP(B735,'Cleaned Trainer Data'!$A$2:$E$9,2,FALSE),"No Trainer Assigned")</f>
        <v>Kavya</v>
      </c>
      <c r="D735">
        <f>IFERROR(VLOOKUP(B735,'Cleaned Trainer Data'!$A$2:$E$11,4,FALSE),"0")</f>
        <v>3.28</v>
      </c>
    </row>
    <row r="736" spans="1:4" x14ac:dyDescent="0.35">
      <c r="A736" t="s">
        <v>767</v>
      </c>
      <c r="B736" t="s">
        <v>10</v>
      </c>
      <c r="C736" t="str">
        <f>IFERROR(VLOOKUP(B736,'Cleaned Trainer Data'!$A$2:$E$9,2,FALSE),"No Trainer Assigned")</f>
        <v>Arun</v>
      </c>
      <c r="D736">
        <f>IFERROR(VLOOKUP(B736,'Cleaned Trainer Data'!$A$2:$E$11,4,FALSE),"0")</f>
        <v>4.3</v>
      </c>
    </row>
    <row r="737" spans="1:4" x14ac:dyDescent="0.35">
      <c r="A737" t="s">
        <v>768</v>
      </c>
      <c r="B737" t="s">
        <v>18</v>
      </c>
      <c r="C737" t="str">
        <f>IFERROR(VLOOKUP(B737,'Cleaned Trainer Data'!$A$2:$E$9,2,FALSE),"No Trainer Assigned")</f>
        <v>Meera</v>
      </c>
      <c r="D737">
        <f>IFERROR(VLOOKUP(B737,'Cleaned Trainer Data'!$A$2:$E$11,4,FALSE),"0")</f>
        <v>4.75</v>
      </c>
    </row>
    <row r="738" spans="1:4" x14ac:dyDescent="0.35">
      <c r="A738" t="s">
        <v>769</v>
      </c>
      <c r="B738" t="s">
        <v>27</v>
      </c>
      <c r="C738" t="str">
        <f>IFERROR(VLOOKUP(B738,'Cleaned Trainer Data'!$A$2:$E$9,2,FALSE),"No Trainer Assigned")</f>
        <v>Joseph</v>
      </c>
      <c r="D738">
        <f>IFERROR(VLOOKUP(B738,'Cleaned Trainer Data'!$A$2:$E$11,4,FALSE),"0")</f>
        <v>4.58</v>
      </c>
    </row>
    <row r="739" spans="1:4" x14ac:dyDescent="0.35">
      <c r="A739" t="s">
        <v>770</v>
      </c>
      <c r="B739" t="s">
        <v>14</v>
      </c>
      <c r="C739" t="str">
        <f>IFERROR(VLOOKUP(B739,'Cleaned Trainer Data'!$A$2:$E$9,2,FALSE),"No Trainer Assigned")</f>
        <v>Vishal</v>
      </c>
      <c r="D739">
        <f>IFERROR(VLOOKUP(B739,'Cleaned Trainer Data'!$A$2:$E$11,4,FALSE),"0")</f>
        <v>3.09</v>
      </c>
    </row>
    <row r="740" spans="1:4" x14ac:dyDescent="0.35">
      <c r="A740" t="s">
        <v>771</v>
      </c>
      <c r="B740" t="s">
        <v>37</v>
      </c>
      <c r="C740" t="str">
        <f>IFERROR(VLOOKUP(B740,'Cleaned Trainer Data'!$A$2:$E$9,2,FALSE),"No Trainer Assigned")</f>
        <v>No Trainer Assigned</v>
      </c>
      <c r="D740" t="str">
        <f>IFERROR(VLOOKUP(B740,'Cleaned Trainer Data'!$A$2:$E$11,4,FALSE),"0")</f>
        <v>0</v>
      </c>
    </row>
    <row r="741" spans="1:4" x14ac:dyDescent="0.35">
      <c r="A741" t="s">
        <v>772</v>
      </c>
      <c r="B741" t="s">
        <v>37</v>
      </c>
      <c r="C741" t="str">
        <f>IFERROR(VLOOKUP(B741,'Cleaned Trainer Data'!$A$2:$E$9,2,FALSE),"No Trainer Assigned")</f>
        <v>No Trainer Assigned</v>
      </c>
      <c r="D741" t="str">
        <f>IFERROR(VLOOKUP(B741,'Cleaned Trainer Data'!$A$2:$E$11,4,FALSE),"0")</f>
        <v>0</v>
      </c>
    </row>
    <row r="742" spans="1:4" x14ac:dyDescent="0.35">
      <c r="A742" t="s">
        <v>773</v>
      </c>
      <c r="B742" t="s">
        <v>37</v>
      </c>
      <c r="C742" t="str">
        <f>IFERROR(VLOOKUP(B742,'Cleaned Trainer Data'!$A$2:$E$9,2,FALSE),"No Trainer Assigned")</f>
        <v>No Trainer Assigned</v>
      </c>
      <c r="D742" t="str">
        <f>IFERROR(VLOOKUP(B742,'Cleaned Trainer Data'!$A$2:$E$11,4,FALSE),"0")</f>
        <v>0</v>
      </c>
    </row>
    <row r="743" spans="1:4" x14ac:dyDescent="0.35">
      <c r="A743" t="s">
        <v>774</v>
      </c>
      <c r="B743" t="s">
        <v>10</v>
      </c>
      <c r="C743" t="str">
        <f>IFERROR(VLOOKUP(B743,'Cleaned Trainer Data'!$A$2:$E$9,2,FALSE),"No Trainer Assigned")</f>
        <v>Arun</v>
      </c>
      <c r="D743">
        <f>IFERROR(VLOOKUP(B743,'Cleaned Trainer Data'!$A$2:$E$11,4,FALSE),"0")</f>
        <v>4.3</v>
      </c>
    </row>
    <row r="744" spans="1:4" x14ac:dyDescent="0.35">
      <c r="A744" t="s">
        <v>775</v>
      </c>
      <c r="B744" t="s">
        <v>21</v>
      </c>
      <c r="C744" t="str">
        <f>IFERROR(VLOOKUP(B744,'Cleaned Trainer Data'!$A$2:$E$9,2,FALSE),"No Trainer Assigned")</f>
        <v>Kavya</v>
      </c>
      <c r="D744">
        <f>IFERROR(VLOOKUP(B744,'Cleaned Trainer Data'!$A$2:$E$11,4,FALSE),"0")</f>
        <v>3.28</v>
      </c>
    </row>
    <row r="745" spans="1:4" x14ac:dyDescent="0.35">
      <c r="A745" t="s">
        <v>776</v>
      </c>
      <c r="B745" t="s">
        <v>18</v>
      </c>
      <c r="C745" t="str">
        <f>IFERROR(VLOOKUP(B745,'Cleaned Trainer Data'!$A$2:$E$9,2,FALSE),"No Trainer Assigned")</f>
        <v>Meera</v>
      </c>
      <c r="D745">
        <f>IFERROR(VLOOKUP(B745,'Cleaned Trainer Data'!$A$2:$E$11,4,FALSE),"0")</f>
        <v>4.75</v>
      </c>
    </row>
    <row r="746" spans="1:4" x14ac:dyDescent="0.35">
      <c r="A746" t="s">
        <v>777</v>
      </c>
      <c r="B746" t="s">
        <v>14</v>
      </c>
      <c r="C746" t="str">
        <f>IFERROR(VLOOKUP(B746,'Cleaned Trainer Data'!$A$2:$E$9,2,FALSE),"No Trainer Assigned")</f>
        <v>Vishal</v>
      </c>
      <c r="D746">
        <f>IFERROR(VLOOKUP(B746,'Cleaned Trainer Data'!$A$2:$E$11,4,FALSE),"0")</f>
        <v>3.09</v>
      </c>
    </row>
    <row r="747" spans="1:4" x14ac:dyDescent="0.35">
      <c r="A747" t="s">
        <v>778</v>
      </c>
      <c r="B747" t="s">
        <v>27</v>
      </c>
      <c r="C747" t="str">
        <f>IFERROR(VLOOKUP(B747,'Cleaned Trainer Data'!$A$2:$E$9,2,FALSE),"No Trainer Assigned")</f>
        <v>Joseph</v>
      </c>
      <c r="D747">
        <f>IFERROR(VLOOKUP(B747,'Cleaned Trainer Data'!$A$2:$E$11,4,FALSE),"0")</f>
        <v>4.58</v>
      </c>
    </row>
    <row r="748" spans="1:4" x14ac:dyDescent="0.35">
      <c r="A748" t="s">
        <v>779</v>
      </c>
      <c r="B748" t="s">
        <v>14</v>
      </c>
      <c r="C748" t="str">
        <f>IFERROR(VLOOKUP(B748,'Cleaned Trainer Data'!$A$2:$E$9,2,FALSE),"No Trainer Assigned")</f>
        <v>Vishal</v>
      </c>
      <c r="D748">
        <f>IFERROR(VLOOKUP(B748,'Cleaned Trainer Data'!$A$2:$E$11,4,FALSE),"0")</f>
        <v>3.09</v>
      </c>
    </row>
    <row r="749" spans="1:4" x14ac:dyDescent="0.35">
      <c r="A749" t="s">
        <v>780</v>
      </c>
      <c r="B749" t="s">
        <v>27</v>
      </c>
      <c r="C749" t="str">
        <f>IFERROR(VLOOKUP(B749,'Cleaned Trainer Data'!$A$2:$E$9,2,FALSE),"No Trainer Assigned")</f>
        <v>Joseph</v>
      </c>
      <c r="D749">
        <f>IFERROR(VLOOKUP(B749,'Cleaned Trainer Data'!$A$2:$E$11,4,FALSE),"0")</f>
        <v>4.58</v>
      </c>
    </row>
    <row r="750" spans="1:4" x14ac:dyDescent="0.35">
      <c r="A750" t="s">
        <v>781</v>
      </c>
      <c r="B750" t="s">
        <v>10</v>
      </c>
      <c r="C750" t="str">
        <f>IFERROR(VLOOKUP(B750,'Cleaned Trainer Data'!$A$2:$E$9,2,FALSE),"No Trainer Assigned")</f>
        <v>Arun</v>
      </c>
      <c r="D750">
        <f>IFERROR(VLOOKUP(B750,'Cleaned Trainer Data'!$A$2:$E$11,4,FALSE),"0")</f>
        <v>4.3</v>
      </c>
    </row>
    <row r="751" spans="1:4" x14ac:dyDescent="0.35">
      <c r="A751" t="s">
        <v>782</v>
      </c>
      <c r="B751" t="s">
        <v>37</v>
      </c>
      <c r="C751" t="str">
        <f>IFERROR(VLOOKUP(B751,'Cleaned Trainer Data'!$A$2:$E$9,2,FALSE),"No Trainer Assigned")</f>
        <v>No Trainer Assigned</v>
      </c>
      <c r="D751" t="str">
        <f>IFERROR(VLOOKUP(B751,'Cleaned Trainer Data'!$A$2:$E$11,4,FALSE),"0")</f>
        <v>0</v>
      </c>
    </row>
    <row r="752" spans="1:4" x14ac:dyDescent="0.35">
      <c r="A752" t="s">
        <v>783</v>
      </c>
      <c r="B752" t="s">
        <v>10</v>
      </c>
      <c r="C752" t="str">
        <f>IFERROR(VLOOKUP(B752,'Cleaned Trainer Data'!$A$2:$E$9,2,FALSE),"No Trainer Assigned")</f>
        <v>Arun</v>
      </c>
      <c r="D752">
        <f>IFERROR(VLOOKUP(B752,'Cleaned Trainer Data'!$A$2:$E$11,4,FALSE),"0")</f>
        <v>4.3</v>
      </c>
    </row>
    <row r="753" spans="1:4" x14ac:dyDescent="0.35">
      <c r="A753" t="s">
        <v>784</v>
      </c>
      <c r="B753" t="s">
        <v>21</v>
      </c>
      <c r="C753" t="str">
        <f>IFERROR(VLOOKUP(B753,'Cleaned Trainer Data'!$A$2:$E$9,2,FALSE),"No Trainer Assigned")</f>
        <v>Kavya</v>
      </c>
      <c r="D753">
        <f>IFERROR(VLOOKUP(B753,'Cleaned Trainer Data'!$A$2:$E$11,4,FALSE),"0")</f>
        <v>3.28</v>
      </c>
    </row>
    <row r="754" spans="1:4" x14ac:dyDescent="0.35">
      <c r="A754" t="s">
        <v>785</v>
      </c>
      <c r="B754" t="s">
        <v>21</v>
      </c>
      <c r="C754" t="str">
        <f>IFERROR(VLOOKUP(B754,'Cleaned Trainer Data'!$A$2:$E$9,2,FALSE),"No Trainer Assigned")</f>
        <v>Kavya</v>
      </c>
      <c r="D754">
        <f>IFERROR(VLOOKUP(B754,'Cleaned Trainer Data'!$A$2:$E$11,4,FALSE),"0")</f>
        <v>3.28</v>
      </c>
    </row>
    <row r="755" spans="1:4" x14ac:dyDescent="0.35">
      <c r="A755" t="s">
        <v>786</v>
      </c>
      <c r="B755" t="s">
        <v>27</v>
      </c>
      <c r="C755" t="str">
        <f>IFERROR(VLOOKUP(B755,'Cleaned Trainer Data'!$A$2:$E$9,2,FALSE),"No Trainer Assigned")</f>
        <v>Joseph</v>
      </c>
      <c r="D755">
        <f>IFERROR(VLOOKUP(B755,'Cleaned Trainer Data'!$A$2:$E$11,4,FALSE),"0")</f>
        <v>4.58</v>
      </c>
    </row>
    <row r="756" spans="1:4" x14ac:dyDescent="0.35">
      <c r="A756" t="s">
        <v>787</v>
      </c>
      <c r="B756" t="s">
        <v>18</v>
      </c>
      <c r="C756" t="str">
        <f>IFERROR(VLOOKUP(B756,'Cleaned Trainer Data'!$A$2:$E$9,2,FALSE),"No Trainer Assigned")</f>
        <v>Meera</v>
      </c>
      <c r="D756">
        <f>IFERROR(VLOOKUP(B756,'Cleaned Trainer Data'!$A$2:$E$11,4,FALSE),"0")</f>
        <v>4.75</v>
      </c>
    </row>
    <row r="757" spans="1:4" x14ac:dyDescent="0.35">
      <c r="A757" t="s">
        <v>788</v>
      </c>
      <c r="B757" t="s">
        <v>18</v>
      </c>
      <c r="C757" t="str">
        <f>IFERROR(VLOOKUP(B757,'Cleaned Trainer Data'!$A$2:$E$9,2,FALSE),"No Trainer Assigned")</f>
        <v>Meera</v>
      </c>
      <c r="D757">
        <f>IFERROR(VLOOKUP(B757,'Cleaned Trainer Data'!$A$2:$E$11,4,FALSE),"0")</f>
        <v>4.75</v>
      </c>
    </row>
    <row r="758" spans="1:4" x14ac:dyDescent="0.35">
      <c r="A758" t="s">
        <v>789</v>
      </c>
      <c r="B758" t="s">
        <v>27</v>
      </c>
      <c r="C758" t="str">
        <f>IFERROR(VLOOKUP(B758,'Cleaned Trainer Data'!$A$2:$E$9,2,FALSE),"No Trainer Assigned")</f>
        <v>Joseph</v>
      </c>
      <c r="D758">
        <f>IFERROR(VLOOKUP(B758,'Cleaned Trainer Data'!$A$2:$E$11,4,FALSE),"0")</f>
        <v>4.58</v>
      </c>
    </row>
    <row r="759" spans="1:4" x14ac:dyDescent="0.35">
      <c r="A759" t="s">
        <v>790</v>
      </c>
      <c r="B759" t="s">
        <v>21</v>
      </c>
      <c r="C759" t="str">
        <f>IFERROR(VLOOKUP(B759,'Cleaned Trainer Data'!$A$2:$E$9,2,FALSE),"No Trainer Assigned")</f>
        <v>Kavya</v>
      </c>
      <c r="D759">
        <f>IFERROR(VLOOKUP(B759,'Cleaned Trainer Data'!$A$2:$E$11,4,FALSE),"0")</f>
        <v>3.28</v>
      </c>
    </row>
    <row r="760" spans="1:4" x14ac:dyDescent="0.35">
      <c r="A760" t="s">
        <v>791</v>
      </c>
      <c r="B760" t="s">
        <v>21</v>
      </c>
      <c r="C760" t="str">
        <f>IFERROR(VLOOKUP(B760,'Cleaned Trainer Data'!$A$2:$E$9,2,FALSE),"No Trainer Assigned")</f>
        <v>Kavya</v>
      </c>
      <c r="D760">
        <f>IFERROR(VLOOKUP(B760,'Cleaned Trainer Data'!$A$2:$E$11,4,FALSE),"0")</f>
        <v>3.28</v>
      </c>
    </row>
    <row r="761" spans="1:4" x14ac:dyDescent="0.35">
      <c r="A761" t="s">
        <v>792</v>
      </c>
      <c r="B761" t="s">
        <v>21</v>
      </c>
      <c r="C761" t="str">
        <f>IFERROR(VLOOKUP(B761,'Cleaned Trainer Data'!$A$2:$E$9,2,FALSE),"No Trainer Assigned")</f>
        <v>Kavya</v>
      </c>
      <c r="D761">
        <f>IFERROR(VLOOKUP(B761,'Cleaned Trainer Data'!$A$2:$E$11,4,FALSE),"0")</f>
        <v>3.28</v>
      </c>
    </row>
    <row r="762" spans="1:4" x14ac:dyDescent="0.35">
      <c r="A762" t="s">
        <v>793</v>
      </c>
      <c r="B762" t="s">
        <v>10</v>
      </c>
      <c r="C762" t="str">
        <f>IFERROR(VLOOKUP(B762,'Cleaned Trainer Data'!$A$2:$E$9,2,FALSE),"No Trainer Assigned")</f>
        <v>Arun</v>
      </c>
      <c r="D762">
        <f>IFERROR(VLOOKUP(B762,'Cleaned Trainer Data'!$A$2:$E$11,4,FALSE),"0")</f>
        <v>4.3</v>
      </c>
    </row>
    <row r="763" spans="1:4" x14ac:dyDescent="0.35">
      <c r="A763" t="s">
        <v>794</v>
      </c>
      <c r="B763" t="s">
        <v>21</v>
      </c>
      <c r="C763" t="str">
        <f>IFERROR(VLOOKUP(B763,'Cleaned Trainer Data'!$A$2:$E$9,2,FALSE),"No Trainer Assigned")</f>
        <v>Kavya</v>
      </c>
      <c r="D763">
        <f>IFERROR(VLOOKUP(B763,'Cleaned Trainer Data'!$A$2:$E$11,4,FALSE),"0")</f>
        <v>3.28</v>
      </c>
    </row>
    <row r="764" spans="1:4" x14ac:dyDescent="0.35">
      <c r="A764" t="s">
        <v>795</v>
      </c>
      <c r="B764" t="s">
        <v>14</v>
      </c>
      <c r="C764" t="str">
        <f>IFERROR(VLOOKUP(B764,'Cleaned Trainer Data'!$A$2:$E$9,2,FALSE),"No Trainer Assigned")</f>
        <v>Vishal</v>
      </c>
      <c r="D764">
        <f>IFERROR(VLOOKUP(B764,'Cleaned Trainer Data'!$A$2:$E$11,4,FALSE),"0")</f>
        <v>3.09</v>
      </c>
    </row>
    <row r="765" spans="1:4" x14ac:dyDescent="0.35">
      <c r="A765" t="s">
        <v>796</v>
      </c>
      <c r="B765" t="s">
        <v>37</v>
      </c>
      <c r="C765" t="str">
        <f>IFERROR(VLOOKUP(B765,'Cleaned Trainer Data'!$A$2:$E$9,2,FALSE),"No Trainer Assigned")</f>
        <v>No Trainer Assigned</v>
      </c>
      <c r="D765" t="str">
        <f>IFERROR(VLOOKUP(B765,'Cleaned Trainer Data'!$A$2:$E$11,4,FALSE),"0")</f>
        <v>0</v>
      </c>
    </row>
    <row r="766" spans="1:4" x14ac:dyDescent="0.35">
      <c r="A766" t="s">
        <v>797</v>
      </c>
      <c r="B766" t="s">
        <v>21</v>
      </c>
      <c r="C766" t="str">
        <f>IFERROR(VLOOKUP(B766,'Cleaned Trainer Data'!$A$2:$E$9,2,FALSE),"No Trainer Assigned")</f>
        <v>Kavya</v>
      </c>
      <c r="D766">
        <f>IFERROR(VLOOKUP(B766,'Cleaned Trainer Data'!$A$2:$E$11,4,FALSE),"0")</f>
        <v>3.28</v>
      </c>
    </row>
    <row r="767" spans="1:4" x14ac:dyDescent="0.35">
      <c r="A767" t="s">
        <v>798</v>
      </c>
      <c r="B767" t="s">
        <v>27</v>
      </c>
      <c r="C767" t="str">
        <f>IFERROR(VLOOKUP(B767,'Cleaned Trainer Data'!$A$2:$E$9,2,FALSE),"No Trainer Assigned")</f>
        <v>Joseph</v>
      </c>
      <c r="D767">
        <f>IFERROR(VLOOKUP(B767,'Cleaned Trainer Data'!$A$2:$E$11,4,FALSE),"0")</f>
        <v>4.58</v>
      </c>
    </row>
    <row r="768" spans="1:4" x14ac:dyDescent="0.35">
      <c r="A768" t="s">
        <v>799</v>
      </c>
      <c r="B768" t="s">
        <v>37</v>
      </c>
      <c r="C768" t="str">
        <f>IFERROR(VLOOKUP(B768,'Cleaned Trainer Data'!$A$2:$E$9,2,FALSE),"No Trainer Assigned")</f>
        <v>No Trainer Assigned</v>
      </c>
      <c r="D768" t="str">
        <f>IFERROR(VLOOKUP(B768,'Cleaned Trainer Data'!$A$2:$E$11,4,FALSE),"0")</f>
        <v>0</v>
      </c>
    </row>
    <row r="769" spans="1:4" x14ac:dyDescent="0.35">
      <c r="A769" t="s">
        <v>800</v>
      </c>
      <c r="B769" t="s">
        <v>10</v>
      </c>
      <c r="C769" t="str">
        <f>IFERROR(VLOOKUP(B769,'Cleaned Trainer Data'!$A$2:$E$9,2,FALSE),"No Trainer Assigned")</f>
        <v>Arun</v>
      </c>
      <c r="D769">
        <f>IFERROR(VLOOKUP(B769,'Cleaned Trainer Data'!$A$2:$E$11,4,FALSE),"0")</f>
        <v>4.3</v>
      </c>
    </row>
    <row r="770" spans="1:4" x14ac:dyDescent="0.35">
      <c r="A770" t="s">
        <v>801</v>
      </c>
      <c r="B770" t="s">
        <v>27</v>
      </c>
      <c r="C770" t="str">
        <f>IFERROR(VLOOKUP(B770,'Cleaned Trainer Data'!$A$2:$E$9,2,FALSE),"No Trainer Assigned")</f>
        <v>Joseph</v>
      </c>
      <c r="D770">
        <f>IFERROR(VLOOKUP(B770,'Cleaned Trainer Data'!$A$2:$E$11,4,FALSE),"0")</f>
        <v>4.58</v>
      </c>
    </row>
    <row r="771" spans="1:4" x14ac:dyDescent="0.35">
      <c r="A771" t="s">
        <v>802</v>
      </c>
      <c r="B771" t="s">
        <v>37</v>
      </c>
      <c r="C771" t="str">
        <f>IFERROR(VLOOKUP(B771,'Cleaned Trainer Data'!$A$2:$E$9,2,FALSE),"No Trainer Assigned")</f>
        <v>No Trainer Assigned</v>
      </c>
      <c r="D771" t="str">
        <f>IFERROR(VLOOKUP(B771,'Cleaned Trainer Data'!$A$2:$E$11,4,FALSE),"0")</f>
        <v>0</v>
      </c>
    </row>
    <row r="772" spans="1:4" x14ac:dyDescent="0.35">
      <c r="A772" t="s">
        <v>803</v>
      </c>
      <c r="B772" t="s">
        <v>27</v>
      </c>
      <c r="C772" t="str">
        <f>IFERROR(VLOOKUP(B772,'Cleaned Trainer Data'!$A$2:$E$9,2,FALSE),"No Trainer Assigned")</f>
        <v>Joseph</v>
      </c>
      <c r="D772">
        <f>IFERROR(VLOOKUP(B772,'Cleaned Trainer Data'!$A$2:$E$11,4,FALSE),"0")</f>
        <v>4.58</v>
      </c>
    </row>
    <row r="773" spans="1:4" x14ac:dyDescent="0.35">
      <c r="A773" t="s">
        <v>804</v>
      </c>
      <c r="B773" t="s">
        <v>10</v>
      </c>
      <c r="C773" t="str">
        <f>IFERROR(VLOOKUP(B773,'Cleaned Trainer Data'!$A$2:$E$9,2,FALSE),"No Trainer Assigned")</f>
        <v>Arun</v>
      </c>
      <c r="D773">
        <f>IFERROR(VLOOKUP(B773,'Cleaned Trainer Data'!$A$2:$E$11,4,FALSE),"0")</f>
        <v>4.3</v>
      </c>
    </row>
    <row r="774" spans="1:4" x14ac:dyDescent="0.35">
      <c r="A774" t="s">
        <v>805</v>
      </c>
      <c r="B774" t="s">
        <v>14</v>
      </c>
      <c r="C774" t="str">
        <f>IFERROR(VLOOKUP(B774,'Cleaned Trainer Data'!$A$2:$E$9,2,FALSE),"No Trainer Assigned")</f>
        <v>Vishal</v>
      </c>
      <c r="D774">
        <f>IFERROR(VLOOKUP(B774,'Cleaned Trainer Data'!$A$2:$E$11,4,FALSE),"0")</f>
        <v>3.09</v>
      </c>
    </row>
    <row r="775" spans="1:4" x14ac:dyDescent="0.35">
      <c r="A775" t="s">
        <v>806</v>
      </c>
      <c r="B775" t="s">
        <v>10</v>
      </c>
      <c r="C775" t="str">
        <f>IFERROR(VLOOKUP(B775,'Cleaned Trainer Data'!$A$2:$E$9,2,FALSE),"No Trainer Assigned")</f>
        <v>Arun</v>
      </c>
      <c r="D775">
        <f>IFERROR(VLOOKUP(B775,'Cleaned Trainer Data'!$A$2:$E$11,4,FALSE),"0")</f>
        <v>4.3</v>
      </c>
    </row>
    <row r="776" spans="1:4" x14ac:dyDescent="0.35">
      <c r="A776" t="s">
        <v>807</v>
      </c>
      <c r="B776" t="s">
        <v>10</v>
      </c>
      <c r="C776" t="str">
        <f>IFERROR(VLOOKUP(B776,'Cleaned Trainer Data'!$A$2:$E$9,2,FALSE),"No Trainer Assigned")</f>
        <v>Arun</v>
      </c>
      <c r="D776">
        <f>IFERROR(VLOOKUP(B776,'Cleaned Trainer Data'!$A$2:$E$11,4,FALSE),"0")</f>
        <v>4.3</v>
      </c>
    </row>
    <row r="777" spans="1:4" x14ac:dyDescent="0.35">
      <c r="A777" t="s">
        <v>808</v>
      </c>
      <c r="B777" t="s">
        <v>27</v>
      </c>
      <c r="C777" t="str">
        <f>IFERROR(VLOOKUP(B777,'Cleaned Trainer Data'!$A$2:$E$9,2,FALSE),"No Trainer Assigned")</f>
        <v>Joseph</v>
      </c>
      <c r="D777">
        <f>IFERROR(VLOOKUP(B777,'Cleaned Trainer Data'!$A$2:$E$11,4,FALSE),"0")</f>
        <v>4.58</v>
      </c>
    </row>
    <row r="778" spans="1:4" x14ac:dyDescent="0.35">
      <c r="A778" t="s">
        <v>809</v>
      </c>
      <c r="B778" t="s">
        <v>18</v>
      </c>
      <c r="C778" t="str">
        <f>IFERROR(VLOOKUP(B778,'Cleaned Trainer Data'!$A$2:$E$9,2,FALSE),"No Trainer Assigned")</f>
        <v>Meera</v>
      </c>
      <c r="D778">
        <f>IFERROR(VLOOKUP(B778,'Cleaned Trainer Data'!$A$2:$E$11,4,FALSE),"0")</f>
        <v>4.75</v>
      </c>
    </row>
    <row r="779" spans="1:4" x14ac:dyDescent="0.35">
      <c r="A779" t="s">
        <v>810</v>
      </c>
      <c r="B779" t="s">
        <v>21</v>
      </c>
      <c r="C779" t="str">
        <f>IFERROR(VLOOKUP(B779,'Cleaned Trainer Data'!$A$2:$E$9,2,FALSE),"No Trainer Assigned")</f>
        <v>Kavya</v>
      </c>
      <c r="D779">
        <f>IFERROR(VLOOKUP(B779,'Cleaned Trainer Data'!$A$2:$E$11,4,FALSE),"0")</f>
        <v>3.28</v>
      </c>
    </row>
    <row r="780" spans="1:4" x14ac:dyDescent="0.35">
      <c r="A780" t="s">
        <v>811</v>
      </c>
      <c r="B780" t="s">
        <v>21</v>
      </c>
      <c r="C780" t="str">
        <f>IFERROR(VLOOKUP(B780,'Cleaned Trainer Data'!$A$2:$E$9,2,FALSE),"No Trainer Assigned")</f>
        <v>Kavya</v>
      </c>
      <c r="D780">
        <f>IFERROR(VLOOKUP(B780,'Cleaned Trainer Data'!$A$2:$E$11,4,FALSE),"0")</f>
        <v>3.28</v>
      </c>
    </row>
    <row r="781" spans="1:4" x14ac:dyDescent="0.35">
      <c r="A781" t="s">
        <v>812</v>
      </c>
      <c r="B781" t="s">
        <v>14</v>
      </c>
      <c r="C781" t="str">
        <f>IFERROR(VLOOKUP(B781,'Cleaned Trainer Data'!$A$2:$E$9,2,FALSE),"No Trainer Assigned")</f>
        <v>Vishal</v>
      </c>
      <c r="D781">
        <f>IFERROR(VLOOKUP(B781,'Cleaned Trainer Data'!$A$2:$E$11,4,FALSE),"0")</f>
        <v>3.09</v>
      </c>
    </row>
    <row r="782" spans="1:4" x14ac:dyDescent="0.35">
      <c r="A782" t="s">
        <v>813</v>
      </c>
      <c r="B782" t="s">
        <v>14</v>
      </c>
      <c r="C782" t="str">
        <f>IFERROR(VLOOKUP(B782,'Cleaned Trainer Data'!$A$2:$E$9,2,FALSE),"No Trainer Assigned")</f>
        <v>Vishal</v>
      </c>
      <c r="D782">
        <f>IFERROR(VLOOKUP(B782,'Cleaned Trainer Data'!$A$2:$E$11,4,FALSE),"0")</f>
        <v>3.09</v>
      </c>
    </row>
    <row r="783" spans="1:4" x14ac:dyDescent="0.35">
      <c r="A783" t="s">
        <v>814</v>
      </c>
      <c r="B783" t="s">
        <v>21</v>
      </c>
      <c r="C783" t="str">
        <f>IFERROR(VLOOKUP(B783,'Cleaned Trainer Data'!$A$2:$E$9,2,FALSE),"No Trainer Assigned")</f>
        <v>Kavya</v>
      </c>
      <c r="D783">
        <f>IFERROR(VLOOKUP(B783,'Cleaned Trainer Data'!$A$2:$E$11,4,FALSE),"0")</f>
        <v>3.28</v>
      </c>
    </row>
    <row r="784" spans="1:4" x14ac:dyDescent="0.35">
      <c r="A784" t="s">
        <v>815</v>
      </c>
      <c r="B784" t="s">
        <v>18</v>
      </c>
      <c r="C784" t="str">
        <f>IFERROR(VLOOKUP(B784,'Cleaned Trainer Data'!$A$2:$E$9,2,FALSE),"No Trainer Assigned")</f>
        <v>Meera</v>
      </c>
      <c r="D784">
        <f>IFERROR(VLOOKUP(B784,'Cleaned Trainer Data'!$A$2:$E$11,4,FALSE),"0")</f>
        <v>4.75</v>
      </c>
    </row>
    <row r="785" spans="1:4" x14ac:dyDescent="0.35">
      <c r="A785" t="s">
        <v>816</v>
      </c>
      <c r="B785" t="s">
        <v>21</v>
      </c>
      <c r="C785" t="str">
        <f>IFERROR(VLOOKUP(B785,'Cleaned Trainer Data'!$A$2:$E$9,2,FALSE),"No Trainer Assigned")</f>
        <v>Kavya</v>
      </c>
      <c r="D785">
        <f>IFERROR(VLOOKUP(B785,'Cleaned Trainer Data'!$A$2:$E$11,4,FALSE),"0")</f>
        <v>3.28</v>
      </c>
    </row>
    <row r="786" spans="1:4" x14ac:dyDescent="0.35">
      <c r="A786" t="s">
        <v>817</v>
      </c>
      <c r="B786" t="s">
        <v>18</v>
      </c>
      <c r="C786" t="str">
        <f>IFERROR(VLOOKUP(B786,'Cleaned Trainer Data'!$A$2:$E$9,2,FALSE),"No Trainer Assigned")</f>
        <v>Meera</v>
      </c>
      <c r="D786">
        <f>IFERROR(VLOOKUP(B786,'Cleaned Trainer Data'!$A$2:$E$11,4,FALSE),"0")</f>
        <v>4.75</v>
      </c>
    </row>
    <row r="787" spans="1:4" x14ac:dyDescent="0.35">
      <c r="A787" t="s">
        <v>818</v>
      </c>
      <c r="B787" t="s">
        <v>14</v>
      </c>
      <c r="C787" t="str">
        <f>IFERROR(VLOOKUP(B787,'Cleaned Trainer Data'!$A$2:$E$9,2,FALSE),"No Trainer Assigned")</f>
        <v>Vishal</v>
      </c>
      <c r="D787">
        <f>IFERROR(VLOOKUP(B787,'Cleaned Trainer Data'!$A$2:$E$11,4,FALSE),"0")</f>
        <v>3.09</v>
      </c>
    </row>
    <row r="788" spans="1:4" x14ac:dyDescent="0.35">
      <c r="A788" t="s">
        <v>819</v>
      </c>
      <c r="B788" t="s">
        <v>37</v>
      </c>
      <c r="C788" t="str">
        <f>IFERROR(VLOOKUP(B788,'Cleaned Trainer Data'!$A$2:$E$9,2,FALSE),"No Trainer Assigned")</f>
        <v>No Trainer Assigned</v>
      </c>
      <c r="D788" t="str">
        <f>IFERROR(VLOOKUP(B788,'Cleaned Trainer Data'!$A$2:$E$11,4,FALSE),"0")</f>
        <v>0</v>
      </c>
    </row>
    <row r="789" spans="1:4" x14ac:dyDescent="0.35">
      <c r="A789" t="s">
        <v>820</v>
      </c>
      <c r="B789" t="s">
        <v>27</v>
      </c>
      <c r="C789" t="str">
        <f>IFERROR(VLOOKUP(B789,'Cleaned Trainer Data'!$A$2:$E$9,2,FALSE),"No Trainer Assigned")</f>
        <v>Joseph</v>
      </c>
      <c r="D789">
        <f>IFERROR(VLOOKUP(B789,'Cleaned Trainer Data'!$A$2:$E$11,4,FALSE),"0")</f>
        <v>4.58</v>
      </c>
    </row>
    <row r="790" spans="1:4" x14ac:dyDescent="0.35">
      <c r="A790" t="s">
        <v>821</v>
      </c>
      <c r="B790" t="s">
        <v>14</v>
      </c>
      <c r="C790" t="str">
        <f>IFERROR(VLOOKUP(B790,'Cleaned Trainer Data'!$A$2:$E$9,2,FALSE),"No Trainer Assigned")</f>
        <v>Vishal</v>
      </c>
      <c r="D790">
        <f>IFERROR(VLOOKUP(B790,'Cleaned Trainer Data'!$A$2:$E$11,4,FALSE),"0")</f>
        <v>3.09</v>
      </c>
    </row>
    <row r="791" spans="1:4" x14ac:dyDescent="0.35">
      <c r="A791" t="s">
        <v>822</v>
      </c>
      <c r="B791" t="s">
        <v>14</v>
      </c>
      <c r="C791" t="str">
        <f>IFERROR(VLOOKUP(B791,'Cleaned Trainer Data'!$A$2:$E$9,2,FALSE),"No Trainer Assigned")</f>
        <v>Vishal</v>
      </c>
      <c r="D791">
        <f>IFERROR(VLOOKUP(B791,'Cleaned Trainer Data'!$A$2:$E$11,4,FALSE),"0")</f>
        <v>3.09</v>
      </c>
    </row>
    <row r="792" spans="1:4" x14ac:dyDescent="0.35">
      <c r="A792" t="s">
        <v>823</v>
      </c>
      <c r="B792" t="s">
        <v>10</v>
      </c>
      <c r="C792" t="str">
        <f>IFERROR(VLOOKUP(B792,'Cleaned Trainer Data'!$A$2:$E$9,2,FALSE),"No Trainer Assigned")</f>
        <v>Arun</v>
      </c>
      <c r="D792">
        <f>IFERROR(VLOOKUP(B792,'Cleaned Trainer Data'!$A$2:$E$11,4,FALSE),"0")</f>
        <v>4.3</v>
      </c>
    </row>
    <row r="793" spans="1:4" x14ac:dyDescent="0.35">
      <c r="A793" t="s">
        <v>824</v>
      </c>
      <c r="B793" t="s">
        <v>10</v>
      </c>
      <c r="C793" t="str">
        <f>IFERROR(VLOOKUP(B793,'Cleaned Trainer Data'!$A$2:$E$9,2,FALSE),"No Trainer Assigned")</f>
        <v>Arun</v>
      </c>
      <c r="D793">
        <f>IFERROR(VLOOKUP(B793,'Cleaned Trainer Data'!$A$2:$E$11,4,FALSE),"0")</f>
        <v>4.3</v>
      </c>
    </row>
    <row r="794" spans="1:4" x14ac:dyDescent="0.35">
      <c r="A794" t="s">
        <v>825</v>
      </c>
      <c r="B794" t="s">
        <v>10</v>
      </c>
      <c r="C794" t="str">
        <f>IFERROR(VLOOKUP(B794,'Cleaned Trainer Data'!$A$2:$E$9,2,FALSE),"No Trainer Assigned")</f>
        <v>Arun</v>
      </c>
      <c r="D794">
        <f>IFERROR(VLOOKUP(B794,'Cleaned Trainer Data'!$A$2:$E$11,4,FALSE),"0")</f>
        <v>4.3</v>
      </c>
    </row>
    <row r="795" spans="1:4" x14ac:dyDescent="0.35">
      <c r="A795" t="s">
        <v>826</v>
      </c>
      <c r="B795" t="s">
        <v>27</v>
      </c>
      <c r="C795" t="str">
        <f>IFERROR(VLOOKUP(B795,'Cleaned Trainer Data'!$A$2:$E$9,2,FALSE),"No Trainer Assigned")</f>
        <v>Joseph</v>
      </c>
      <c r="D795">
        <f>IFERROR(VLOOKUP(B795,'Cleaned Trainer Data'!$A$2:$E$11,4,FALSE),"0")</f>
        <v>4.58</v>
      </c>
    </row>
    <row r="796" spans="1:4" x14ac:dyDescent="0.35">
      <c r="A796" t="s">
        <v>827</v>
      </c>
      <c r="B796" t="s">
        <v>10</v>
      </c>
      <c r="C796" t="str">
        <f>IFERROR(VLOOKUP(B796,'Cleaned Trainer Data'!$A$2:$E$9,2,FALSE),"No Trainer Assigned")</f>
        <v>Arun</v>
      </c>
      <c r="D796">
        <f>IFERROR(VLOOKUP(B796,'Cleaned Trainer Data'!$A$2:$E$11,4,FALSE),"0")</f>
        <v>4.3</v>
      </c>
    </row>
    <row r="797" spans="1:4" x14ac:dyDescent="0.35">
      <c r="A797" t="s">
        <v>828</v>
      </c>
      <c r="B797" t="s">
        <v>18</v>
      </c>
      <c r="C797" t="str">
        <f>IFERROR(VLOOKUP(B797,'Cleaned Trainer Data'!$A$2:$E$9,2,FALSE),"No Trainer Assigned")</f>
        <v>Meera</v>
      </c>
      <c r="D797">
        <f>IFERROR(VLOOKUP(B797,'Cleaned Trainer Data'!$A$2:$E$11,4,FALSE),"0")</f>
        <v>4.75</v>
      </c>
    </row>
    <row r="798" spans="1:4" x14ac:dyDescent="0.35">
      <c r="A798" t="s">
        <v>829</v>
      </c>
      <c r="B798" t="s">
        <v>21</v>
      </c>
      <c r="C798" t="str">
        <f>IFERROR(VLOOKUP(B798,'Cleaned Trainer Data'!$A$2:$E$9,2,FALSE),"No Trainer Assigned")</f>
        <v>Kavya</v>
      </c>
      <c r="D798">
        <f>IFERROR(VLOOKUP(B798,'Cleaned Trainer Data'!$A$2:$E$11,4,FALSE),"0")</f>
        <v>3.28</v>
      </c>
    </row>
    <row r="799" spans="1:4" x14ac:dyDescent="0.35">
      <c r="A799" t="s">
        <v>830</v>
      </c>
      <c r="B799" t="s">
        <v>37</v>
      </c>
      <c r="C799" t="str">
        <f>IFERROR(VLOOKUP(B799,'Cleaned Trainer Data'!$A$2:$E$9,2,FALSE),"No Trainer Assigned")</f>
        <v>No Trainer Assigned</v>
      </c>
      <c r="D799" t="str">
        <f>IFERROR(VLOOKUP(B799,'Cleaned Trainer Data'!$A$2:$E$11,4,FALSE),"0")</f>
        <v>0</v>
      </c>
    </row>
    <row r="800" spans="1:4" x14ac:dyDescent="0.35">
      <c r="A800" t="s">
        <v>831</v>
      </c>
      <c r="B800" t="s">
        <v>14</v>
      </c>
      <c r="C800" t="str">
        <f>IFERROR(VLOOKUP(B800,'Cleaned Trainer Data'!$A$2:$E$9,2,FALSE),"No Trainer Assigned")</f>
        <v>Vishal</v>
      </c>
      <c r="D800">
        <f>IFERROR(VLOOKUP(B800,'Cleaned Trainer Data'!$A$2:$E$11,4,FALSE),"0")</f>
        <v>3.09</v>
      </c>
    </row>
    <row r="801" spans="1:4" x14ac:dyDescent="0.35">
      <c r="A801" t="s">
        <v>832</v>
      </c>
      <c r="B801" t="s">
        <v>18</v>
      </c>
      <c r="C801" t="str">
        <f>IFERROR(VLOOKUP(B801,'Cleaned Trainer Data'!$A$2:$E$9,2,FALSE),"No Trainer Assigned")</f>
        <v>Meera</v>
      </c>
      <c r="D801">
        <f>IFERROR(VLOOKUP(B801,'Cleaned Trainer Data'!$A$2:$E$11,4,FALSE),"0")</f>
        <v>4.75</v>
      </c>
    </row>
    <row r="802" spans="1:4" x14ac:dyDescent="0.35">
      <c r="A802" t="s">
        <v>833</v>
      </c>
      <c r="B802" t="s">
        <v>37</v>
      </c>
      <c r="C802" t="str">
        <f>IFERROR(VLOOKUP(B802,'Cleaned Trainer Data'!$A$2:$E$9,2,FALSE),"No Trainer Assigned")</f>
        <v>No Trainer Assigned</v>
      </c>
      <c r="D802" t="str">
        <f>IFERROR(VLOOKUP(B802,'Cleaned Trainer Data'!$A$2:$E$11,4,FALSE),"0")</f>
        <v>0</v>
      </c>
    </row>
    <row r="803" spans="1:4" x14ac:dyDescent="0.35">
      <c r="A803" t="s">
        <v>834</v>
      </c>
      <c r="B803" t="s">
        <v>18</v>
      </c>
      <c r="C803" t="str">
        <f>IFERROR(VLOOKUP(B803,'Cleaned Trainer Data'!$A$2:$E$9,2,FALSE),"No Trainer Assigned")</f>
        <v>Meera</v>
      </c>
      <c r="D803">
        <f>IFERROR(VLOOKUP(B803,'Cleaned Trainer Data'!$A$2:$E$11,4,FALSE),"0")</f>
        <v>4.75</v>
      </c>
    </row>
    <row r="804" spans="1:4" x14ac:dyDescent="0.35">
      <c r="A804" t="s">
        <v>835</v>
      </c>
      <c r="B804" t="s">
        <v>18</v>
      </c>
      <c r="C804" t="str">
        <f>IFERROR(VLOOKUP(B804,'Cleaned Trainer Data'!$A$2:$E$9,2,FALSE),"No Trainer Assigned")</f>
        <v>Meera</v>
      </c>
      <c r="D804">
        <f>IFERROR(VLOOKUP(B804,'Cleaned Trainer Data'!$A$2:$E$11,4,FALSE),"0")</f>
        <v>4.75</v>
      </c>
    </row>
    <row r="805" spans="1:4" x14ac:dyDescent="0.35">
      <c r="A805" t="s">
        <v>836</v>
      </c>
      <c r="B805" t="s">
        <v>14</v>
      </c>
      <c r="C805" t="str">
        <f>IFERROR(VLOOKUP(B805,'Cleaned Trainer Data'!$A$2:$E$9,2,FALSE),"No Trainer Assigned")</f>
        <v>Vishal</v>
      </c>
      <c r="D805">
        <f>IFERROR(VLOOKUP(B805,'Cleaned Trainer Data'!$A$2:$E$11,4,FALSE),"0")</f>
        <v>3.09</v>
      </c>
    </row>
    <row r="806" spans="1:4" x14ac:dyDescent="0.35">
      <c r="A806" t="s">
        <v>837</v>
      </c>
      <c r="B806" t="s">
        <v>21</v>
      </c>
      <c r="C806" t="str">
        <f>IFERROR(VLOOKUP(B806,'Cleaned Trainer Data'!$A$2:$E$9,2,FALSE),"No Trainer Assigned")</f>
        <v>Kavya</v>
      </c>
      <c r="D806">
        <f>IFERROR(VLOOKUP(B806,'Cleaned Trainer Data'!$A$2:$E$11,4,FALSE),"0")</f>
        <v>3.28</v>
      </c>
    </row>
    <row r="807" spans="1:4" x14ac:dyDescent="0.35">
      <c r="A807" t="s">
        <v>838</v>
      </c>
      <c r="B807" t="s">
        <v>10</v>
      </c>
      <c r="C807" t="str">
        <f>IFERROR(VLOOKUP(B807,'Cleaned Trainer Data'!$A$2:$E$9,2,FALSE),"No Trainer Assigned")</f>
        <v>Arun</v>
      </c>
      <c r="D807">
        <f>IFERROR(VLOOKUP(B807,'Cleaned Trainer Data'!$A$2:$E$11,4,FALSE),"0")</f>
        <v>4.3</v>
      </c>
    </row>
    <row r="808" spans="1:4" x14ac:dyDescent="0.35">
      <c r="A808" t="s">
        <v>839</v>
      </c>
      <c r="B808" t="s">
        <v>27</v>
      </c>
      <c r="C808" t="str">
        <f>IFERROR(VLOOKUP(B808,'Cleaned Trainer Data'!$A$2:$E$9,2,FALSE),"No Trainer Assigned")</f>
        <v>Joseph</v>
      </c>
      <c r="D808">
        <f>IFERROR(VLOOKUP(B808,'Cleaned Trainer Data'!$A$2:$E$11,4,FALSE),"0")</f>
        <v>4.58</v>
      </c>
    </row>
    <row r="809" spans="1:4" x14ac:dyDescent="0.35">
      <c r="A809" t="s">
        <v>840</v>
      </c>
      <c r="B809" t="s">
        <v>21</v>
      </c>
      <c r="C809" t="str">
        <f>IFERROR(VLOOKUP(B809,'Cleaned Trainer Data'!$A$2:$E$9,2,FALSE),"No Trainer Assigned")</f>
        <v>Kavya</v>
      </c>
      <c r="D809">
        <f>IFERROR(VLOOKUP(B809,'Cleaned Trainer Data'!$A$2:$E$11,4,FALSE),"0")</f>
        <v>3.28</v>
      </c>
    </row>
    <row r="810" spans="1:4" x14ac:dyDescent="0.35">
      <c r="A810" t="s">
        <v>841</v>
      </c>
      <c r="B810" t="s">
        <v>27</v>
      </c>
      <c r="C810" t="str">
        <f>IFERROR(VLOOKUP(B810,'Cleaned Trainer Data'!$A$2:$E$9,2,FALSE),"No Trainer Assigned")</f>
        <v>Joseph</v>
      </c>
      <c r="D810">
        <f>IFERROR(VLOOKUP(B810,'Cleaned Trainer Data'!$A$2:$E$11,4,FALSE),"0")</f>
        <v>4.58</v>
      </c>
    </row>
    <row r="811" spans="1:4" x14ac:dyDescent="0.35">
      <c r="A811" t="s">
        <v>842</v>
      </c>
      <c r="B811" t="s">
        <v>14</v>
      </c>
      <c r="C811" t="str">
        <f>IFERROR(VLOOKUP(B811,'Cleaned Trainer Data'!$A$2:$E$9,2,FALSE),"No Trainer Assigned")</f>
        <v>Vishal</v>
      </c>
      <c r="D811">
        <f>IFERROR(VLOOKUP(B811,'Cleaned Trainer Data'!$A$2:$E$11,4,FALSE),"0")</f>
        <v>3.09</v>
      </c>
    </row>
    <row r="812" spans="1:4" x14ac:dyDescent="0.35">
      <c r="A812" t="s">
        <v>843</v>
      </c>
      <c r="B812" t="s">
        <v>14</v>
      </c>
      <c r="C812" t="str">
        <f>IFERROR(VLOOKUP(B812,'Cleaned Trainer Data'!$A$2:$E$9,2,FALSE),"No Trainer Assigned")</f>
        <v>Vishal</v>
      </c>
      <c r="D812">
        <f>IFERROR(VLOOKUP(B812,'Cleaned Trainer Data'!$A$2:$E$11,4,FALSE),"0")</f>
        <v>3.09</v>
      </c>
    </row>
    <row r="813" spans="1:4" x14ac:dyDescent="0.35">
      <c r="A813" t="s">
        <v>844</v>
      </c>
      <c r="B813" t="s">
        <v>14</v>
      </c>
      <c r="C813" t="str">
        <f>IFERROR(VLOOKUP(B813,'Cleaned Trainer Data'!$A$2:$E$9,2,FALSE),"No Trainer Assigned")</f>
        <v>Vishal</v>
      </c>
      <c r="D813">
        <f>IFERROR(VLOOKUP(B813,'Cleaned Trainer Data'!$A$2:$E$11,4,FALSE),"0")</f>
        <v>3.09</v>
      </c>
    </row>
    <row r="814" spans="1:4" x14ac:dyDescent="0.35">
      <c r="A814" t="s">
        <v>845</v>
      </c>
      <c r="B814" t="s">
        <v>37</v>
      </c>
      <c r="C814" t="str">
        <f>IFERROR(VLOOKUP(B814,'Cleaned Trainer Data'!$A$2:$E$9,2,FALSE),"No Trainer Assigned")</f>
        <v>No Trainer Assigned</v>
      </c>
      <c r="D814" t="str">
        <f>IFERROR(VLOOKUP(B814,'Cleaned Trainer Data'!$A$2:$E$11,4,FALSE),"0")</f>
        <v>0</v>
      </c>
    </row>
    <row r="815" spans="1:4" x14ac:dyDescent="0.35">
      <c r="A815" t="s">
        <v>846</v>
      </c>
      <c r="B815" t="s">
        <v>27</v>
      </c>
      <c r="C815" t="str">
        <f>IFERROR(VLOOKUP(B815,'Cleaned Trainer Data'!$A$2:$E$9,2,FALSE),"No Trainer Assigned")</f>
        <v>Joseph</v>
      </c>
      <c r="D815">
        <f>IFERROR(VLOOKUP(B815,'Cleaned Trainer Data'!$A$2:$E$11,4,FALSE),"0")</f>
        <v>4.58</v>
      </c>
    </row>
    <row r="816" spans="1:4" x14ac:dyDescent="0.35">
      <c r="A816" t="s">
        <v>847</v>
      </c>
      <c r="B816" t="s">
        <v>21</v>
      </c>
      <c r="C816" t="str">
        <f>IFERROR(VLOOKUP(B816,'Cleaned Trainer Data'!$A$2:$E$9,2,FALSE),"No Trainer Assigned")</f>
        <v>Kavya</v>
      </c>
      <c r="D816">
        <f>IFERROR(VLOOKUP(B816,'Cleaned Trainer Data'!$A$2:$E$11,4,FALSE),"0")</f>
        <v>3.28</v>
      </c>
    </row>
    <row r="817" spans="1:4" x14ac:dyDescent="0.35">
      <c r="A817" t="s">
        <v>848</v>
      </c>
      <c r="B817" t="s">
        <v>21</v>
      </c>
      <c r="C817" t="str">
        <f>IFERROR(VLOOKUP(B817,'Cleaned Trainer Data'!$A$2:$E$9,2,FALSE),"No Trainer Assigned")</f>
        <v>Kavya</v>
      </c>
      <c r="D817">
        <f>IFERROR(VLOOKUP(B817,'Cleaned Trainer Data'!$A$2:$E$11,4,FALSE),"0")</f>
        <v>3.28</v>
      </c>
    </row>
    <row r="818" spans="1:4" x14ac:dyDescent="0.35">
      <c r="A818" t="s">
        <v>849</v>
      </c>
      <c r="B818" t="s">
        <v>18</v>
      </c>
      <c r="C818" t="str">
        <f>IFERROR(VLOOKUP(B818,'Cleaned Trainer Data'!$A$2:$E$9,2,FALSE),"No Trainer Assigned")</f>
        <v>Meera</v>
      </c>
      <c r="D818">
        <f>IFERROR(VLOOKUP(B818,'Cleaned Trainer Data'!$A$2:$E$11,4,FALSE),"0")</f>
        <v>4.75</v>
      </c>
    </row>
    <row r="819" spans="1:4" x14ac:dyDescent="0.35">
      <c r="A819" t="s">
        <v>850</v>
      </c>
      <c r="B819" t="s">
        <v>18</v>
      </c>
      <c r="C819" t="str">
        <f>IFERROR(VLOOKUP(B819,'Cleaned Trainer Data'!$A$2:$E$9,2,FALSE),"No Trainer Assigned")</f>
        <v>Meera</v>
      </c>
      <c r="D819">
        <f>IFERROR(VLOOKUP(B819,'Cleaned Trainer Data'!$A$2:$E$11,4,FALSE),"0")</f>
        <v>4.75</v>
      </c>
    </row>
    <row r="820" spans="1:4" x14ac:dyDescent="0.35">
      <c r="A820" t="s">
        <v>851</v>
      </c>
      <c r="B820" t="s">
        <v>18</v>
      </c>
      <c r="C820" t="str">
        <f>IFERROR(VLOOKUP(B820,'Cleaned Trainer Data'!$A$2:$E$9,2,FALSE),"No Trainer Assigned")</f>
        <v>Meera</v>
      </c>
      <c r="D820">
        <f>IFERROR(VLOOKUP(B820,'Cleaned Trainer Data'!$A$2:$E$11,4,FALSE),"0")</f>
        <v>4.75</v>
      </c>
    </row>
    <row r="821" spans="1:4" x14ac:dyDescent="0.35">
      <c r="A821" t="s">
        <v>852</v>
      </c>
      <c r="B821" t="s">
        <v>14</v>
      </c>
      <c r="C821" t="str">
        <f>IFERROR(VLOOKUP(B821,'Cleaned Trainer Data'!$A$2:$E$9,2,FALSE),"No Trainer Assigned")</f>
        <v>Vishal</v>
      </c>
      <c r="D821">
        <f>IFERROR(VLOOKUP(B821,'Cleaned Trainer Data'!$A$2:$E$11,4,FALSE),"0")</f>
        <v>3.09</v>
      </c>
    </row>
    <row r="822" spans="1:4" x14ac:dyDescent="0.35">
      <c r="A822" t="s">
        <v>853</v>
      </c>
      <c r="B822" t="s">
        <v>21</v>
      </c>
      <c r="C822" t="str">
        <f>IFERROR(VLOOKUP(B822,'Cleaned Trainer Data'!$A$2:$E$9,2,FALSE),"No Trainer Assigned")</f>
        <v>Kavya</v>
      </c>
      <c r="D822">
        <f>IFERROR(VLOOKUP(B822,'Cleaned Trainer Data'!$A$2:$E$11,4,FALSE),"0")</f>
        <v>3.28</v>
      </c>
    </row>
    <row r="823" spans="1:4" x14ac:dyDescent="0.35">
      <c r="A823" t="s">
        <v>854</v>
      </c>
      <c r="B823" t="s">
        <v>27</v>
      </c>
      <c r="C823" t="str">
        <f>IFERROR(VLOOKUP(B823,'Cleaned Trainer Data'!$A$2:$E$9,2,FALSE),"No Trainer Assigned")</f>
        <v>Joseph</v>
      </c>
      <c r="D823">
        <f>IFERROR(VLOOKUP(B823,'Cleaned Trainer Data'!$A$2:$E$11,4,FALSE),"0")</f>
        <v>4.58</v>
      </c>
    </row>
    <row r="824" spans="1:4" x14ac:dyDescent="0.35">
      <c r="A824" t="s">
        <v>855</v>
      </c>
      <c r="B824" t="s">
        <v>14</v>
      </c>
      <c r="C824" t="str">
        <f>IFERROR(VLOOKUP(B824,'Cleaned Trainer Data'!$A$2:$E$9,2,FALSE),"No Trainer Assigned")</f>
        <v>Vishal</v>
      </c>
      <c r="D824">
        <f>IFERROR(VLOOKUP(B824,'Cleaned Trainer Data'!$A$2:$E$11,4,FALSE),"0")</f>
        <v>3.09</v>
      </c>
    </row>
    <row r="825" spans="1:4" x14ac:dyDescent="0.35">
      <c r="A825" t="s">
        <v>856</v>
      </c>
      <c r="B825" t="s">
        <v>37</v>
      </c>
      <c r="C825" t="str">
        <f>IFERROR(VLOOKUP(B825,'Cleaned Trainer Data'!$A$2:$E$9,2,FALSE),"No Trainer Assigned")</f>
        <v>No Trainer Assigned</v>
      </c>
      <c r="D825" t="str">
        <f>IFERROR(VLOOKUP(B825,'Cleaned Trainer Data'!$A$2:$E$11,4,FALSE),"0")</f>
        <v>0</v>
      </c>
    </row>
    <row r="826" spans="1:4" x14ac:dyDescent="0.35">
      <c r="A826" t="s">
        <v>857</v>
      </c>
      <c r="B826" t="s">
        <v>18</v>
      </c>
      <c r="C826" t="str">
        <f>IFERROR(VLOOKUP(B826,'Cleaned Trainer Data'!$A$2:$E$9,2,FALSE),"No Trainer Assigned")</f>
        <v>Meera</v>
      </c>
      <c r="D826">
        <f>IFERROR(VLOOKUP(B826,'Cleaned Trainer Data'!$A$2:$E$11,4,FALSE),"0")</f>
        <v>4.75</v>
      </c>
    </row>
    <row r="827" spans="1:4" x14ac:dyDescent="0.35">
      <c r="A827" t="s">
        <v>858</v>
      </c>
      <c r="B827" t="s">
        <v>14</v>
      </c>
      <c r="C827" t="str">
        <f>IFERROR(VLOOKUP(B827,'Cleaned Trainer Data'!$A$2:$E$9,2,FALSE),"No Trainer Assigned")</f>
        <v>Vishal</v>
      </c>
      <c r="D827">
        <f>IFERROR(VLOOKUP(B827,'Cleaned Trainer Data'!$A$2:$E$11,4,FALSE),"0")</f>
        <v>3.09</v>
      </c>
    </row>
    <row r="828" spans="1:4" x14ac:dyDescent="0.35">
      <c r="A828" t="s">
        <v>859</v>
      </c>
      <c r="B828" t="s">
        <v>14</v>
      </c>
      <c r="C828" t="str">
        <f>IFERROR(VLOOKUP(B828,'Cleaned Trainer Data'!$A$2:$E$9,2,FALSE),"No Trainer Assigned")</f>
        <v>Vishal</v>
      </c>
      <c r="D828">
        <f>IFERROR(VLOOKUP(B828,'Cleaned Trainer Data'!$A$2:$E$11,4,FALSE),"0")</f>
        <v>3.09</v>
      </c>
    </row>
    <row r="829" spans="1:4" x14ac:dyDescent="0.35">
      <c r="A829" t="s">
        <v>860</v>
      </c>
      <c r="B829" t="s">
        <v>37</v>
      </c>
      <c r="C829" t="str">
        <f>IFERROR(VLOOKUP(B829,'Cleaned Trainer Data'!$A$2:$E$9,2,FALSE),"No Trainer Assigned")</f>
        <v>No Trainer Assigned</v>
      </c>
      <c r="D829" t="str">
        <f>IFERROR(VLOOKUP(B829,'Cleaned Trainer Data'!$A$2:$E$11,4,FALSE),"0")</f>
        <v>0</v>
      </c>
    </row>
    <row r="830" spans="1:4" x14ac:dyDescent="0.35">
      <c r="A830" t="s">
        <v>861</v>
      </c>
      <c r="B830" t="s">
        <v>10</v>
      </c>
      <c r="C830" t="str">
        <f>IFERROR(VLOOKUP(B830,'Cleaned Trainer Data'!$A$2:$E$9,2,FALSE),"No Trainer Assigned")</f>
        <v>Arun</v>
      </c>
      <c r="D830">
        <f>IFERROR(VLOOKUP(B830,'Cleaned Trainer Data'!$A$2:$E$11,4,FALSE),"0")</f>
        <v>4.3</v>
      </c>
    </row>
    <row r="831" spans="1:4" x14ac:dyDescent="0.35">
      <c r="A831" t="s">
        <v>862</v>
      </c>
      <c r="B831" t="s">
        <v>21</v>
      </c>
      <c r="C831" t="str">
        <f>IFERROR(VLOOKUP(B831,'Cleaned Trainer Data'!$A$2:$E$9,2,FALSE),"No Trainer Assigned")</f>
        <v>Kavya</v>
      </c>
      <c r="D831">
        <f>IFERROR(VLOOKUP(B831,'Cleaned Trainer Data'!$A$2:$E$11,4,FALSE),"0")</f>
        <v>3.28</v>
      </c>
    </row>
    <row r="832" spans="1:4" x14ac:dyDescent="0.35">
      <c r="A832" t="s">
        <v>863</v>
      </c>
      <c r="B832" t="s">
        <v>27</v>
      </c>
      <c r="C832" t="str">
        <f>IFERROR(VLOOKUP(B832,'Cleaned Trainer Data'!$A$2:$E$9,2,FALSE),"No Trainer Assigned")</f>
        <v>Joseph</v>
      </c>
      <c r="D832">
        <f>IFERROR(VLOOKUP(B832,'Cleaned Trainer Data'!$A$2:$E$11,4,FALSE),"0")</f>
        <v>4.58</v>
      </c>
    </row>
    <row r="833" spans="1:4" x14ac:dyDescent="0.35">
      <c r="A833" t="s">
        <v>864</v>
      </c>
      <c r="B833" t="s">
        <v>10</v>
      </c>
      <c r="C833" t="str">
        <f>IFERROR(VLOOKUP(B833,'Cleaned Trainer Data'!$A$2:$E$9,2,FALSE),"No Trainer Assigned")</f>
        <v>Arun</v>
      </c>
      <c r="D833">
        <f>IFERROR(VLOOKUP(B833,'Cleaned Trainer Data'!$A$2:$E$11,4,FALSE),"0")</f>
        <v>4.3</v>
      </c>
    </row>
    <row r="834" spans="1:4" x14ac:dyDescent="0.35">
      <c r="A834" t="s">
        <v>865</v>
      </c>
      <c r="B834" t="s">
        <v>18</v>
      </c>
      <c r="C834" t="str">
        <f>IFERROR(VLOOKUP(B834,'Cleaned Trainer Data'!$A$2:$E$9,2,FALSE),"No Trainer Assigned")</f>
        <v>Meera</v>
      </c>
      <c r="D834">
        <f>IFERROR(VLOOKUP(B834,'Cleaned Trainer Data'!$A$2:$E$11,4,FALSE),"0")</f>
        <v>4.75</v>
      </c>
    </row>
    <row r="835" spans="1:4" x14ac:dyDescent="0.35">
      <c r="A835" t="s">
        <v>866</v>
      </c>
      <c r="B835" t="s">
        <v>14</v>
      </c>
      <c r="C835" t="str">
        <f>IFERROR(VLOOKUP(B835,'Cleaned Trainer Data'!$A$2:$E$9,2,FALSE),"No Trainer Assigned")</f>
        <v>Vishal</v>
      </c>
      <c r="D835">
        <f>IFERROR(VLOOKUP(B835,'Cleaned Trainer Data'!$A$2:$E$11,4,FALSE),"0")</f>
        <v>3.09</v>
      </c>
    </row>
    <row r="836" spans="1:4" x14ac:dyDescent="0.35">
      <c r="A836" t="s">
        <v>867</v>
      </c>
      <c r="B836" t="s">
        <v>37</v>
      </c>
      <c r="C836" t="str">
        <f>IFERROR(VLOOKUP(B836,'Cleaned Trainer Data'!$A$2:$E$9,2,FALSE),"No Trainer Assigned")</f>
        <v>No Trainer Assigned</v>
      </c>
      <c r="D836" t="str">
        <f>IFERROR(VLOOKUP(B836,'Cleaned Trainer Data'!$A$2:$E$11,4,FALSE),"0")</f>
        <v>0</v>
      </c>
    </row>
    <row r="837" spans="1:4" x14ac:dyDescent="0.35">
      <c r="A837" t="s">
        <v>868</v>
      </c>
      <c r="B837" t="s">
        <v>37</v>
      </c>
      <c r="C837" t="str">
        <f>IFERROR(VLOOKUP(B837,'Cleaned Trainer Data'!$A$2:$E$9,2,FALSE),"No Trainer Assigned")</f>
        <v>No Trainer Assigned</v>
      </c>
      <c r="D837" t="str">
        <f>IFERROR(VLOOKUP(B837,'Cleaned Trainer Data'!$A$2:$E$11,4,FALSE),"0")</f>
        <v>0</v>
      </c>
    </row>
    <row r="838" spans="1:4" x14ac:dyDescent="0.35">
      <c r="A838" t="s">
        <v>869</v>
      </c>
      <c r="B838" t="s">
        <v>21</v>
      </c>
      <c r="C838" t="str">
        <f>IFERROR(VLOOKUP(B838,'Cleaned Trainer Data'!$A$2:$E$9,2,FALSE),"No Trainer Assigned")</f>
        <v>Kavya</v>
      </c>
      <c r="D838">
        <f>IFERROR(VLOOKUP(B838,'Cleaned Trainer Data'!$A$2:$E$11,4,FALSE),"0")</f>
        <v>3.28</v>
      </c>
    </row>
    <row r="839" spans="1:4" x14ac:dyDescent="0.35">
      <c r="A839" t="s">
        <v>870</v>
      </c>
      <c r="B839" t="s">
        <v>10</v>
      </c>
      <c r="C839" t="str">
        <f>IFERROR(VLOOKUP(B839,'Cleaned Trainer Data'!$A$2:$E$9,2,FALSE),"No Trainer Assigned")</f>
        <v>Arun</v>
      </c>
      <c r="D839">
        <f>IFERROR(VLOOKUP(B839,'Cleaned Trainer Data'!$A$2:$E$11,4,FALSE),"0")</f>
        <v>4.3</v>
      </c>
    </row>
    <row r="840" spans="1:4" x14ac:dyDescent="0.35">
      <c r="A840" t="s">
        <v>871</v>
      </c>
      <c r="B840" t="s">
        <v>21</v>
      </c>
      <c r="C840" t="str">
        <f>IFERROR(VLOOKUP(B840,'Cleaned Trainer Data'!$A$2:$E$9,2,FALSE),"No Trainer Assigned")</f>
        <v>Kavya</v>
      </c>
      <c r="D840">
        <f>IFERROR(VLOOKUP(B840,'Cleaned Trainer Data'!$A$2:$E$11,4,FALSE),"0")</f>
        <v>3.28</v>
      </c>
    </row>
    <row r="841" spans="1:4" x14ac:dyDescent="0.35">
      <c r="A841" t="s">
        <v>872</v>
      </c>
      <c r="B841" t="s">
        <v>14</v>
      </c>
      <c r="C841" t="str">
        <f>IFERROR(VLOOKUP(B841,'Cleaned Trainer Data'!$A$2:$E$9,2,FALSE),"No Trainer Assigned")</f>
        <v>Vishal</v>
      </c>
      <c r="D841">
        <f>IFERROR(VLOOKUP(B841,'Cleaned Trainer Data'!$A$2:$E$11,4,FALSE),"0")</f>
        <v>3.09</v>
      </c>
    </row>
    <row r="842" spans="1:4" x14ac:dyDescent="0.35">
      <c r="A842" t="s">
        <v>873</v>
      </c>
      <c r="B842" t="s">
        <v>21</v>
      </c>
      <c r="C842" t="str">
        <f>IFERROR(VLOOKUP(B842,'Cleaned Trainer Data'!$A$2:$E$9,2,FALSE),"No Trainer Assigned")</f>
        <v>Kavya</v>
      </c>
      <c r="D842">
        <f>IFERROR(VLOOKUP(B842,'Cleaned Trainer Data'!$A$2:$E$11,4,FALSE),"0")</f>
        <v>3.28</v>
      </c>
    </row>
    <row r="843" spans="1:4" x14ac:dyDescent="0.35">
      <c r="A843" t="s">
        <v>874</v>
      </c>
      <c r="B843" t="s">
        <v>27</v>
      </c>
      <c r="C843" t="str">
        <f>IFERROR(VLOOKUP(B843,'Cleaned Trainer Data'!$A$2:$E$9,2,FALSE),"No Trainer Assigned")</f>
        <v>Joseph</v>
      </c>
      <c r="D843">
        <f>IFERROR(VLOOKUP(B843,'Cleaned Trainer Data'!$A$2:$E$11,4,FALSE),"0")</f>
        <v>4.58</v>
      </c>
    </row>
    <row r="844" spans="1:4" x14ac:dyDescent="0.35">
      <c r="A844" t="s">
        <v>875</v>
      </c>
      <c r="B844" t="s">
        <v>37</v>
      </c>
      <c r="C844" t="str">
        <f>IFERROR(VLOOKUP(B844,'Cleaned Trainer Data'!$A$2:$E$9,2,FALSE),"No Trainer Assigned")</f>
        <v>No Trainer Assigned</v>
      </c>
      <c r="D844" t="str">
        <f>IFERROR(VLOOKUP(B844,'Cleaned Trainer Data'!$A$2:$E$11,4,FALSE),"0")</f>
        <v>0</v>
      </c>
    </row>
    <row r="845" spans="1:4" x14ac:dyDescent="0.35">
      <c r="A845" t="s">
        <v>876</v>
      </c>
      <c r="B845" t="s">
        <v>37</v>
      </c>
      <c r="C845" t="str">
        <f>IFERROR(VLOOKUP(B845,'Cleaned Trainer Data'!$A$2:$E$9,2,FALSE),"No Trainer Assigned")</f>
        <v>No Trainer Assigned</v>
      </c>
      <c r="D845" t="str">
        <f>IFERROR(VLOOKUP(B845,'Cleaned Trainer Data'!$A$2:$E$11,4,FALSE),"0")</f>
        <v>0</v>
      </c>
    </row>
    <row r="846" spans="1:4" x14ac:dyDescent="0.35">
      <c r="A846" t="s">
        <v>877</v>
      </c>
      <c r="B846" t="s">
        <v>18</v>
      </c>
      <c r="C846" t="str">
        <f>IFERROR(VLOOKUP(B846,'Cleaned Trainer Data'!$A$2:$E$9,2,FALSE),"No Trainer Assigned")</f>
        <v>Meera</v>
      </c>
      <c r="D846">
        <f>IFERROR(VLOOKUP(B846,'Cleaned Trainer Data'!$A$2:$E$11,4,FALSE),"0")</f>
        <v>4.75</v>
      </c>
    </row>
    <row r="847" spans="1:4" x14ac:dyDescent="0.35">
      <c r="A847" t="s">
        <v>878</v>
      </c>
      <c r="B847" t="s">
        <v>18</v>
      </c>
      <c r="C847" t="str">
        <f>IFERROR(VLOOKUP(B847,'Cleaned Trainer Data'!$A$2:$E$9,2,FALSE),"No Trainer Assigned")</f>
        <v>Meera</v>
      </c>
      <c r="D847">
        <f>IFERROR(VLOOKUP(B847,'Cleaned Trainer Data'!$A$2:$E$11,4,FALSE),"0")</f>
        <v>4.75</v>
      </c>
    </row>
    <row r="848" spans="1:4" x14ac:dyDescent="0.35">
      <c r="A848" t="s">
        <v>879</v>
      </c>
      <c r="B848" t="s">
        <v>14</v>
      </c>
      <c r="C848" t="str">
        <f>IFERROR(VLOOKUP(B848,'Cleaned Trainer Data'!$A$2:$E$9,2,FALSE),"No Trainer Assigned")</f>
        <v>Vishal</v>
      </c>
      <c r="D848">
        <f>IFERROR(VLOOKUP(B848,'Cleaned Trainer Data'!$A$2:$E$11,4,FALSE),"0")</f>
        <v>3.09</v>
      </c>
    </row>
    <row r="849" spans="1:4" x14ac:dyDescent="0.35">
      <c r="A849" t="s">
        <v>880</v>
      </c>
      <c r="B849" t="s">
        <v>27</v>
      </c>
      <c r="C849" t="str">
        <f>IFERROR(VLOOKUP(B849,'Cleaned Trainer Data'!$A$2:$E$9,2,FALSE),"No Trainer Assigned")</f>
        <v>Joseph</v>
      </c>
      <c r="D849">
        <f>IFERROR(VLOOKUP(B849,'Cleaned Trainer Data'!$A$2:$E$11,4,FALSE),"0")</f>
        <v>4.58</v>
      </c>
    </row>
    <row r="850" spans="1:4" x14ac:dyDescent="0.35">
      <c r="A850" t="s">
        <v>881</v>
      </c>
      <c r="B850" t="s">
        <v>10</v>
      </c>
      <c r="C850" t="str">
        <f>IFERROR(VLOOKUP(B850,'Cleaned Trainer Data'!$A$2:$E$9,2,FALSE),"No Trainer Assigned")</f>
        <v>Arun</v>
      </c>
      <c r="D850">
        <f>IFERROR(VLOOKUP(B850,'Cleaned Trainer Data'!$A$2:$E$11,4,FALSE),"0")</f>
        <v>4.3</v>
      </c>
    </row>
    <row r="851" spans="1:4" x14ac:dyDescent="0.35">
      <c r="A851" t="s">
        <v>882</v>
      </c>
      <c r="B851" t="s">
        <v>21</v>
      </c>
      <c r="C851" t="str">
        <f>IFERROR(VLOOKUP(B851,'Cleaned Trainer Data'!$A$2:$E$9,2,FALSE),"No Trainer Assigned")</f>
        <v>Kavya</v>
      </c>
      <c r="D851">
        <f>IFERROR(VLOOKUP(B851,'Cleaned Trainer Data'!$A$2:$E$11,4,FALSE),"0")</f>
        <v>3.28</v>
      </c>
    </row>
    <row r="852" spans="1:4" x14ac:dyDescent="0.35">
      <c r="A852" t="s">
        <v>883</v>
      </c>
      <c r="B852" t="s">
        <v>14</v>
      </c>
      <c r="C852" t="str">
        <f>IFERROR(VLOOKUP(B852,'Cleaned Trainer Data'!$A$2:$E$9,2,FALSE),"No Trainer Assigned")</f>
        <v>Vishal</v>
      </c>
      <c r="D852">
        <f>IFERROR(VLOOKUP(B852,'Cleaned Trainer Data'!$A$2:$E$11,4,FALSE),"0")</f>
        <v>3.09</v>
      </c>
    </row>
    <row r="853" spans="1:4" x14ac:dyDescent="0.35">
      <c r="A853" t="s">
        <v>884</v>
      </c>
      <c r="B853" t="s">
        <v>18</v>
      </c>
      <c r="C853" t="str">
        <f>IFERROR(VLOOKUP(B853,'Cleaned Trainer Data'!$A$2:$E$9,2,FALSE),"No Trainer Assigned")</f>
        <v>Meera</v>
      </c>
      <c r="D853">
        <f>IFERROR(VLOOKUP(B853,'Cleaned Trainer Data'!$A$2:$E$11,4,FALSE),"0")</f>
        <v>4.75</v>
      </c>
    </row>
    <row r="854" spans="1:4" x14ac:dyDescent="0.35">
      <c r="A854" t="s">
        <v>885</v>
      </c>
      <c r="B854" t="s">
        <v>21</v>
      </c>
      <c r="C854" t="str">
        <f>IFERROR(VLOOKUP(B854,'Cleaned Trainer Data'!$A$2:$E$9,2,FALSE),"No Trainer Assigned")</f>
        <v>Kavya</v>
      </c>
      <c r="D854">
        <f>IFERROR(VLOOKUP(B854,'Cleaned Trainer Data'!$A$2:$E$11,4,FALSE),"0")</f>
        <v>3.28</v>
      </c>
    </row>
    <row r="855" spans="1:4" x14ac:dyDescent="0.35">
      <c r="A855" t="s">
        <v>886</v>
      </c>
      <c r="B855" t="s">
        <v>18</v>
      </c>
      <c r="C855" t="str">
        <f>IFERROR(VLOOKUP(B855,'Cleaned Trainer Data'!$A$2:$E$9,2,FALSE),"No Trainer Assigned")</f>
        <v>Meera</v>
      </c>
      <c r="D855">
        <f>IFERROR(VLOOKUP(B855,'Cleaned Trainer Data'!$A$2:$E$11,4,FALSE),"0")</f>
        <v>4.75</v>
      </c>
    </row>
    <row r="856" spans="1:4" x14ac:dyDescent="0.35">
      <c r="A856" t="s">
        <v>887</v>
      </c>
      <c r="B856" t="s">
        <v>21</v>
      </c>
      <c r="C856" t="str">
        <f>IFERROR(VLOOKUP(B856,'Cleaned Trainer Data'!$A$2:$E$9,2,FALSE),"No Trainer Assigned")</f>
        <v>Kavya</v>
      </c>
      <c r="D856">
        <f>IFERROR(VLOOKUP(B856,'Cleaned Trainer Data'!$A$2:$E$11,4,FALSE),"0")</f>
        <v>3.28</v>
      </c>
    </row>
    <row r="857" spans="1:4" x14ac:dyDescent="0.35">
      <c r="A857" t="s">
        <v>888</v>
      </c>
      <c r="B857" t="s">
        <v>10</v>
      </c>
      <c r="C857" t="str">
        <f>IFERROR(VLOOKUP(B857,'Cleaned Trainer Data'!$A$2:$E$9,2,FALSE),"No Trainer Assigned")</f>
        <v>Arun</v>
      </c>
      <c r="D857">
        <f>IFERROR(VLOOKUP(B857,'Cleaned Trainer Data'!$A$2:$E$11,4,FALSE),"0")</f>
        <v>4.3</v>
      </c>
    </row>
    <row r="858" spans="1:4" x14ac:dyDescent="0.35">
      <c r="A858" t="s">
        <v>889</v>
      </c>
      <c r="B858" t="s">
        <v>14</v>
      </c>
      <c r="C858" t="str">
        <f>IFERROR(VLOOKUP(B858,'Cleaned Trainer Data'!$A$2:$E$9,2,FALSE),"No Trainer Assigned")</f>
        <v>Vishal</v>
      </c>
      <c r="D858">
        <f>IFERROR(VLOOKUP(B858,'Cleaned Trainer Data'!$A$2:$E$11,4,FALSE),"0")</f>
        <v>3.09</v>
      </c>
    </row>
    <row r="859" spans="1:4" x14ac:dyDescent="0.35">
      <c r="A859" t="s">
        <v>890</v>
      </c>
      <c r="B859" t="s">
        <v>21</v>
      </c>
      <c r="C859" t="str">
        <f>IFERROR(VLOOKUP(B859,'Cleaned Trainer Data'!$A$2:$E$9,2,FALSE),"No Trainer Assigned")</f>
        <v>Kavya</v>
      </c>
      <c r="D859">
        <f>IFERROR(VLOOKUP(B859,'Cleaned Trainer Data'!$A$2:$E$11,4,FALSE),"0")</f>
        <v>3.28</v>
      </c>
    </row>
    <row r="860" spans="1:4" x14ac:dyDescent="0.35">
      <c r="A860" t="s">
        <v>891</v>
      </c>
      <c r="B860" t="s">
        <v>27</v>
      </c>
      <c r="C860" t="str">
        <f>IFERROR(VLOOKUP(B860,'Cleaned Trainer Data'!$A$2:$E$9,2,FALSE),"No Trainer Assigned")</f>
        <v>Joseph</v>
      </c>
      <c r="D860">
        <f>IFERROR(VLOOKUP(B860,'Cleaned Trainer Data'!$A$2:$E$11,4,FALSE),"0")</f>
        <v>4.58</v>
      </c>
    </row>
    <row r="861" spans="1:4" x14ac:dyDescent="0.35">
      <c r="A861" t="s">
        <v>892</v>
      </c>
      <c r="B861" t="s">
        <v>37</v>
      </c>
      <c r="C861" t="str">
        <f>IFERROR(VLOOKUP(B861,'Cleaned Trainer Data'!$A$2:$E$9,2,FALSE),"No Trainer Assigned")</f>
        <v>No Trainer Assigned</v>
      </c>
      <c r="D861" t="str">
        <f>IFERROR(VLOOKUP(B861,'Cleaned Trainer Data'!$A$2:$E$11,4,FALSE),"0")</f>
        <v>0</v>
      </c>
    </row>
    <row r="862" spans="1:4" x14ac:dyDescent="0.35">
      <c r="A862" t="s">
        <v>893</v>
      </c>
      <c r="B862" t="s">
        <v>27</v>
      </c>
      <c r="C862" t="str">
        <f>IFERROR(VLOOKUP(B862,'Cleaned Trainer Data'!$A$2:$E$9,2,FALSE),"No Trainer Assigned")</f>
        <v>Joseph</v>
      </c>
      <c r="D862">
        <f>IFERROR(VLOOKUP(B862,'Cleaned Trainer Data'!$A$2:$E$11,4,FALSE),"0")</f>
        <v>4.58</v>
      </c>
    </row>
    <row r="863" spans="1:4" x14ac:dyDescent="0.35">
      <c r="A863" t="s">
        <v>894</v>
      </c>
      <c r="B863" t="s">
        <v>27</v>
      </c>
      <c r="C863" t="str">
        <f>IFERROR(VLOOKUP(B863,'Cleaned Trainer Data'!$A$2:$E$9,2,FALSE),"No Trainer Assigned")</f>
        <v>Joseph</v>
      </c>
      <c r="D863">
        <f>IFERROR(VLOOKUP(B863,'Cleaned Trainer Data'!$A$2:$E$11,4,FALSE),"0")</f>
        <v>4.58</v>
      </c>
    </row>
    <row r="864" spans="1:4" x14ac:dyDescent="0.35">
      <c r="A864" t="s">
        <v>895</v>
      </c>
      <c r="B864" t="s">
        <v>37</v>
      </c>
      <c r="C864" t="str">
        <f>IFERROR(VLOOKUP(B864,'Cleaned Trainer Data'!$A$2:$E$9,2,FALSE),"No Trainer Assigned")</f>
        <v>No Trainer Assigned</v>
      </c>
      <c r="D864" t="str">
        <f>IFERROR(VLOOKUP(B864,'Cleaned Trainer Data'!$A$2:$E$11,4,FALSE),"0")</f>
        <v>0</v>
      </c>
    </row>
    <row r="865" spans="1:4" x14ac:dyDescent="0.35">
      <c r="A865" t="s">
        <v>896</v>
      </c>
      <c r="B865" t="s">
        <v>27</v>
      </c>
      <c r="C865" t="str">
        <f>IFERROR(VLOOKUP(B865,'Cleaned Trainer Data'!$A$2:$E$9,2,FALSE),"No Trainer Assigned")</f>
        <v>Joseph</v>
      </c>
      <c r="D865">
        <f>IFERROR(VLOOKUP(B865,'Cleaned Trainer Data'!$A$2:$E$11,4,FALSE),"0")</f>
        <v>4.58</v>
      </c>
    </row>
    <row r="866" spans="1:4" x14ac:dyDescent="0.35">
      <c r="A866" t="s">
        <v>897</v>
      </c>
      <c r="B866" t="s">
        <v>21</v>
      </c>
      <c r="C866" t="str">
        <f>IFERROR(VLOOKUP(B866,'Cleaned Trainer Data'!$A$2:$E$9,2,FALSE),"No Trainer Assigned")</f>
        <v>Kavya</v>
      </c>
      <c r="D866">
        <f>IFERROR(VLOOKUP(B866,'Cleaned Trainer Data'!$A$2:$E$11,4,FALSE),"0")</f>
        <v>3.28</v>
      </c>
    </row>
    <row r="867" spans="1:4" x14ac:dyDescent="0.35">
      <c r="A867" t="s">
        <v>898</v>
      </c>
      <c r="B867" t="s">
        <v>21</v>
      </c>
      <c r="C867" t="str">
        <f>IFERROR(VLOOKUP(B867,'Cleaned Trainer Data'!$A$2:$E$9,2,FALSE),"No Trainer Assigned")</f>
        <v>Kavya</v>
      </c>
      <c r="D867">
        <f>IFERROR(VLOOKUP(B867,'Cleaned Trainer Data'!$A$2:$E$11,4,FALSE),"0")</f>
        <v>3.28</v>
      </c>
    </row>
    <row r="868" spans="1:4" x14ac:dyDescent="0.35">
      <c r="A868" t="s">
        <v>899</v>
      </c>
      <c r="B868" t="s">
        <v>21</v>
      </c>
      <c r="C868" t="str">
        <f>IFERROR(VLOOKUP(B868,'Cleaned Trainer Data'!$A$2:$E$9,2,FALSE),"No Trainer Assigned")</f>
        <v>Kavya</v>
      </c>
      <c r="D868">
        <f>IFERROR(VLOOKUP(B868,'Cleaned Trainer Data'!$A$2:$E$11,4,FALSE),"0")</f>
        <v>3.28</v>
      </c>
    </row>
    <row r="869" spans="1:4" x14ac:dyDescent="0.35">
      <c r="A869" t="s">
        <v>900</v>
      </c>
      <c r="B869" t="s">
        <v>37</v>
      </c>
      <c r="C869" t="str">
        <f>IFERROR(VLOOKUP(B869,'Cleaned Trainer Data'!$A$2:$E$9,2,FALSE),"No Trainer Assigned")</f>
        <v>No Trainer Assigned</v>
      </c>
      <c r="D869" t="str">
        <f>IFERROR(VLOOKUP(B869,'Cleaned Trainer Data'!$A$2:$E$11,4,FALSE),"0")</f>
        <v>0</v>
      </c>
    </row>
    <row r="870" spans="1:4" x14ac:dyDescent="0.35">
      <c r="A870" t="s">
        <v>901</v>
      </c>
      <c r="B870" t="s">
        <v>27</v>
      </c>
      <c r="C870" t="str">
        <f>IFERROR(VLOOKUP(B870,'Cleaned Trainer Data'!$A$2:$E$9,2,FALSE),"No Trainer Assigned")</f>
        <v>Joseph</v>
      </c>
      <c r="D870">
        <f>IFERROR(VLOOKUP(B870,'Cleaned Trainer Data'!$A$2:$E$11,4,FALSE),"0")</f>
        <v>4.58</v>
      </c>
    </row>
    <row r="871" spans="1:4" x14ac:dyDescent="0.35">
      <c r="A871" t="s">
        <v>902</v>
      </c>
      <c r="B871" t="s">
        <v>37</v>
      </c>
      <c r="C871" t="str">
        <f>IFERROR(VLOOKUP(B871,'Cleaned Trainer Data'!$A$2:$E$9,2,FALSE),"No Trainer Assigned")</f>
        <v>No Trainer Assigned</v>
      </c>
      <c r="D871" t="str">
        <f>IFERROR(VLOOKUP(B871,'Cleaned Trainer Data'!$A$2:$E$11,4,FALSE),"0")</f>
        <v>0</v>
      </c>
    </row>
    <row r="872" spans="1:4" x14ac:dyDescent="0.35">
      <c r="A872" t="s">
        <v>903</v>
      </c>
      <c r="B872" t="s">
        <v>21</v>
      </c>
      <c r="C872" t="str">
        <f>IFERROR(VLOOKUP(B872,'Cleaned Trainer Data'!$A$2:$E$9,2,FALSE),"No Trainer Assigned")</f>
        <v>Kavya</v>
      </c>
      <c r="D872">
        <f>IFERROR(VLOOKUP(B872,'Cleaned Trainer Data'!$A$2:$E$11,4,FALSE),"0")</f>
        <v>3.28</v>
      </c>
    </row>
    <row r="873" spans="1:4" x14ac:dyDescent="0.35">
      <c r="A873" t="s">
        <v>904</v>
      </c>
      <c r="B873" t="s">
        <v>27</v>
      </c>
      <c r="C873" t="str">
        <f>IFERROR(VLOOKUP(B873,'Cleaned Trainer Data'!$A$2:$E$9,2,FALSE),"No Trainer Assigned")</f>
        <v>Joseph</v>
      </c>
      <c r="D873">
        <f>IFERROR(VLOOKUP(B873,'Cleaned Trainer Data'!$A$2:$E$11,4,FALSE),"0")</f>
        <v>4.58</v>
      </c>
    </row>
    <row r="874" spans="1:4" x14ac:dyDescent="0.35">
      <c r="A874" t="s">
        <v>905</v>
      </c>
      <c r="B874" t="s">
        <v>27</v>
      </c>
      <c r="C874" t="str">
        <f>IFERROR(VLOOKUP(B874,'Cleaned Trainer Data'!$A$2:$E$9,2,FALSE),"No Trainer Assigned")</f>
        <v>Joseph</v>
      </c>
      <c r="D874">
        <f>IFERROR(VLOOKUP(B874,'Cleaned Trainer Data'!$A$2:$E$11,4,FALSE),"0")</f>
        <v>4.58</v>
      </c>
    </row>
    <row r="875" spans="1:4" x14ac:dyDescent="0.35">
      <c r="A875" t="s">
        <v>906</v>
      </c>
      <c r="B875" t="s">
        <v>18</v>
      </c>
      <c r="C875" t="str">
        <f>IFERROR(VLOOKUP(B875,'Cleaned Trainer Data'!$A$2:$E$9,2,FALSE),"No Trainer Assigned")</f>
        <v>Meera</v>
      </c>
      <c r="D875">
        <f>IFERROR(VLOOKUP(B875,'Cleaned Trainer Data'!$A$2:$E$11,4,FALSE),"0")</f>
        <v>4.75</v>
      </c>
    </row>
    <row r="876" spans="1:4" x14ac:dyDescent="0.35">
      <c r="A876" t="s">
        <v>907</v>
      </c>
      <c r="B876" t="s">
        <v>18</v>
      </c>
      <c r="C876" t="str">
        <f>IFERROR(VLOOKUP(B876,'Cleaned Trainer Data'!$A$2:$E$9,2,FALSE),"No Trainer Assigned")</f>
        <v>Meera</v>
      </c>
      <c r="D876">
        <f>IFERROR(VLOOKUP(B876,'Cleaned Trainer Data'!$A$2:$E$11,4,FALSE),"0")</f>
        <v>4.75</v>
      </c>
    </row>
    <row r="877" spans="1:4" x14ac:dyDescent="0.35">
      <c r="A877" t="s">
        <v>908</v>
      </c>
      <c r="B877" t="s">
        <v>10</v>
      </c>
      <c r="C877" t="str">
        <f>IFERROR(VLOOKUP(B877,'Cleaned Trainer Data'!$A$2:$E$9,2,FALSE),"No Trainer Assigned")</f>
        <v>Arun</v>
      </c>
      <c r="D877">
        <f>IFERROR(VLOOKUP(B877,'Cleaned Trainer Data'!$A$2:$E$11,4,FALSE),"0")</f>
        <v>4.3</v>
      </c>
    </row>
    <row r="878" spans="1:4" x14ac:dyDescent="0.35">
      <c r="A878" t="s">
        <v>909</v>
      </c>
      <c r="B878" t="s">
        <v>14</v>
      </c>
      <c r="C878" t="str">
        <f>IFERROR(VLOOKUP(B878,'Cleaned Trainer Data'!$A$2:$E$9,2,FALSE),"No Trainer Assigned")</f>
        <v>Vishal</v>
      </c>
      <c r="D878">
        <f>IFERROR(VLOOKUP(B878,'Cleaned Trainer Data'!$A$2:$E$11,4,FALSE),"0")</f>
        <v>3.09</v>
      </c>
    </row>
    <row r="879" spans="1:4" x14ac:dyDescent="0.35">
      <c r="A879" t="s">
        <v>910</v>
      </c>
      <c r="B879" t="s">
        <v>18</v>
      </c>
      <c r="C879" t="str">
        <f>IFERROR(VLOOKUP(B879,'Cleaned Trainer Data'!$A$2:$E$9,2,FALSE),"No Trainer Assigned")</f>
        <v>Meera</v>
      </c>
      <c r="D879">
        <f>IFERROR(VLOOKUP(B879,'Cleaned Trainer Data'!$A$2:$E$11,4,FALSE),"0")</f>
        <v>4.75</v>
      </c>
    </row>
    <row r="880" spans="1:4" x14ac:dyDescent="0.35">
      <c r="A880" t="s">
        <v>911</v>
      </c>
      <c r="B880" t="s">
        <v>37</v>
      </c>
      <c r="C880" t="str">
        <f>IFERROR(VLOOKUP(B880,'Cleaned Trainer Data'!$A$2:$E$9,2,FALSE),"No Trainer Assigned")</f>
        <v>No Trainer Assigned</v>
      </c>
      <c r="D880" t="str">
        <f>IFERROR(VLOOKUP(B880,'Cleaned Trainer Data'!$A$2:$E$11,4,FALSE),"0")</f>
        <v>0</v>
      </c>
    </row>
    <row r="881" spans="1:4" x14ac:dyDescent="0.35">
      <c r="A881" t="s">
        <v>912</v>
      </c>
      <c r="B881" t="s">
        <v>18</v>
      </c>
      <c r="C881" t="str">
        <f>IFERROR(VLOOKUP(B881,'Cleaned Trainer Data'!$A$2:$E$9,2,FALSE),"No Trainer Assigned")</f>
        <v>Meera</v>
      </c>
      <c r="D881">
        <f>IFERROR(VLOOKUP(B881,'Cleaned Trainer Data'!$A$2:$E$11,4,FALSE),"0")</f>
        <v>4.75</v>
      </c>
    </row>
    <row r="882" spans="1:4" x14ac:dyDescent="0.35">
      <c r="A882" t="s">
        <v>913</v>
      </c>
      <c r="B882" t="s">
        <v>10</v>
      </c>
      <c r="C882" t="str">
        <f>IFERROR(VLOOKUP(B882,'Cleaned Trainer Data'!$A$2:$E$9,2,FALSE),"No Trainer Assigned")</f>
        <v>Arun</v>
      </c>
      <c r="D882">
        <f>IFERROR(VLOOKUP(B882,'Cleaned Trainer Data'!$A$2:$E$11,4,FALSE),"0")</f>
        <v>4.3</v>
      </c>
    </row>
    <row r="883" spans="1:4" x14ac:dyDescent="0.35">
      <c r="A883" t="s">
        <v>914</v>
      </c>
      <c r="B883" t="s">
        <v>27</v>
      </c>
      <c r="C883" t="str">
        <f>IFERROR(VLOOKUP(B883,'Cleaned Trainer Data'!$A$2:$E$9,2,FALSE),"No Trainer Assigned")</f>
        <v>Joseph</v>
      </c>
      <c r="D883">
        <f>IFERROR(VLOOKUP(B883,'Cleaned Trainer Data'!$A$2:$E$11,4,FALSE),"0")</f>
        <v>4.58</v>
      </c>
    </row>
    <row r="884" spans="1:4" x14ac:dyDescent="0.35">
      <c r="A884" t="s">
        <v>915</v>
      </c>
      <c r="B884" t="s">
        <v>10</v>
      </c>
      <c r="C884" t="str">
        <f>IFERROR(VLOOKUP(B884,'Cleaned Trainer Data'!$A$2:$E$9,2,FALSE),"No Trainer Assigned")</f>
        <v>Arun</v>
      </c>
      <c r="D884">
        <f>IFERROR(VLOOKUP(B884,'Cleaned Trainer Data'!$A$2:$E$11,4,FALSE),"0")</f>
        <v>4.3</v>
      </c>
    </row>
    <row r="885" spans="1:4" x14ac:dyDescent="0.35">
      <c r="A885" t="s">
        <v>916</v>
      </c>
      <c r="B885" t="s">
        <v>27</v>
      </c>
      <c r="C885" t="str">
        <f>IFERROR(VLOOKUP(B885,'Cleaned Trainer Data'!$A$2:$E$9,2,FALSE),"No Trainer Assigned")</f>
        <v>Joseph</v>
      </c>
      <c r="D885">
        <f>IFERROR(VLOOKUP(B885,'Cleaned Trainer Data'!$A$2:$E$11,4,FALSE),"0")</f>
        <v>4.58</v>
      </c>
    </row>
    <row r="886" spans="1:4" x14ac:dyDescent="0.35">
      <c r="A886" t="s">
        <v>917</v>
      </c>
      <c r="B886" t="s">
        <v>27</v>
      </c>
      <c r="C886" t="str">
        <f>IFERROR(VLOOKUP(B886,'Cleaned Trainer Data'!$A$2:$E$9,2,FALSE),"No Trainer Assigned")</f>
        <v>Joseph</v>
      </c>
      <c r="D886">
        <f>IFERROR(VLOOKUP(B886,'Cleaned Trainer Data'!$A$2:$E$11,4,FALSE),"0")</f>
        <v>4.58</v>
      </c>
    </row>
    <row r="887" spans="1:4" x14ac:dyDescent="0.35">
      <c r="A887" t="s">
        <v>918</v>
      </c>
      <c r="B887" t="s">
        <v>14</v>
      </c>
      <c r="C887" t="str">
        <f>IFERROR(VLOOKUP(B887,'Cleaned Trainer Data'!$A$2:$E$9,2,FALSE),"No Trainer Assigned")</f>
        <v>Vishal</v>
      </c>
      <c r="D887">
        <f>IFERROR(VLOOKUP(B887,'Cleaned Trainer Data'!$A$2:$E$11,4,FALSE),"0")</f>
        <v>3.09</v>
      </c>
    </row>
    <row r="888" spans="1:4" x14ac:dyDescent="0.35">
      <c r="A888" t="s">
        <v>919</v>
      </c>
      <c r="B888" t="s">
        <v>18</v>
      </c>
      <c r="C888" t="str">
        <f>IFERROR(VLOOKUP(B888,'Cleaned Trainer Data'!$A$2:$E$9,2,FALSE),"No Trainer Assigned")</f>
        <v>Meera</v>
      </c>
      <c r="D888">
        <f>IFERROR(VLOOKUP(B888,'Cleaned Trainer Data'!$A$2:$E$11,4,FALSE),"0")</f>
        <v>4.75</v>
      </c>
    </row>
    <row r="889" spans="1:4" x14ac:dyDescent="0.35">
      <c r="A889" t="s">
        <v>920</v>
      </c>
      <c r="B889" t="s">
        <v>37</v>
      </c>
      <c r="C889" t="str">
        <f>IFERROR(VLOOKUP(B889,'Cleaned Trainer Data'!$A$2:$E$9,2,FALSE),"No Trainer Assigned")</f>
        <v>No Trainer Assigned</v>
      </c>
      <c r="D889" t="str">
        <f>IFERROR(VLOOKUP(B889,'Cleaned Trainer Data'!$A$2:$E$11,4,FALSE),"0")</f>
        <v>0</v>
      </c>
    </row>
    <row r="890" spans="1:4" x14ac:dyDescent="0.35">
      <c r="A890" t="s">
        <v>921</v>
      </c>
      <c r="B890" t="s">
        <v>37</v>
      </c>
      <c r="C890" t="str">
        <f>IFERROR(VLOOKUP(B890,'Cleaned Trainer Data'!$A$2:$E$9,2,FALSE),"No Trainer Assigned")</f>
        <v>No Trainer Assigned</v>
      </c>
      <c r="D890" t="str">
        <f>IFERROR(VLOOKUP(B890,'Cleaned Trainer Data'!$A$2:$E$11,4,FALSE),"0")</f>
        <v>0</v>
      </c>
    </row>
    <row r="891" spans="1:4" x14ac:dyDescent="0.35">
      <c r="A891" t="s">
        <v>922</v>
      </c>
      <c r="B891" t="s">
        <v>21</v>
      </c>
      <c r="C891" t="str">
        <f>IFERROR(VLOOKUP(B891,'Cleaned Trainer Data'!$A$2:$E$9,2,FALSE),"No Trainer Assigned")</f>
        <v>Kavya</v>
      </c>
      <c r="D891">
        <f>IFERROR(VLOOKUP(B891,'Cleaned Trainer Data'!$A$2:$E$11,4,FALSE),"0")</f>
        <v>3.28</v>
      </c>
    </row>
    <row r="892" spans="1:4" x14ac:dyDescent="0.35">
      <c r="A892" t="s">
        <v>923</v>
      </c>
      <c r="B892" t="s">
        <v>27</v>
      </c>
      <c r="C892" t="str">
        <f>IFERROR(VLOOKUP(B892,'Cleaned Trainer Data'!$A$2:$E$9,2,FALSE),"No Trainer Assigned")</f>
        <v>Joseph</v>
      </c>
      <c r="D892">
        <f>IFERROR(VLOOKUP(B892,'Cleaned Trainer Data'!$A$2:$E$11,4,FALSE),"0")</f>
        <v>4.58</v>
      </c>
    </row>
    <row r="893" spans="1:4" x14ac:dyDescent="0.35">
      <c r="A893" t="s">
        <v>924</v>
      </c>
      <c r="B893" t="s">
        <v>37</v>
      </c>
      <c r="C893" t="str">
        <f>IFERROR(VLOOKUP(B893,'Cleaned Trainer Data'!$A$2:$E$9,2,FALSE),"No Trainer Assigned")</f>
        <v>No Trainer Assigned</v>
      </c>
      <c r="D893" t="str">
        <f>IFERROR(VLOOKUP(B893,'Cleaned Trainer Data'!$A$2:$E$11,4,FALSE),"0")</f>
        <v>0</v>
      </c>
    </row>
    <row r="894" spans="1:4" x14ac:dyDescent="0.35">
      <c r="A894" t="s">
        <v>925</v>
      </c>
      <c r="B894" t="s">
        <v>14</v>
      </c>
      <c r="C894" t="str">
        <f>IFERROR(VLOOKUP(B894,'Cleaned Trainer Data'!$A$2:$E$9,2,FALSE),"No Trainer Assigned")</f>
        <v>Vishal</v>
      </c>
      <c r="D894">
        <f>IFERROR(VLOOKUP(B894,'Cleaned Trainer Data'!$A$2:$E$11,4,FALSE),"0")</f>
        <v>3.09</v>
      </c>
    </row>
    <row r="895" spans="1:4" x14ac:dyDescent="0.35">
      <c r="A895" t="s">
        <v>926</v>
      </c>
      <c r="B895" t="s">
        <v>27</v>
      </c>
      <c r="C895" t="str">
        <f>IFERROR(VLOOKUP(B895,'Cleaned Trainer Data'!$A$2:$E$9,2,FALSE),"No Trainer Assigned")</f>
        <v>Joseph</v>
      </c>
      <c r="D895">
        <f>IFERROR(VLOOKUP(B895,'Cleaned Trainer Data'!$A$2:$E$11,4,FALSE),"0")</f>
        <v>4.58</v>
      </c>
    </row>
    <row r="896" spans="1:4" x14ac:dyDescent="0.35">
      <c r="A896" t="s">
        <v>927</v>
      </c>
      <c r="B896" t="s">
        <v>14</v>
      </c>
      <c r="C896" t="str">
        <f>IFERROR(VLOOKUP(B896,'Cleaned Trainer Data'!$A$2:$E$9,2,FALSE),"No Trainer Assigned")</f>
        <v>Vishal</v>
      </c>
      <c r="D896">
        <f>IFERROR(VLOOKUP(B896,'Cleaned Trainer Data'!$A$2:$E$11,4,FALSE),"0")</f>
        <v>3.09</v>
      </c>
    </row>
    <row r="897" spans="1:4" x14ac:dyDescent="0.35">
      <c r="A897" t="s">
        <v>928</v>
      </c>
      <c r="B897" t="s">
        <v>37</v>
      </c>
      <c r="C897" t="str">
        <f>IFERROR(VLOOKUP(B897,'Cleaned Trainer Data'!$A$2:$E$9,2,FALSE),"No Trainer Assigned")</f>
        <v>No Trainer Assigned</v>
      </c>
      <c r="D897" t="str">
        <f>IFERROR(VLOOKUP(B897,'Cleaned Trainer Data'!$A$2:$E$11,4,FALSE),"0")</f>
        <v>0</v>
      </c>
    </row>
    <row r="898" spans="1:4" x14ac:dyDescent="0.35">
      <c r="A898" t="s">
        <v>929</v>
      </c>
      <c r="B898" t="s">
        <v>37</v>
      </c>
      <c r="C898" t="str">
        <f>IFERROR(VLOOKUP(B898,'Cleaned Trainer Data'!$A$2:$E$9,2,FALSE),"No Trainer Assigned")</f>
        <v>No Trainer Assigned</v>
      </c>
      <c r="D898" t="str">
        <f>IFERROR(VLOOKUP(B898,'Cleaned Trainer Data'!$A$2:$E$11,4,FALSE),"0")</f>
        <v>0</v>
      </c>
    </row>
    <row r="899" spans="1:4" x14ac:dyDescent="0.35">
      <c r="A899" t="s">
        <v>930</v>
      </c>
      <c r="B899" t="s">
        <v>21</v>
      </c>
      <c r="C899" t="str">
        <f>IFERROR(VLOOKUP(B899,'Cleaned Trainer Data'!$A$2:$E$9,2,FALSE),"No Trainer Assigned")</f>
        <v>Kavya</v>
      </c>
      <c r="D899">
        <f>IFERROR(VLOOKUP(B899,'Cleaned Trainer Data'!$A$2:$E$11,4,FALSE),"0")</f>
        <v>3.28</v>
      </c>
    </row>
    <row r="900" spans="1:4" x14ac:dyDescent="0.35">
      <c r="A900" t="s">
        <v>931</v>
      </c>
      <c r="B900" t="s">
        <v>37</v>
      </c>
      <c r="C900" t="str">
        <f>IFERROR(VLOOKUP(B900,'Cleaned Trainer Data'!$A$2:$E$9,2,FALSE),"No Trainer Assigned")</f>
        <v>No Trainer Assigned</v>
      </c>
      <c r="D900" t="str">
        <f>IFERROR(VLOOKUP(B900,'Cleaned Trainer Data'!$A$2:$E$11,4,FALSE),"0")</f>
        <v>0</v>
      </c>
    </row>
    <row r="901" spans="1:4" x14ac:dyDescent="0.35">
      <c r="A901" t="s">
        <v>932</v>
      </c>
      <c r="B901" t="s">
        <v>27</v>
      </c>
      <c r="C901" t="str">
        <f>IFERROR(VLOOKUP(B901,'Cleaned Trainer Data'!$A$2:$E$9,2,FALSE),"No Trainer Assigned")</f>
        <v>Joseph</v>
      </c>
      <c r="D901">
        <f>IFERROR(VLOOKUP(B901,'Cleaned Trainer Data'!$A$2:$E$11,4,FALSE),"0")</f>
        <v>4.58</v>
      </c>
    </row>
    <row r="902" spans="1:4" x14ac:dyDescent="0.35">
      <c r="A902" t="s">
        <v>933</v>
      </c>
      <c r="B902" t="s">
        <v>27</v>
      </c>
      <c r="C902" t="str">
        <f>IFERROR(VLOOKUP(B902,'Cleaned Trainer Data'!$A$2:$E$9,2,FALSE),"No Trainer Assigned")</f>
        <v>Joseph</v>
      </c>
      <c r="D902">
        <f>IFERROR(VLOOKUP(B902,'Cleaned Trainer Data'!$A$2:$E$11,4,FALSE),"0")</f>
        <v>4.58</v>
      </c>
    </row>
    <row r="903" spans="1:4" x14ac:dyDescent="0.35">
      <c r="A903" t="s">
        <v>934</v>
      </c>
      <c r="B903" t="s">
        <v>27</v>
      </c>
      <c r="C903" t="str">
        <f>IFERROR(VLOOKUP(B903,'Cleaned Trainer Data'!$A$2:$E$9,2,FALSE),"No Trainer Assigned")</f>
        <v>Joseph</v>
      </c>
      <c r="D903">
        <f>IFERROR(VLOOKUP(B903,'Cleaned Trainer Data'!$A$2:$E$11,4,FALSE),"0")</f>
        <v>4.58</v>
      </c>
    </row>
    <row r="904" spans="1:4" x14ac:dyDescent="0.35">
      <c r="A904" t="s">
        <v>935</v>
      </c>
      <c r="B904" t="s">
        <v>21</v>
      </c>
      <c r="C904" t="str">
        <f>IFERROR(VLOOKUP(B904,'Cleaned Trainer Data'!$A$2:$E$9,2,FALSE),"No Trainer Assigned")</f>
        <v>Kavya</v>
      </c>
      <c r="D904">
        <f>IFERROR(VLOOKUP(B904,'Cleaned Trainer Data'!$A$2:$E$11,4,FALSE),"0")</f>
        <v>3.28</v>
      </c>
    </row>
    <row r="905" spans="1:4" x14ac:dyDescent="0.35">
      <c r="A905" t="s">
        <v>936</v>
      </c>
      <c r="B905" t="s">
        <v>21</v>
      </c>
      <c r="C905" t="str">
        <f>IFERROR(VLOOKUP(B905,'Cleaned Trainer Data'!$A$2:$E$9,2,FALSE),"No Trainer Assigned")</f>
        <v>Kavya</v>
      </c>
      <c r="D905">
        <f>IFERROR(VLOOKUP(B905,'Cleaned Trainer Data'!$A$2:$E$11,4,FALSE),"0")</f>
        <v>3.28</v>
      </c>
    </row>
    <row r="906" spans="1:4" x14ac:dyDescent="0.35">
      <c r="A906" t="s">
        <v>937</v>
      </c>
      <c r="B906" t="s">
        <v>37</v>
      </c>
      <c r="C906" t="str">
        <f>IFERROR(VLOOKUP(B906,'Cleaned Trainer Data'!$A$2:$E$9,2,FALSE),"No Trainer Assigned")</f>
        <v>No Trainer Assigned</v>
      </c>
      <c r="D906" t="str">
        <f>IFERROR(VLOOKUP(B906,'Cleaned Trainer Data'!$A$2:$E$11,4,FALSE),"0")</f>
        <v>0</v>
      </c>
    </row>
    <row r="907" spans="1:4" x14ac:dyDescent="0.35">
      <c r="A907" t="s">
        <v>938</v>
      </c>
      <c r="B907" t="s">
        <v>10</v>
      </c>
      <c r="C907" t="str">
        <f>IFERROR(VLOOKUP(B907,'Cleaned Trainer Data'!$A$2:$E$9,2,FALSE),"No Trainer Assigned")</f>
        <v>Arun</v>
      </c>
      <c r="D907">
        <f>IFERROR(VLOOKUP(B907,'Cleaned Trainer Data'!$A$2:$E$11,4,FALSE),"0")</f>
        <v>4.3</v>
      </c>
    </row>
    <row r="908" spans="1:4" x14ac:dyDescent="0.35">
      <c r="A908" t="s">
        <v>939</v>
      </c>
      <c r="B908" t="s">
        <v>10</v>
      </c>
      <c r="C908" t="str">
        <f>IFERROR(VLOOKUP(B908,'Cleaned Trainer Data'!$A$2:$E$9,2,FALSE),"No Trainer Assigned")</f>
        <v>Arun</v>
      </c>
      <c r="D908">
        <f>IFERROR(VLOOKUP(B908,'Cleaned Trainer Data'!$A$2:$E$11,4,FALSE),"0")</f>
        <v>4.3</v>
      </c>
    </row>
    <row r="909" spans="1:4" x14ac:dyDescent="0.35">
      <c r="A909" t="s">
        <v>940</v>
      </c>
      <c r="B909" t="s">
        <v>21</v>
      </c>
      <c r="C909" t="str">
        <f>IFERROR(VLOOKUP(B909,'Cleaned Trainer Data'!$A$2:$E$9,2,FALSE),"No Trainer Assigned")</f>
        <v>Kavya</v>
      </c>
      <c r="D909">
        <f>IFERROR(VLOOKUP(B909,'Cleaned Trainer Data'!$A$2:$E$11,4,FALSE),"0")</f>
        <v>3.28</v>
      </c>
    </row>
    <row r="910" spans="1:4" x14ac:dyDescent="0.35">
      <c r="A910" t="s">
        <v>941</v>
      </c>
      <c r="B910" t="s">
        <v>37</v>
      </c>
      <c r="C910" t="str">
        <f>IFERROR(VLOOKUP(B910,'Cleaned Trainer Data'!$A$2:$E$9,2,FALSE),"No Trainer Assigned")</f>
        <v>No Trainer Assigned</v>
      </c>
      <c r="D910" t="str">
        <f>IFERROR(VLOOKUP(B910,'Cleaned Trainer Data'!$A$2:$E$11,4,FALSE),"0")</f>
        <v>0</v>
      </c>
    </row>
    <row r="911" spans="1:4" x14ac:dyDescent="0.35">
      <c r="A911" t="s">
        <v>942</v>
      </c>
      <c r="B911" t="s">
        <v>10</v>
      </c>
      <c r="C911" t="str">
        <f>IFERROR(VLOOKUP(B911,'Cleaned Trainer Data'!$A$2:$E$9,2,FALSE),"No Trainer Assigned")</f>
        <v>Arun</v>
      </c>
      <c r="D911">
        <f>IFERROR(VLOOKUP(B911,'Cleaned Trainer Data'!$A$2:$E$11,4,FALSE),"0")</f>
        <v>4.3</v>
      </c>
    </row>
    <row r="912" spans="1:4" x14ac:dyDescent="0.35">
      <c r="A912" t="s">
        <v>943</v>
      </c>
      <c r="B912" t="s">
        <v>37</v>
      </c>
      <c r="C912" t="str">
        <f>IFERROR(VLOOKUP(B912,'Cleaned Trainer Data'!$A$2:$E$9,2,FALSE),"No Trainer Assigned")</f>
        <v>No Trainer Assigned</v>
      </c>
      <c r="D912" t="str">
        <f>IFERROR(VLOOKUP(B912,'Cleaned Trainer Data'!$A$2:$E$11,4,FALSE),"0")</f>
        <v>0</v>
      </c>
    </row>
    <row r="913" spans="1:4" x14ac:dyDescent="0.35">
      <c r="A913" t="s">
        <v>944</v>
      </c>
      <c r="B913" t="s">
        <v>37</v>
      </c>
      <c r="C913" t="str">
        <f>IFERROR(VLOOKUP(B913,'Cleaned Trainer Data'!$A$2:$E$9,2,FALSE),"No Trainer Assigned")</f>
        <v>No Trainer Assigned</v>
      </c>
      <c r="D913" t="str">
        <f>IFERROR(VLOOKUP(B913,'Cleaned Trainer Data'!$A$2:$E$11,4,FALSE),"0")</f>
        <v>0</v>
      </c>
    </row>
    <row r="914" spans="1:4" x14ac:dyDescent="0.35">
      <c r="A914" t="s">
        <v>945</v>
      </c>
      <c r="B914" t="s">
        <v>37</v>
      </c>
      <c r="C914" t="str">
        <f>IFERROR(VLOOKUP(B914,'Cleaned Trainer Data'!$A$2:$E$9,2,FALSE),"No Trainer Assigned")</f>
        <v>No Trainer Assigned</v>
      </c>
      <c r="D914" t="str">
        <f>IFERROR(VLOOKUP(B914,'Cleaned Trainer Data'!$A$2:$E$11,4,FALSE),"0")</f>
        <v>0</v>
      </c>
    </row>
    <row r="915" spans="1:4" x14ac:dyDescent="0.35">
      <c r="A915" t="s">
        <v>946</v>
      </c>
      <c r="B915" t="s">
        <v>18</v>
      </c>
      <c r="C915" t="str">
        <f>IFERROR(VLOOKUP(B915,'Cleaned Trainer Data'!$A$2:$E$9,2,FALSE),"No Trainer Assigned")</f>
        <v>Meera</v>
      </c>
      <c r="D915">
        <f>IFERROR(VLOOKUP(B915,'Cleaned Trainer Data'!$A$2:$E$11,4,FALSE),"0")</f>
        <v>4.75</v>
      </c>
    </row>
    <row r="916" spans="1:4" x14ac:dyDescent="0.35">
      <c r="A916" t="s">
        <v>947</v>
      </c>
      <c r="B916" t="s">
        <v>27</v>
      </c>
      <c r="C916" t="str">
        <f>IFERROR(VLOOKUP(B916,'Cleaned Trainer Data'!$A$2:$E$9,2,FALSE),"No Trainer Assigned")</f>
        <v>Joseph</v>
      </c>
      <c r="D916">
        <f>IFERROR(VLOOKUP(B916,'Cleaned Trainer Data'!$A$2:$E$11,4,FALSE),"0")</f>
        <v>4.58</v>
      </c>
    </row>
    <row r="917" spans="1:4" x14ac:dyDescent="0.35">
      <c r="A917" t="s">
        <v>948</v>
      </c>
      <c r="B917" t="s">
        <v>37</v>
      </c>
      <c r="C917" t="str">
        <f>IFERROR(VLOOKUP(B917,'Cleaned Trainer Data'!$A$2:$E$9,2,FALSE),"No Trainer Assigned")</f>
        <v>No Trainer Assigned</v>
      </c>
      <c r="D917" t="str">
        <f>IFERROR(VLOOKUP(B917,'Cleaned Trainer Data'!$A$2:$E$11,4,FALSE),"0")</f>
        <v>0</v>
      </c>
    </row>
    <row r="918" spans="1:4" x14ac:dyDescent="0.35">
      <c r="A918" t="s">
        <v>949</v>
      </c>
      <c r="B918" t="s">
        <v>18</v>
      </c>
      <c r="C918" t="str">
        <f>IFERROR(VLOOKUP(B918,'Cleaned Trainer Data'!$A$2:$E$9,2,FALSE),"No Trainer Assigned")</f>
        <v>Meera</v>
      </c>
      <c r="D918">
        <f>IFERROR(VLOOKUP(B918,'Cleaned Trainer Data'!$A$2:$E$11,4,FALSE),"0")</f>
        <v>4.75</v>
      </c>
    </row>
    <row r="919" spans="1:4" x14ac:dyDescent="0.35">
      <c r="A919" t="s">
        <v>950</v>
      </c>
      <c r="B919" t="s">
        <v>21</v>
      </c>
      <c r="C919" t="str">
        <f>IFERROR(VLOOKUP(B919,'Cleaned Trainer Data'!$A$2:$E$9,2,FALSE),"No Trainer Assigned")</f>
        <v>Kavya</v>
      </c>
      <c r="D919">
        <f>IFERROR(VLOOKUP(B919,'Cleaned Trainer Data'!$A$2:$E$11,4,FALSE),"0")</f>
        <v>3.28</v>
      </c>
    </row>
    <row r="920" spans="1:4" x14ac:dyDescent="0.35">
      <c r="A920" t="s">
        <v>951</v>
      </c>
      <c r="B920" t="s">
        <v>10</v>
      </c>
      <c r="C920" t="str">
        <f>IFERROR(VLOOKUP(B920,'Cleaned Trainer Data'!$A$2:$E$9,2,FALSE),"No Trainer Assigned")</f>
        <v>Arun</v>
      </c>
      <c r="D920">
        <f>IFERROR(VLOOKUP(B920,'Cleaned Trainer Data'!$A$2:$E$11,4,FALSE),"0")</f>
        <v>4.3</v>
      </c>
    </row>
    <row r="921" spans="1:4" x14ac:dyDescent="0.35">
      <c r="A921" t="s">
        <v>952</v>
      </c>
      <c r="B921" t="s">
        <v>27</v>
      </c>
      <c r="C921" t="str">
        <f>IFERROR(VLOOKUP(B921,'Cleaned Trainer Data'!$A$2:$E$9,2,FALSE),"No Trainer Assigned")</f>
        <v>Joseph</v>
      </c>
      <c r="D921">
        <f>IFERROR(VLOOKUP(B921,'Cleaned Trainer Data'!$A$2:$E$11,4,FALSE),"0")</f>
        <v>4.58</v>
      </c>
    </row>
    <row r="922" spans="1:4" x14ac:dyDescent="0.35">
      <c r="A922" t="s">
        <v>953</v>
      </c>
      <c r="B922" t="s">
        <v>10</v>
      </c>
      <c r="C922" t="str">
        <f>IFERROR(VLOOKUP(B922,'Cleaned Trainer Data'!$A$2:$E$9,2,FALSE),"No Trainer Assigned")</f>
        <v>Arun</v>
      </c>
      <c r="D922">
        <f>IFERROR(VLOOKUP(B922,'Cleaned Trainer Data'!$A$2:$E$11,4,FALSE),"0")</f>
        <v>4.3</v>
      </c>
    </row>
    <row r="923" spans="1:4" x14ac:dyDescent="0.35">
      <c r="A923" t="s">
        <v>954</v>
      </c>
      <c r="B923" t="s">
        <v>27</v>
      </c>
      <c r="C923" t="str">
        <f>IFERROR(VLOOKUP(B923,'Cleaned Trainer Data'!$A$2:$E$9,2,FALSE),"No Trainer Assigned")</f>
        <v>Joseph</v>
      </c>
      <c r="D923">
        <f>IFERROR(VLOOKUP(B923,'Cleaned Trainer Data'!$A$2:$E$11,4,FALSE),"0")</f>
        <v>4.58</v>
      </c>
    </row>
    <row r="924" spans="1:4" x14ac:dyDescent="0.35">
      <c r="A924" t="s">
        <v>955</v>
      </c>
      <c r="B924" t="s">
        <v>10</v>
      </c>
      <c r="C924" t="str">
        <f>IFERROR(VLOOKUP(B924,'Cleaned Trainer Data'!$A$2:$E$9,2,FALSE),"No Trainer Assigned")</f>
        <v>Arun</v>
      </c>
      <c r="D924">
        <f>IFERROR(VLOOKUP(B924,'Cleaned Trainer Data'!$A$2:$E$11,4,FALSE),"0")</f>
        <v>4.3</v>
      </c>
    </row>
    <row r="925" spans="1:4" x14ac:dyDescent="0.35">
      <c r="A925" t="s">
        <v>956</v>
      </c>
      <c r="B925" t="s">
        <v>27</v>
      </c>
      <c r="C925" t="str">
        <f>IFERROR(VLOOKUP(B925,'Cleaned Trainer Data'!$A$2:$E$9,2,FALSE),"No Trainer Assigned")</f>
        <v>Joseph</v>
      </c>
      <c r="D925">
        <f>IFERROR(VLOOKUP(B925,'Cleaned Trainer Data'!$A$2:$E$11,4,FALSE),"0")</f>
        <v>4.58</v>
      </c>
    </row>
    <row r="926" spans="1:4" x14ac:dyDescent="0.35">
      <c r="A926" t="s">
        <v>957</v>
      </c>
      <c r="B926" t="s">
        <v>10</v>
      </c>
      <c r="C926" t="str">
        <f>IFERROR(VLOOKUP(B926,'Cleaned Trainer Data'!$A$2:$E$9,2,FALSE),"No Trainer Assigned")</f>
        <v>Arun</v>
      </c>
      <c r="D926">
        <f>IFERROR(VLOOKUP(B926,'Cleaned Trainer Data'!$A$2:$E$11,4,FALSE),"0")</f>
        <v>4.3</v>
      </c>
    </row>
    <row r="927" spans="1:4" x14ac:dyDescent="0.35">
      <c r="A927" t="s">
        <v>958</v>
      </c>
      <c r="B927" t="s">
        <v>10</v>
      </c>
      <c r="C927" t="str">
        <f>IFERROR(VLOOKUP(B927,'Cleaned Trainer Data'!$A$2:$E$9,2,FALSE),"No Trainer Assigned")</f>
        <v>Arun</v>
      </c>
      <c r="D927">
        <f>IFERROR(VLOOKUP(B927,'Cleaned Trainer Data'!$A$2:$E$11,4,FALSE),"0")</f>
        <v>4.3</v>
      </c>
    </row>
    <row r="928" spans="1:4" x14ac:dyDescent="0.35">
      <c r="A928" t="s">
        <v>959</v>
      </c>
      <c r="B928" t="s">
        <v>10</v>
      </c>
      <c r="C928" t="str">
        <f>IFERROR(VLOOKUP(B928,'Cleaned Trainer Data'!$A$2:$E$9,2,FALSE),"No Trainer Assigned")</f>
        <v>Arun</v>
      </c>
      <c r="D928">
        <f>IFERROR(VLOOKUP(B928,'Cleaned Trainer Data'!$A$2:$E$11,4,FALSE),"0")</f>
        <v>4.3</v>
      </c>
    </row>
    <row r="929" spans="1:4" x14ac:dyDescent="0.35">
      <c r="A929" t="s">
        <v>960</v>
      </c>
      <c r="B929" t="s">
        <v>10</v>
      </c>
      <c r="C929" t="str">
        <f>IFERROR(VLOOKUP(B929,'Cleaned Trainer Data'!$A$2:$E$9,2,FALSE),"No Trainer Assigned")</f>
        <v>Arun</v>
      </c>
      <c r="D929">
        <f>IFERROR(VLOOKUP(B929,'Cleaned Trainer Data'!$A$2:$E$11,4,FALSE),"0")</f>
        <v>4.3</v>
      </c>
    </row>
    <row r="930" spans="1:4" x14ac:dyDescent="0.35">
      <c r="A930" t="s">
        <v>961</v>
      </c>
      <c r="B930" t="s">
        <v>21</v>
      </c>
      <c r="C930" t="str">
        <f>IFERROR(VLOOKUP(B930,'Cleaned Trainer Data'!$A$2:$E$9,2,FALSE),"No Trainer Assigned")</f>
        <v>Kavya</v>
      </c>
      <c r="D930">
        <f>IFERROR(VLOOKUP(B930,'Cleaned Trainer Data'!$A$2:$E$11,4,FALSE),"0")</f>
        <v>3.28</v>
      </c>
    </row>
    <row r="931" spans="1:4" x14ac:dyDescent="0.35">
      <c r="A931" t="s">
        <v>962</v>
      </c>
      <c r="B931" t="s">
        <v>37</v>
      </c>
      <c r="C931" t="str">
        <f>IFERROR(VLOOKUP(B931,'Cleaned Trainer Data'!$A$2:$E$9,2,FALSE),"No Trainer Assigned")</f>
        <v>No Trainer Assigned</v>
      </c>
      <c r="D931" t="str">
        <f>IFERROR(VLOOKUP(B931,'Cleaned Trainer Data'!$A$2:$E$11,4,FALSE),"0")</f>
        <v>0</v>
      </c>
    </row>
    <row r="932" spans="1:4" x14ac:dyDescent="0.35">
      <c r="A932" t="s">
        <v>963</v>
      </c>
      <c r="B932" t="s">
        <v>14</v>
      </c>
      <c r="C932" t="str">
        <f>IFERROR(VLOOKUP(B932,'Cleaned Trainer Data'!$A$2:$E$9,2,FALSE),"No Trainer Assigned")</f>
        <v>Vishal</v>
      </c>
      <c r="D932">
        <f>IFERROR(VLOOKUP(B932,'Cleaned Trainer Data'!$A$2:$E$11,4,FALSE),"0")</f>
        <v>3.09</v>
      </c>
    </row>
    <row r="933" spans="1:4" x14ac:dyDescent="0.35">
      <c r="A933" t="s">
        <v>964</v>
      </c>
      <c r="B933" t="s">
        <v>18</v>
      </c>
      <c r="C933" t="str">
        <f>IFERROR(VLOOKUP(B933,'Cleaned Trainer Data'!$A$2:$E$9,2,FALSE),"No Trainer Assigned")</f>
        <v>Meera</v>
      </c>
      <c r="D933">
        <f>IFERROR(VLOOKUP(B933,'Cleaned Trainer Data'!$A$2:$E$11,4,FALSE),"0")</f>
        <v>4.75</v>
      </c>
    </row>
    <row r="934" spans="1:4" x14ac:dyDescent="0.35">
      <c r="A934" t="s">
        <v>965</v>
      </c>
      <c r="B934" t="s">
        <v>14</v>
      </c>
      <c r="C934" t="str">
        <f>IFERROR(VLOOKUP(B934,'Cleaned Trainer Data'!$A$2:$E$9,2,FALSE),"No Trainer Assigned")</f>
        <v>Vishal</v>
      </c>
      <c r="D934">
        <f>IFERROR(VLOOKUP(B934,'Cleaned Trainer Data'!$A$2:$E$11,4,FALSE),"0")</f>
        <v>3.09</v>
      </c>
    </row>
    <row r="935" spans="1:4" x14ac:dyDescent="0.35">
      <c r="A935" t="s">
        <v>966</v>
      </c>
      <c r="B935" t="s">
        <v>14</v>
      </c>
      <c r="C935" t="str">
        <f>IFERROR(VLOOKUP(B935,'Cleaned Trainer Data'!$A$2:$E$9,2,FALSE),"No Trainer Assigned")</f>
        <v>Vishal</v>
      </c>
      <c r="D935">
        <f>IFERROR(VLOOKUP(B935,'Cleaned Trainer Data'!$A$2:$E$11,4,FALSE),"0")</f>
        <v>3.09</v>
      </c>
    </row>
    <row r="936" spans="1:4" x14ac:dyDescent="0.35">
      <c r="A936" t="s">
        <v>967</v>
      </c>
      <c r="B936" t="s">
        <v>27</v>
      </c>
      <c r="C936" t="str">
        <f>IFERROR(VLOOKUP(B936,'Cleaned Trainer Data'!$A$2:$E$9,2,FALSE),"No Trainer Assigned")</f>
        <v>Joseph</v>
      </c>
      <c r="D936">
        <f>IFERROR(VLOOKUP(B936,'Cleaned Trainer Data'!$A$2:$E$11,4,FALSE),"0")</f>
        <v>4.58</v>
      </c>
    </row>
    <row r="937" spans="1:4" x14ac:dyDescent="0.35">
      <c r="A937" t="s">
        <v>968</v>
      </c>
      <c r="B937" t="s">
        <v>37</v>
      </c>
      <c r="C937" t="str">
        <f>IFERROR(VLOOKUP(B937,'Cleaned Trainer Data'!$A$2:$E$9,2,FALSE),"No Trainer Assigned")</f>
        <v>No Trainer Assigned</v>
      </c>
      <c r="D937" t="str">
        <f>IFERROR(VLOOKUP(B937,'Cleaned Trainer Data'!$A$2:$E$11,4,FALSE),"0")</f>
        <v>0</v>
      </c>
    </row>
    <row r="938" spans="1:4" x14ac:dyDescent="0.35">
      <c r="A938" t="s">
        <v>969</v>
      </c>
      <c r="B938" t="s">
        <v>27</v>
      </c>
      <c r="C938" t="str">
        <f>IFERROR(VLOOKUP(B938,'Cleaned Trainer Data'!$A$2:$E$9,2,FALSE),"No Trainer Assigned")</f>
        <v>Joseph</v>
      </c>
      <c r="D938">
        <f>IFERROR(VLOOKUP(B938,'Cleaned Trainer Data'!$A$2:$E$11,4,FALSE),"0")</f>
        <v>4.58</v>
      </c>
    </row>
    <row r="939" spans="1:4" x14ac:dyDescent="0.35">
      <c r="A939" t="s">
        <v>970</v>
      </c>
      <c r="B939" t="s">
        <v>37</v>
      </c>
      <c r="C939" t="str">
        <f>IFERROR(VLOOKUP(B939,'Cleaned Trainer Data'!$A$2:$E$9,2,FALSE),"No Trainer Assigned")</f>
        <v>No Trainer Assigned</v>
      </c>
      <c r="D939" t="str">
        <f>IFERROR(VLOOKUP(B939,'Cleaned Trainer Data'!$A$2:$E$11,4,FALSE),"0")</f>
        <v>0</v>
      </c>
    </row>
    <row r="940" spans="1:4" x14ac:dyDescent="0.35">
      <c r="A940" t="s">
        <v>971</v>
      </c>
      <c r="B940" t="s">
        <v>37</v>
      </c>
      <c r="C940" t="str">
        <f>IFERROR(VLOOKUP(B940,'Cleaned Trainer Data'!$A$2:$E$9,2,FALSE),"No Trainer Assigned")</f>
        <v>No Trainer Assigned</v>
      </c>
      <c r="D940" t="str">
        <f>IFERROR(VLOOKUP(B940,'Cleaned Trainer Data'!$A$2:$E$11,4,FALSE),"0")</f>
        <v>0</v>
      </c>
    </row>
    <row r="941" spans="1:4" x14ac:dyDescent="0.35">
      <c r="A941" t="s">
        <v>972</v>
      </c>
      <c r="B941" t="s">
        <v>10</v>
      </c>
      <c r="C941" t="str">
        <f>IFERROR(VLOOKUP(B941,'Cleaned Trainer Data'!$A$2:$E$9,2,FALSE),"No Trainer Assigned")</f>
        <v>Arun</v>
      </c>
      <c r="D941">
        <f>IFERROR(VLOOKUP(B941,'Cleaned Trainer Data'!$A$2:$E$11,4,FALSE),"0")</f>
        <v>4.3</v>
      </c>
    </row>
    <row r="942" spans="1:4" x14ac:dyDescent="0.35">
      <c r="A942" t="s">
        <v>973</v>
      </c>
      <c r="B942" t="s">
        <v>21</v>
      </c>
      <c r="C942" t="str">
        <f>IFERROR(VLOOKUP(B942,'Cleaned Trainer Data'!$A$2:$E$9,2,FALSE),"No Trainer Assigned")</f>
        <v>Kavya</v>
      </c>
      <c r="D942">
        <f>IFERROR(VLOOKUP(B942,'Cleaned Trainer Data'!$A$2:$E$11,4,FALSE),"0")</f>
        <v>3.28</v>
      </c>
    </row>
    <row r="943" spans="1:4" x14ac:dyDescent="0.35">
      <c r="A943" t="s">
        <v>974</v>
      </c>
      <c r="B943" t="s">
        <v>10</v>
      </c>
      <c r="C943" t="str">
        <f>IFERROR(VLOOKUP(B943,'Cleaned Trainer Data'!$A$2:$E$9,2,FALSE),"No Trainer Assigned")</f>
        <v>Arun</v>
      </c>
      <c r="D943">
        <f>IFERROR(VLOOKUP(B943,'Cleaned Trainer Data'!$A$2:$E$11,4,FALSE),"0")</f>
        <v>4.3</v>
      </c>
    </row>
    <row r="944" spans="1:4" x14ac:dyDescent="0.35">
      <c r="A944" t="s">
        <v>975</v>
      </c>
      <c r="B944" t="s">
        <v>21</v>
      </c>
      <c r="C944" t="str">
        <f>IFERROR(VLOOKUP(B944,'Cleaned Trainer Data'!$A$2:$E$9,2,FALSE),"No Trainer Assigned")</f>
        <v>Kavya</v>
      </c>
      <c r="D944">
        <f>IFERROR(VLOOKUP(B944,'Cleaned Trainer Data'!$A$2:$E$11,4,FALSE),"0")</f>
        <v>3.28</v>
      </c>
    </row>
    <row r="945" spans="1:4" x14ac:dyDescent="0.35">
      <c r="A945" t="s">
        <v>976</v>
      </c>
      <c r="B945" t="s">
        <v>27</v>
      </c>
      <c r="C945" t="str">
        <f>IFERROR(VLOOKUP(B945,'Cleaned Trainer Data'!$A$2:$E$9,2,FALSE),"No Trainer Assigned")</f>
        <v>Joseph</v>
      </c>
      <c r="D945">
        <f>IFERROR(VLOOKUP(B945,'Cleaned Trainer Data'!$A$2:$E$11,4,FALSE),"0")</f>
        <v>4.58</v>
      </c>
    </row>
    <row r="946" spans="1:4" x14ac:dyDescent="0.35">
      <c r="A946" t="s">
        <v>977</v>
      </c>
      <c r="B946" t="s">
        <v>21</v>
      </c>
      <c r="C946" t="str">
        <f>IFERROR(VLOOKUP(B946,'Cleaned Trainer Data'!$A$2:$E$9,2,FALSE),"No Trainer Assigned")</f>
        <v>Kavya</v>
      </c>
      <c r="D946">
        <f>IFERROR(VLOOKUP(B946,'Cleaned Trainer Data'!$A$2:$E$11,4,FALSE),"0")</f>
        <v>3.28</v>
      </c>
    </row>
    <row r="947" spans="1:4" x14ac:dyDescent="0.35">
      <c r="A947" t="s">
        <v>978</v>
      </c>
      <c r="B947" t="s">
        <v>27</v>
      </c>
      <c r="C947" t="str">
        <f>IFERROR(VLOOKUP(B947,'Cleaned Trainer Data'!$A$2:$E$9,2,FALSE),"No Trainer Assigned")</f>
        <v>Joseph</v>
      </c>
      <c r="D947">
        <f>IFERROR(VLOOKUP(B947,'Cleaned Trainer Data'!$A$2:$E$11,4,FALSE),"0")</f>
        <v>4.58</v>
      </c>
    </row>
    <row r="948" spans="1:4" x14ac:dyDescent="0.35">
      <c r="A948" t="s">
        <v>979</v>
      </c>
      <c r="B948" t="s">
        <v>14</v>
      </c>
      <c r="C948" t="str">
        <f>IFERROR(VLOOKUP(B948,'Cleaned Trainer Data'!$A$2:$E$9,2,FALSE),"No Trainer Assigned")</f>
        <v>Vishal</v>
      </c>
      <c r="D948">
        <f>IFERROR(VLOOKUP(B948,'Cleaned Trainer Data'!$A$2:$E$11,4,FALSE),"0")</f>
        <v>3.09</v>
      </c>
    </row>
    <row r="949" spans="1:4" x14ac:dyDescent="0.35">
      <c r="A949" t="s">
        <v>980</v>
      </c>
      <c r="B949" t="s">
        <v>14</v>
      </c>
      <c r="C949" t="str">
        <f>IFERROR(VLOOKUP(B949,'Cleaned Trainer Data'!$A$2:$E$9,2,FALSE),"No Trainer Assigned")</f>
        <v>Vishal</v>
      </c>
      <c r="D949">
        <f>IFERROR(VLOOKUP(B949,'Cleaned Trainer Data'!$A$2:$E$11,4,FALSE),"0")</f>
        <v>3.09</v>
      </c>
    </row>
    <row r="950" spans="1:4" x14ac:dyDescent="0.35">
      <c r="A950" t="s">
        <v>981</v>
      </c>
      <c r="B950" t="s">
        <v>21</v>
      </c>
      <c r="C950" t="str">
        <f>IFERROR(VLOOKUP(B950,'Cleaned Trainer Data'!$A$2:$E$9,2,FALSE),"No Trainer Assigned")</f>
        <v>Kavya</v>
      </c>
      <c r="D950">
        <f>IFERROR(VLOOKUP(B950,'Cleaned Trainer Data'!$A$2:$E$11,4,FALSE),"0")</f>
        <v>3.28</v>
      </c>
    </row>
    <row r="951" spans="1:4" x14ac:dyDescent="0.35">
      <c r="A951" t="s">
        <v>982</v>
      </c>
      <c r="B951" t="s">
        <v>21</v>
      </c>
      <c r="C951" t="str">
        <f>IFERROR(VLOOKUP(B951,'Cleaned Trainer Data'!$A$2:$E$9,2,FALSE),"No Trainer Assigned")</f>
        <v>Kavya</v>
      </c>
      <c r="D951">
        <f>IFERROR(VLOOKUP(B951,'Cleaned Trainer Data'!$A$2:$E$11,4,FALSE),"0")</f>
        <v>3.28</v>
      </c>
    </row>
    <row r="952" spans="1:4" x14ac:dyDescent="0.35">
      <c r="A952" t="s">
        <v>983</v>
      </c>
      <c r="B952" t="s">
        <v>27</v>
      </c>
      <c r="C952" t="str">
        <f>IFERROR(VLOOKUP(B952,'Cleaned Trainer Data'!$A$2:$E$9,2,FALSE),"No Trainer Assigned")</f>
        <v>Joseph</v>
      </c>
      <c r="D952">
        <f>IFERROR(VLOOKUP(B952,'Cleaned Trainer Data'!$A$2:$E$11,4,FALSE),"0")</f>
        <v>4.58</v>
      </c>
    </row>
    <row r="953" spans="1:4" x14ac:dyDescent="0.35">
      <c r="A953" t="s">
        <v>984</v>
      </c>
      <c r="B953" t="s">
        <v>10</v>
      </c>
      <c r="C953" t="str">
        <f>IFERROR(VLOOKUP(B953,'Cleaned Trainer Data'!$A$2:$E$9,2,FALSE),"No Trainer Assigned")</f>
        <v>Arun</v>
      </c>
      <c r="D953">
        <f>IFERROR(VLOOKUP(B953,'Cleaned Trainer Data'!$A$2:$E$11,4,FALSE),"0")</f>
        <v>4.3</v>
      </c>
    </row>
    <row r="954" spans="1:4" x14ac:dyDescent="0.35">
      <c r="A954" t="s">
        <v>985</v>
      </c>
      <c r="B954" t="s">
        <v>27</v>
      </c>
      <c r="C954" t="str">
        <f>IFERROR(VLOOKUP(B954,'Cleaned Trainer Data'!$A$2:$E$9,2,FALSE),"No Trainer Assigned")</f>
        <v>Joseph</v>
      </c>
      <c r="D954">
        <f>IFERROR(VLOOKUP(B954,'Cleaned Trainer Data'!$A$2:$E$11,4,FALSE),"0")</f>
        <v>4.58</v>
      </c>
    </row>
    <row r="955" spans="1:4" x14ac:dyDescent="0.35">
      <c r="A955" t="s">
        <v>986</v>
      </c>
      <c r="B955" t="s">
        <v>10</v>
      </c>
      <c r="C955" t="str">
        <f>IFERROR(VLOOKUP(B955,'Cleaned Trainer Data'!$A$2:$E$9,2,FALSE),"No Trainer Assigned")</f>
        <v>Arun</v>
      </c>
      <c r="D955">
        <f>IFERROR(VLOOKUP(B955,'Cleaned Trainer Data'!$A$2:$E$11,4,FALSE),"0")</f>
        <v>4.3</v>
      </c>
    </row>
    <row r="956" spans="1:4" x14ac:dyDescent="0.35">
      <c r="A956" t="s">
        <v>987</v>
      </c>
      <c r="B956" t="s">
        <v>14</v>
      </c>
      <c r="C956" t="str">
        <f>IFERROR(VLOOKUP(B956,'Cleaned Trainer Data'!$A$2:$E$9,2,FALSE),"No Trainer Assigned")</f>
        <v>Vishal</v>
      </c>
      <c r="D956">
        <f>IFERROR(VLOOKUP(B956,'Cleaned Trainer Data'!$A$2:$E$11,4,FALSE),"0")</f>
        <v>3.09</v>
      </c>
    </row>
    <row r="957" spans="1:4" x14ac:dyDescent="0.35">
      <c r="A957" t="s">
        <v>988</v>
      </c>
      <c r="B957" t="s">
        <v>37</v>
      </c>
      <c r="C957" t="str">
        <f>IFERROR(VLOOKUP(B957,'Cleaned Trainer Data'!$A$2:$E$9,2,FALSE),"No Trainer Assigned")</f>
        <v>No Trainer Assigned</v>
      </c>
      <c r="D957" t="str">
        <f>IFERROR(VLOOKUP(B957,'Cleaned Trainer Data'!$A$2:$E$11,4,FALSE),"0")</f>
        <v>0</v>
      </c>
    </row>
    <row r="958" spans="1:4" x14ac:dyDescent="0.35">
      <c r="A958" t="s">
        <v>989</v>
      </c>
      <c r="B958" t="s">
        <v>21</v>
      </c>
      <c r="C958" t="str">
        <f>IFERROR(VLOOKUP(B958,'Cleaned Trainer Data'!$A$2:$E$9,2,FALSE),"No Trainer Assigned")</f>
        <v>Kavya</v>
      </c>
      <c r="D958">
        <f>IFERROR(VLOOKUP(B958,'Cleaned Trainer Data'!$A$2:$E$11,4,FALSE),"0")</f>
        <v>3.28</v>
      </c>
    </row>
    <row r="959" spans="1:4" x14ac:dyDescent="0.35">
      <c r="A959" t="s">
        <v>990</v>
      </c>
      <c r="B959" t="s">
        <v>10</v>
      </c>
      <c r="C959" t="str">
        <f>IFERROR(VLOOKUP(B959,'Cleaned Trainer Data'!$A$2:$E$9,2,FALSE),"No Trainer Assigned")</f>
        <v>Arun</v>
      </c>
      <c r="D959">
        <f>IFERROR(VLOOKUP(B959,'Cleaned Trainer Data'!$A$2:$E$11,4,FALSE),"0")</f>
        <v>4.3</v>
      </c>
    </row>
    <row r="960" spans="1:4" x14ac:dyDescent="0.35">
      <c r="A960" t="s">
        <v>991</v>
      </c>
      <c r="B960" t="s">
        <v>27</v>
      </c>
      <c r="C960" t="str">
        <f>IFERROR(VLOOKUP(B960,'Cleaned Trainer Data'!$A$2:$E$9,2,FALSE),"No Trainer Assigned")</f>
        <v>Joseph</v>
      </c>
      <c r="D960">
        <f>IFERROR(VLOOKUP(B960,'Cleaned Trainer Data'!$A$2:$E$11,4,FALSE),"0")</f>
        <v>4.58</v>
      </c>
    </row>
    <row r="961" spans="1:4" x14ac:dyDescent="0.35">
      <c r="A961" t="s">
        <v>992</v>
      </c>
      <c r="B961" t="s">
        <v>14</v>
      </c>
      <c r="C961" t="str">
        <f>IFERROR(VLOOKUP(B961,'Cleaned Trainer Data'!$A$2:$E$9,2,FALSE),"No Trainer Assigned")</f>
        <v>Vishal</v>
      </c>
      <c r="D961">
        <f>IFERROR(VLOOKUP(B961,'Cleaned Trainer Data'!$A$2:$E$11,4,FALSE),"0")</f>
        <v>3.09</v>
      </c>
    </row>
    <row r="962" spans="1:4" x14ac:dyDescent="0.35">
      <c r="A962" t="s">
        <v>993</v>
      </c>
      <c r="B962" t="s">
        <v>10</v>
      </c>
      <c r="C962" t="str">
        <f>IFERROR(VLOOKUP(B962,'Cleaned Trainer Data'!$A$2:$E$9,2,FALSE),"No Trainer Assigned")</f>
        <v>Arun</v>
      </c>
      <c r="D962">
        <f>IFERROR(VLOOKUP(B962,'Cleaned Trainer Data'!$A$2:$E$11,4,FALSE),"0")</f>
        <v>4.3</v>
      </c>
    </row>
    <row r="963" spans="1:4" x14ac:dyDescent="0.35">
      <c r="A963" t="s">
        <v>994</v>
      </c>
      <c r="B963" t="s">
        <v>27</v>
      </c>
      <c r="C963" t="str">
        <f>IFERROR(VLOOKUP(B963,'Cleaned Trainer Data'!$A$2:$E$9,2,FALSE),"No Trainer Assigned")</f>
        <v>Joseph</v>
      </c>
      <c r="D963">
        <f>IFERROR(VLOOKUP(B963,'Cleaned Trainer Data'!$A$2:$E$11,4,FALSE),"0")</f>
        <v>4.58</v>
      </c>
    </row>
    <row r="964" spans="1:4" x14ac:dyDescent="0.35">
      <c r="A964" t="s">
        <v>995</v>
      </c>
      <c r="B964" t="s">
        <v>21</v>
      </c>
      <c r="C964" t="str">
        <f>IFERROR(VLOOKUP(B964,'Cleaned Trainer Data'!$A$2:$E$9,2,FALSE),"No Trainer Assigned")</f>
        <v>Kavya</v>
      </c>
      <c r="D964">
        <f>IFERROR(VLOOKUP(B964,'Cleaned Trainer Data'!$A$2:$E$11,4,FALSE),"0")</f>
        <v>3.28</v>
      </c>
    </row>
    <row r="965" spans="1:4" x14ac:dyDescent="0.35">
      <c r="A965" t="s">
        <v>996</v>
      </c>
      <c r="B965" t="s">
        <v>21</v>
      </c>
      <c r="C965" t="str">
        <f>IFERROR(VLOOKUP(B965,'Cleaned Trainer Data'!$A$2:$E$9,2,FALSE),"No Trainer Assigned")</f>
        <v>Kavya</v>
      </c>
      <c r="D965">
        <f>IFERROR(VLOOKUP(B965,'Cleaned Trainer Data'!$A$2:$E$11,4,FALSE),"0")</f>
        <v>3.28</v>
      </c>
    </row>
    <row r="966" spans="1:4" x14ac:dyDescent="0.35">
      <c r="A966" t="s">
        <v>997</v>
      </c>
      <c r="B966" t="s">
        <v>18</v>
      </c>
      <c r="C966" t="str">
        <f>IFERROR(VLOOKUP(B966,'Cleaned Trainer Data'!$A$2:$E$9,2,FALSE),"No Trainer Assigned")</f>
        <v>Meera</v>
      </c>
      <c r="D966">
        <f>IFERROR(VLOOKUP(B966,'Cleaned Trainer Data'!$A$2:$E$11,4,FALSE),"0")</f>
        <v>4.75</v>
      </c>
    </row>
    <row r="967" spans="1:4" x14ac:dyDescent="0.35">
      <c r="A967" t="s">
        <v>998</v>
      </c>
      <c r="B967" t="s">
        <v>37</v>
      </c>
      <c r="C967" t="str">
        <f>IFERROR(VLOOKUP(B967,'Cleaned Trainer Data'!$A$2:$E$9,2,FALSE),"No Trainer Assigned")</f>
        <v>No Trainer Assigned</v>
      </c>
      <c r="D967" t="str">
        <f>IFERROR(VLOOKUP(B967,'Cleaned Trainer Data'!$A$2:$E$11,4,FALSE),"0")</f>
        <v>0</v>
      </c>
    </row>
    <row r="968" spans="1:4" x14ac:dyDescent="0.35">
      <c r="A968" t="s">
        <v>999</v>
      </c>
      <c r="B968" t="s">
        <v>18</v>
      </c>
      <c r="C968" t="str">
        <f>IFERROR(VLOOKUP(B968,'Cleaned Trainer Data'!$A$2:$E$9,2,FALSE),"No Trainer Assigned")</f>
        <v>Meera</v>
      </c>
      <c r="D968">
        <f>IFERROR(VLOOKUP(B968,'Cleaned Trainer Data'!$A$2:$E$11,4,FALSE),"0")</f>
        <v>4.75</v>
      </c>
    </row>
    <row r="969" spans="1:4" x14ac:dyDescent="0.35">
      <c r="A969" t="s">
        <v>1000</v>
      </c>
      <c r="B969" t="s">
        <v>14</v>
      </c>
      <c r="C969" t="str">
        <f>IFERROR(VLOOKUP(B969,'Cleaned Trainer Data'!$A$2:$E$9,2,FALSE),"No Trainer Assigned")</f>
        <v>Vishal</v>
      </c>
      <c r="D969">
        <f>IFERROR(VLOOKUP(B969,'Cleaned Trainer Data'!$A$2:$E$11,4,FALSE),"0")</f>
        <v>3.09</v>
      </c>
    </row>
    <row r="970" spans="1:4" x14ac:dyDescent="0.35">
      <c r="A970" t="s">
        <v>1001</v>
      </c>
      <c r="B970" t="s">
        <v>10</v>
      </c>
      <c r="C970" t="str">
        <f>IFERROR(VLOOKUP(B970,'Cleaned Trainer Data'!$A$2:$E$9,2,FALSE),"No Trainer Assigned")</f>
        <v>Arun</v>
      </c>
      <c r="D970">
        <f>IFERROR(VLOOKUP(B970,'Cleaned Trainer Data'!$A$2:$E$11,4,FALSE),"0")</f>
        <v>4.3</v>
      </c>
    </row>
    <row r="971" spans="1:4" x14ac:dyDescent="0.35">
      <c r="A971" t="s">
        <v>1002</v>
      </c>
      <c r="B971" t="s">
        <v>14</v>
      </c>
      <c r="C971" t="str">
        <f>IFERROR(VLOOKUP(B971,'Cleaned Trainer Data'!$A$2:$E$9,2,FALSE),"No Trainer Assigned")</f>
        <v>Vishal</v>
      </c>
      <c r="D971">
        <f>IFERROR(VLOOKUP(B971,'Cleaned Trainer Data'!$A$2:$E$11,4,FALSE),"0")</f>
        <v>3.09</v>
      </c>
    </row>
    <row r="972" spans="1:4" x14ac:dyDescent="0.35">
      <c r="A972" t="s">
        <v>1003</v>
      </c>
      <c r="B972" t="s">
        <v>27</v>
      </c>
      <c r="C972" t="str">
        <f>IFERROR(VLOOKUP(B972,'Cleaned Trainer Data'!$A$2:$E$9,2,FALSE),"No Trainer Assigned")</f>
        <v>Joseph</v>
      </c>
      <c r="D972">
        <f>IFERROR(VLOOKUP(B972,'Cleaned Trainer Data'!$A$2:$E$11,4,FALSE),"0")</f>
        <v>4.58</v>
      </c>
    </row>
    <row r="973" spans="1:4" x14ac:dyDescent="0.35">
      <c r="A973" t="s">
        <v>1004</v>
      </c>
      <c r="B973" t="s">
        <v>21</v>
      </c>
      <c r="C973" t="str">
        <f>IFERROR(VLOOKUP(B973,'Cleaned Trainer Data'!$A$2:$E$9,2,FALSE),"No Trainer Assigned")</f>
        <v>Kavya</v>
      </c>
      <c r="D973">
        <f>IFERROR(VLOOKUP(B973,'Cleaned Trainer Data'!$A$2:$E$11,4,FALSE),"0")</f>
        <v>3.28</v>
      </c>
    </row>
    <row r="974" spans="1:4" x14ac:dyDescent="0.35">
      <c r="A974" t="s">
        <v>1005</v>
      </c>
      <c r="B974" t="s">
        <v>18</v>
      </c>
      <c r="C974" t="str">
        <f>IFERROR(VLOOKUP(B974,'Cleaned Trainer Data'!$A$2:$E$9,2,FALSE),"No Trainer Assigned")</f>
        <v>Meera</v>
      </c>
      <c r="D974">
        <f>IFERROR(VLOOKUP(B974,'Cleaned Trainer Data'!$A$2:$E$11,4,FALSE),"0")</f>
        <v>4.75</v>
      </c>
    </row>
    <row r="975" spans="1:4" x14ac:dyDescent="0.35">
      <c r="A975" t="s">
        <v>1006</v>
      </c>
      <c r="B975" t="s">
        <v>18</v>
      </c>
      <c r="C975" t="str">
        <f>IFERROR(VLOOKUP(B975,'Cleaned Trainer Data'!$A$2:$E$9,2,FALSE),"No Trainer Assigned")</f>
        <v>Meera</v>
      </c>
      <c r="D975">
        <f>IFERROR(VLOOKUP(B975,'Cleaned Trainer Data'!$A$2:$E$11,4,FALSE),"0")</f>
        <v>4.75</v>
      </c>
    </row>
    <row r="976" spans="1:4" x14ac:dyDescent="0.35">
      <c r="A976" t="s">
        <v>1007</v>
      </c>
      <c r="B976" t="s">
        <v>18</v>
      </c>
      <c r="C976" t="str">
        <f>IFERROR(VLOOKUP(B976,'Cleaned Trainer Data'!$A$2:$E$9,2,FALSE),"No Trainer Assigned")</f>
        <v>Meera</v>
      </c>
      <c r="D976">
        <f>IFERROR(VLOOKUP(B976,'Cleaned Trainer Data'!$A$2:$E$11,4,FALSE),"0")</f>
        <v>4.75</v>
      </c>
    </row>
    <row r="977" spans="1:4" x14ac:dyDescent="0.35">
      <c r="A977" t="s">
        <v>1008</v>
      </c>
      <c r="B977" t="s">
        <v>14</v>
      </c>
      <c r="C977" t="str">
        <f>IFERROR(VLOOKUP(B977,'Cleaned Trainer Data'!$A$2:$E$9,2,FALSE),"No Trainer Assigned")</f>
        <v>Vishal</v>
      </c>
      <c r="D977">
        <f>IFERROR(VLOOKUP(B977,'Cleaned Trainer Data'!$A$2:$E$11,4,FALSE),"0")</f>
        <v>3.09</v>
      </c>
    </row>
    <row r="978" spans="1:4" x14ac:dyDescent="0.35">
      <c r="A978" t="s">
        <v>1009</v>
      </c>
      <c r="B978" t="s">
        <v>21</v>
      </c>
      <c r="C978" t="str">
        <f>IFERROR(VLOOKUP(B978,'Cleaned Trainer Data'!$A$2:$E$9,2,FALSE),"No Trainer Assigned")</f>
        <v>Kavya</v>
      </c>
      <c r="D978">
        <f>IFERROR(VLOOKUP(B978,'Cleaned Trainer Data'!$A$2:$E$11,4,FALSE),"0")</f>
        <v>3.28</v>
      </c>
    </row>
    <row r="979" spans="1:4" x14ac:dyDescent="0.35">
      <c r="A979" t="s">
        <v>1010</v>
      </c>
      <c r="B979" t="s">
        <v>10</v>
      </c>
      <c r="C979" t="str">
        <f>IFERROR(VLOOKUP(B979,'Cleaned Trainer Data'!$A$2:$E$9,2,FALSE),"No Trainer Assigned")</f>
        <v>Arun</v>
      </c>
      <c r="D979">
        <f>IFERROR(VLOOKUP(B979,'Cleaned Trainer Data'!$A$2:$E$11,4,FALSE),"0")</f>
        <v>4.3</v>
      </c>
    </row>
    <row r="980" spans="1:4" x14ac:dyDescent="0.35">
      <c r="A980" t="s">
        <v>1011</v>
      </c>
      <c r="B980" t="s">
        <v>27</v>
      </c>
      <c r="C980" t="str">
        <f>IFERROR(VLOOKUP(B980,'Cleaned Trainer Data'!$A$2:$E$9,2,FALSE),"No Trainer Assigned")</f>
        <v>Joseph</v>
      </c>
      <c r="D980">
        <f>IFERROR(VLOOKUP(B980,'Cleaned Trainer Data'!$A$2:$E$11,4,FALSE),"0")</f>
        <v>4.58</v>
      </c>
    </row>
    <row r="981" spans="1:4" x14ac:dyDescent="0.35">
      <c r="A981" t="s">
        <v>1012</v>
      </c>
      <c r="B981" t="s">
        <v>10</v>
      </c>
      <c r="C981" t="str">
        <f>IFERROR(VLOOKUP(B981,'Cleaned Trainer Data'!$A$2:$E$9,2,FALSE),"No Trainer Assigned")</f>
        <v>Arun</v>
      </c>
      <c r="D981">
        <f>IFERROR(VLOOKUP(B981,'Cleaned Trainer Data'!$A$2:$E$11,4,FALSE),"0")</f>
        <v>4.3</v>
      </c>
    </row>
    <row r="982" spans="1:4" x14ac:dyDescent="0.35">
      <c r="A982" t="s">
        <v>1013</v>
      </c>
      <c r="B982" t="s">
        <v>14</v>
      </c>
      <c r="C982" t="str">
        <f>IFERROR(VLOOKUP(B982,'Cleaned Trainer Data'!$A$2:$E$9,2,FALSE),"No Trainer Assigned")</f>
        <v>Vishal</v>
      </c>
      <c r="D982">
        <f>IFERROR(VLOOKUP(B982,'Cleaned Trainer Data'!$A$2:$E$11,4,FALSE),"0")</f>
        <v>3.09</v>
      </c>
    </row>
    <row r="983" spans="1:4" x14ac:dyDescent="0.35">
      <c r="A983" t="s">
        <v>1014</v>
      </c>
      <c r="B983" t="s">
        <v>27</v>
      </c>
      <c r="C983" t="str">
        <f>IFERROR(VLOOKUP(B983,'Cleaned Trainer Data'!$A$2:$E$9,2,FALSE),"No Trainer Assigned")</f>
        <v>Joseph</v>
      </c>
      <c r="D983">
        <f>IFERROR(VLOOKUP(B983,'Cleaned Trainer Data'!$A$2:$E$11,4,FALSE),"0")</f>
        <v>4.58</v>
      </c>
    </row>
    <row r="984" spans="1:4" x14ac:dyDescent="0.35">
      <c r="A984" t="s">
        <v>1015</v>
      </c>
      <c r="B984" t="s">
        <v>18</v>
      </c>
      <c r="C984" t="str">
        <f>IFERROR(VLOOKUP(B984,'Cleaned Trainer Data'!$A$2:$E$9,2,FALSE),"No Trainer Assigned")</f>
        <v>Meera</v>
      </c>
      <c r="D984">
        <f>IFERROR(VLOOKUP(B984,'Cleaned Trainer Data'!$A$2:$E$11,4,FALSE),"0")</f>
        <v>4.75</v>
      </c>
    </row>
    <row r="985" spans="1:4" x14ac:dyDescent="0.35">
      <c r="A985" t="s">
        <v>1016</v>
      </c>
      <c r="B985" t="s">
        <v>37</v>
      </c>
      <c r="C985" t="str">
        <f>IFERROR(VLOOKUP(B985,'Cleaned Trainer Data'!$A$2:$E$9,2,FALSE),"No Trainer Assigned")</f>
        <v>No Trainer Assigned</v>
      </c>
      <c r="D985" t="str">
        <f>IFERROR(VLOOKUP(B985,'Cleaned Trainer Data'!$A$2:$E$11,4,FALSE),"0")</f>
        <v>0</v>
      </c>
    </row>
    <row r="986" spans="1:4" x14ac:dyDescent="0.35">
      <c r="A986" t="s">
        <v>1017</v>
      </c>
      <c r="B986" t="s">
        <v>14</v>
      </c>
      <c r="C986" t="str">
        <f>IFERROR(VLOOKUP(B986,'Cleaned Trainer Data'!$A$2:$E$9,2,FALSE),"No Trainer Assigned")</f>
        <v>Vishal</v>
      </c>
      <c r="D986">
        <f>IFERROR(VLOOKUP(B986,'Cleaned Trainer Data'!$A$2:$E$11,4,FALSE),"0")</f>
        <v>3.09</v>
      </c>
    </row>
    <row r="987" spans="1:4" x14ac:dyDescent="0.35">
      <c r="A987" t="s">
        <v>1018</v>
      </c>
      <c r="B987" t="s">
        <v>14</v>
      </c>
      <c r="C987" t="str">
        <f>IFERROR(VLOOKUP(B987,'Cleaned Trainer Data'!$A$2:$E$9,2,FALSE),"No Trainer Assigned")</f>
        <v>Vishal</v>
      </c>
      <c r="D987">
        <f>IFERROR(VLOOKUP(B987,'Cleaned Trainer Data'!$A$2:$E$11,4,FALSE),"0")</f>
        <v>3.09</v>
      </c>
    </row>
    <row r="988" spans="1:4" x14ac:dyDescent="0.35">
      <c r="A988" t="s">
        <v>1019</v>
      </c>
      <c r="B988" t="s">
        <v>21</v>
      </c>
      <c r="C988" t="str">
        <f>IFERROR(VLOOKUP(B988,'Cleaned Trainer Data'!$A$2:$E$9,2,FALSE),"No Trainer Assigned")</f>
        <v>Kavya</v>
      </c>
      <c r="D988">
        <f>IFERROR(VLOOKUP(B988,'Cleaned Trainer Data'!$A$2:$E$11,4,FALSE),"0")</f>
        <v>3.28</v>
      </c>
    </row>
    <row r="989" spans="1:4" x14ac:dyDescent="0.35">
      <c r="A989" t="s">
        <v>1020</v>
      </c>
      <c r="B989" t="s">
        <v>10</v>
      </c>
      <c r="C989" t="str">
        <f>IFERROR(VLOOKUP(B989,'Cleaned Trainer Data'!$A$2:$E$9,2,FALSE),"No Trainer Assigned")</f>
        <v>Arun</v>
      </c>
      <c r="D989">
        <f>IFERROR(VLOOKUP(B989,'Cleaned Trainer Data'!$A$2:$E$11,4,FALSE),"0")</f>
        <v>4.3</v>
      </c>
    </row>
    <row r="990" spans="1:4" x14ac:dyDescent="0.35">
      <c r="A990" t="s">
        <v>1021</v>
      </c>
      <c r="B990" t="s">
        <v>14</v>
      </c>
      <c r="C990" t="str">
        <f>IFERROR(VLOOKUP(B990,'Cleaned Trainer Data'!$A$2:$E$9,2,FALSE),"No Trainer Assigned")</f>
        <v>Vishal</v>
      </c>
      <c r="D990">
        <f>IFERROR(VLOOKUP(B990,'Cleaned Trainer Data'!$A$2:$E$11,4,FALSE),"0")</f>
        <v>3.09</v>
      </c>
    </row>
    <row r="991" spans="1:4" x14ac:dyDescent="0.35">
      <c r="A991" t="s">
        <v>1022</v>
      </c>
      <c r="B991" t="s">
        <v>14</v>
      </c>
      <c r="C991" t="str">
        <f>IFERROR(VLOOKUP(B991,'Cleaned Trainer Data'!$A$2:$E$9,2,FALSE),"No Trainer Assigned")</f>
        <v>Vishal</v>
      </c>
      <c r="D991">
        <f>IFERROR(VLOOKUP(B991,'Cleaned Trainer Data'!$A$2:$E$11,4,FALSE),"0")</f>
        <v>3.09</v>
      </c>
    </row>
    <row r="992" spans="1:4" x14ac:dyDescent="0.35">
      <c r="A992" t="s">
        <v>1023</v>
      </c>
      <c r="B992" t="s">
        <v>18</v>
      </c>
      <c r="C992" t="str">
        <f>IFERROR(VLOOKUP(B992,'Cleaned Trainer Data'!$A$2:$E$9,2,FALSE),"No Trainer Assigned")</f>
        <v>Meera</v>
      </c>
      <c r="D992">
        <f>IFERROR(VLOOKUP(B992,'Cleaned Trainer Data'!$A$2:$E$11,4,FALSE),"0")</f>
        <v>4.75</v>
      </c>
    </row>
    <row r="993" spans="1:4" x14ac:dyDescent="0.35">
      <c r="A993" t="s">
        <v>1024</v>
      </c>
      <c r="B993" t="s">
        <v>18</v>
      </c>
      <c r="C993" t="str">
        <f>IFERROR(VLOOKUP(B993,'Cleaned Trainer Data'!$A$2:$E$9,2,FALSE),"No Trainer Assigned")</f>
        <v>Meera</v>
      </c>
      <c r="D993">
        <f>IFERROR(VLOOKUP(B993,'Cleaned Trainer Data'!$A$2:$E$11,4,FALSE),"0")</f>
        <v>4.75</v>
      </c>
    </row>
    <row r="994" spans="1:4" x14ac:dyDescent="0.35">
      <c r="A994" t="s">
        <v>1025</v>
      </c>
      <c r="B994" t="s">
        <v>27</v>
      </c>
      <c r="C994" t="str">
        <f>IFERROR(VLOOKUP(B994,'Cleaned Trainer Data'!$A$2:$E$9,2,FALSE),"No Trainer Assigned")</f>
        <v>Joseph</v>
      </c>
      <c r="D994">
        <f>IFERROR(VLOOKUP(B994,'Cleaned Trainer Data'!$A$2:$E$11,4,FALSE),"0")</f>
        <v>4.58</v>
      </c>
    </row>
    <row r="995" spans="1:4" x14ac:dyDescent="0.35">
      <c r="A995" t="s">
        <v>1026</v>
      </c>
      <c r="B995" t="s">
        <v>37</v>
      </c>
      <c r="C995" t="str">
        <f>IFERROR(VLOOKUP(B995,'Cleaned Trainer Data'!$A$2:$E$9,2,FALSE),"No Trainer Assigned")</f>
        <v>No Trainer Assigned</v>
      </c>
      <c r="D995" t="str">
        <f>IFERROR(VLOOKUP(B995,'Cleaned Trainer Data'!$A$2:$E$11,4,FALSE),"0")</f>
        <v>0</v>
      </c>
    </row>
    <row r="996" spans="1:4" x14ac:dyDescent="0.35">
      <c r="A996" t="s">
        <v>1027</v>
      </c>
      <c r="B996" t="s">
        <v>21</v>
      </c>
      <c r="C996" t="str">
        <f>IFERROR(VLOOKUP(B996,'Cleaned Trainer Data'!$A$2:$E$9,2,FALSE),"No Trainer Assigned")</f>
        <v>Kavya</v>
      </c>
      <c r="D996">
        <f>IFERROR(VLOOKUP(B996,'Cleaned Trainer Data'!$A$2:$E$11,4,FALSE),"0")</f>
        <v>3.28</v>
      </c>
    </row>
    <row r="997" spans="1:4" x14ac:dyDescent="0.35">
      <c r="A997" t="s">
        <v>1028</v>
      </c>
      <c r="B997" t="s">
        <v>37</v>
      </c>
      <c r="C997" t="str">
        <f>IFERROR(VLOOKUP(B997,'Cleaned Trainer Data'!$A$2:$E$9,2,FALSE),"No Trainer Assigned")</f>
        <v>No Trainer Assigned</v>
      </c>
      <c r="D997" t="str">
        <f>IFERROR(VLOOKUP(B997,'Cleaned Trainer Data'!$A$2:$E$11,4,FALSE),"0")</f>
        <v>0</v>
      </c>
    </row>
    <row r="998" spans="1:4" x14ac:dyDescent="0.35">
      <c r="A998" t="s">
        <v>1029</v>
      </c>
      <c r="B998" t="s">
        <v>27</v>
      </c>
      <c r="C998" t="str">
        <f>IFERROR(VLOOKUP(B998,'Cleaned Trainer Data'!$A$2:$E$9,2,FALSE),"No Trainer Assigned")</f>
        <v>Joseph</v>
      </c>
      <c r="D998">
        <f>IFERROR(VLOOKUP(B998,'Cleaned Trainer Data'!$A$2:$E$11,4,FALSE),"0")</f>
        <v>4.58</v>
      </c>
    </row>
    <row r="999" spans="1:4" x14ac:dyDescent="0.35">
      <c r="A999" t="s">
        <v>1030</v>
      </c>
      <c r="B999" t="s">
        <v>18</v>
      </c>
      <c r="C999" t="str">
        <f>IFERROR(VLOOKUP(B999,'Cleaned Trainer Data'!$A$2:$E$9,2,FALSE),"No Trainer Assigned")</f>
        <v>Meera</v>
      </c>
      <c r="D999">
        <f>IFERROR(VLOOKUP(B999,'Cleaned Trainer Data'!$A$2:$E$11,4,FALSE),"0")</f>
        <v>4.75</v>
      </c>
    </row>
    <row r="1000" spans="1:4" x14ac:dyDescent="0.35">
      <c r="A1000" t="s">
        <v>1031</v>
      </c>
      <c r="B1000" t="s">
        <v>10</v>
      </c>
      <c r="C1000" t="str">
        <f>IFERROR(VLOOKUP(B1000,'Cleaned Trainer Data'!$A$2:$E$9,2,FALSE),"No Trainer Assigned")</f>
        <v>Arun</v>
      </c>
      <c r="D1000">
        <f>IFERROR(VLOOKUP(B1000,'Cleaned Trainer Data'!$A$2:$E$11,4,FALSE),"0")</f>
        <v>4.3</v>
      </c>
    </row>
    <row r="1001" spans="1:4" x14ac:dyDescent="0.35">
      <c r="A1001" t="s">
        <v>1032</v>
      </c>
      <c r="B1001" t="s">
        <v>18</v>
      </c>
      <c r="C1001" t="str">
        <f>IFERROR(VLOOKUP(B1001,'Cleaned Trainer Data'!$A$2:$E$9,2,FALSE),"No Trainer Assigned")</f>
        <v>Meera</v>
      </c>
      <c r="D1001">
        <f>IFERROR(VLOOKUP(B1001,'Cleaned Trainer Data'!$A$2:$E$11,4,FALSE),"0")</f>
        <v>4.75</v>
      </c>
    </row>
    <row r="1002" spans="1:4" x14ac:dyDescent="0.35">
      <c r="A1002" t="s">
        <v>1033</v>
      </c>
      <c r="B1002" t="s">
        <v>21</v>
      </c>
      <c r="C1002" t="str">
        <f>IFERROR(VLOOKUP(B1002,'Cleaned Trainer Data'!$A$2:$E$9,2,FALSE),"No Trainer Assigned")</f>
        <v>Kavya</v>
      </c>
      <c r="D1002">
        <f>IFERROR(VLOOKUP(B1002,'Cleaned Trainer Data'!$A$2:$E$11,4,FALSE),"0")</f>
        <v>3.28</v>
      </c>
    </row>
    <row r="1003" spans="1:4" x14ac:dyDescent="0.35">
      <c r="A1003" t="s">
        <v>1034</v>
      </c>
      <c r="B1003" t="s">
        <v>18</v>
      </c>
      <c r="C1003" t="str">
        <f>IFERROR(VLOOKUP(B1003,'Cleaned Trainer Data'!$A$2:$E$9,2,FALSE),"No Trainer Assigned")</f>
        <v>Meera</v>
      </c>
      <c r="D1003">
        <f>IFERROR(VLOOKUP(B1003,'Cleaned Trainer Data'!$A$2:$E$11,4,FALSE),"0")</f>
        <v>4.75</v>
      </c>
    </row>
    <row r="1004" spans="1:4" x14ac:dyDescent="0.35">
      <c r="A1004" t="s">
        <v>1035</v>
      </c>
      <c r="B1004" t="s">
        <v>21</v>
      </c>
      <c r="C1004" t="str">
        <f>IFERROR(VLOOKUP(B1004,'Cleaned Trainer Data'!$A$2:$E$9,2,FALSE),"No Trainer Assigned")</f>
        <v>Kavya</v>
      </c>
      <c r="D1004">
        <f>IFERROR(VLOOKUP(B1004,'Cleaned Trainer Data'!$A$2:$E$11,4,FALSE),"0")</f>
        <v>3.28</v>
      </c>
    </row>
    <row r="1005" spans="1:4" x14ac:dyDescent="0.35">
      <c r="A1005" t="s">
        <v>1036</v>
      </c>
      <c r="B1005" t="s">
        <v>21</v>
      </c>
      <c r="C1005" t="str">
        <f>IFERROR(VLOOKUP(B1005,'Cleaned Trainer Data'!$A$2:$E$9,2,FALSE),"No Trainer Assigned")</f>
        <v>Kavya</v>
      </c>
      <c r="D1005">
        <f>IFERROR(VLOOKUP(B1005,'Cleaned Trainer Data'!$A$2:$E$11,4,FALSE),"0")</f>
        <v>3.28</v>
      </c>
    </row>
    <row r="1006" spans="1:4" x14ac:dyDescent="0.35">
      <c r="A1006" t="s">
        <v>1037</v>
      </c>
      <c r="B1006" t="s">
        <v>21</v>
      </c>
      <c r="C1006" t="str">
        <f>IFERROR(VLOOKUP(B1006,'Cleaned Trainer Data'!$A$2:$E$9,2,FALSE),"No Trainer Assigned")</f>
        <v>Kavya</v>
      </c>
      <c r="D1006">
        <f>IFERROR(VLOOKUP(B1006,'Cleaned Trainer Data'!$A$2:$E$11,4,FALSE),"0")</f>
        <v>3.28</v>
      </c>
    </row>
    <row r="1007" spans="1:4" x14ac:dyDescent="0.35">
      <c r="A1007" t="s">
        <v>1038</v>
      </c>
      <c r="B1007" t="s">
        <v>27</v>
      </c>
      <c r="C1007" t="str">
        <f>IFERROR(VLOOKUP(B1007,'Cleaned Trainer Data'!$A$2:$E$9,2,FALSE),"No Trainer Assigned")</f>
        <v>Joseph</v>
      </c>
      <c r="D1007">
        <f>IFERROR(VLOOKUP(B1007,'Cleaned Trainer Data'!$A$2:$E$11,4,FALSE),"0")</f>
        <v>4.58</v>
      </c>
    </row>
    <row r="1008" spans="1:4" x14ac:dyDescent="0.35">
      <c r="A1008" t="s">
        <v>1039</v>
      </c>
      <c r="B1008" t="s">
        <v>21</v>
      </c>
      <c r="C1008" t="str">
        <f>IFERROR(VLOOKUP(B1008,'Cleaned Trainer Data'!$A$2:$E$9,2,FALSE),"No Trainer Assigned")</f>
        <v>Kavya</v>
      </c>
      <c r="D1008">
        <f>IFERROR(VLOOKUP(B1008,'Cleaned Trainer Data'!$A$2:$E$11,4,FALSE),"0")</f>
        <v>3.28</v>
      </c>
    </row>
    <row r="1009" spans="1:4" x14ac:dyDescent="0.35">
      <c r="A1009" t="s">
        <v>1040</v>
      </c>
      <c r="B1009" t="s">
        <v>21</v>
      </c>
      <c r="C1009" t="str">
        <f>IFERROR(VLOOKUP(B1009,'Cleaned Trainer Data'!$A$2:$E$9,2,FALSE),"No Trainer Assigned")</f>
        <v>Kavya</v>
      </c>
      <c r="D1009">
        <f>IFERROR(VLOOKUP(B1009,'Cleaned Trainer Data'!$A$2:$E$11,4,FALSE),"0")</f>
        <v>3.28</v>
      </c>
    </row>
    <row r="1010" spans="1:4" x14ac:dyDescent="0.35">
      <c r="A1010" t="s">
        <v>1041</v>
      </c>
      <c r="B1010" t="s">
        <v>10</v>
      </c>
      <c r="C1010" t="str">
        <f>IFERROR(VLOOKUP(B1010,'Cleaned Trainer Data'!$A$2:$E$9,2,FALSE),"No Trainer Assigned")</f>
        <v>Arun</v>
      </c>
      <c r="D1010">
        <f>IFERROR(VLOOKUP(B1010,'Cleaned Trainer Data'!$A$2:$E$11,4,FALSE),"0")</f>
        <v>4.3</v>
      </c>
    </row>
    <row r="1011" spans="1:4" x14ac:dyDescent="0.35">
      <c r="A1011" t="s">
        <v>1042</v>
      </c>
      <c r="B1011" t="s">
        <v>37</v>
      </c>
      <c r="C1011" t="str">
        <f>IFERROR(VLOOKUP(B1011,'Cleaned Trainer Data'!$A$2:$E$9,2,FALSE),"No Trainer Assigned")</f>
        <v>No Trainer Assigned</v>
      </c>
      <c r="D1011" t="str">
        <f>IFERROR(VLOOKUP(B1011,'Cleaned Trainer Data'!$A$2:$E$11,4,FALSE),"0")</f>
        <v>0</v>
      </c>
    </row>
    <row r="1012" spans="1:4" x14ac:dyDescent="0.35">
      <c r="A1012" t="s">
        <v>1043</v>
      </c>
      <c r="B1012" t="s">
        <v>14</v>
      </c>
      <c r="C1012" t="str">
        <f>IFERROR(VLOOKUP(B1012,'Cleaned Trainer Data'!$A$2:$E$9,2,FALSE),"No Trainer Assigned")</f>
        <v>Vishal</v>
      </c>
      <c r="D1012">
        <f>IFERROR(VLOOKUP(B1012,'Cleaned Trainer Data'!$A$2:$E$11,4,FALSE),"0")</f>
        <v>3.09</v>
      </c>
    </row>
    <row r="1013" spans="1:4" x14ac:dyDescent="0.35">
      <c r="A1013" t="s">
        <v>1044</v>
      </c>
      <c r="B1013" t="s">
        <v>37</v>
      </c>
      <c r="C1013" t="str">
        <f>IFERROR(VLOOKUP(B1013,'Cleaned Trainer Data'!$A$2:$E$9,2,FALSE),"No Trainer Assigned")</f>
        <v>No Trainer Assigned</v>
      </c>
      <c r="D1013" t="str">
        <f>IFERROR(VLOOKUP(B1013,'Cleaned Trainer Data'!$A$2:$E$11,4,FALSE),"0")</f>
        <v>0</v>
      </c>
    </row>
    <row r="1014" spans="1:4" x14ac:dyDescent="0.35">
      <c r="A1014" t="s">
        <v>1045</v>
      </c>
      <c r="B1014" t="s">
        <v>21</v>
      </c>
      <c r="C1014" t="str">
        <f>IFERROR(VLOOKUP(B1014,'Cleaned Trainer Data'!$A$2:$E$9,2,FALSE),"No Trainer Assigned")</f>
        <v>Kavya</v>
      </c>
      <c r="D1014">
        <f>IFERROR(VLOOKUP(B1014,'Cleaned Trainer Data'!$A$2:$E$11,4,FALSE),"0")</f>
        <v>3.28</v>
      </c>
    </row>
    <row r="1015" spans="1:4" x14ac:dyDescent="0.35">
      <c r="A1015" t="s">
        <v>1046</v>
      </c>
      <c r="B1015" t="s">
        <v>10</v>
      </c>
      <c r="C1015" t="str">
        <f>IFERROR(VLOOKUP(B1015,'Cleaned Trainer Data'!$A$2:$E$9,2,FALSE),"No Trainer Assigned")</f>
        <v>Arun</v>
      </c>
      <c r="D1015">
        <f>IFERROR(VLOOKUP(B1015,'Cleaned Trainer Data'!$A$2:$E$11,4,FALSE),"0")</f>
        <v>4.3</v>
      </c>
    </row>
    <row r="1016" spans="1:4" x14ac:dyDescent="0.35">
      <c r="A1016" t="s">
        <v>1047</v>
      </c>
      <c r="B1016" t="s">
        <v>18</v>
      </c>
      <c r="C1016" t="str">
        <f>IFERROR(VLOOKUP(B1016,'Cleaned Trainer Data'!$A$2:$E$9,2,FALSE),"No Trainer Assigned")</f>
        <v>Meera</v>
      </c>
      <c r="D1016">
        <f>IFERROR(VLOOKUP(B1016,'Cleaned Trainer Data'!$A$2:$E$11,4,FALSE),"0")</f>
        <v>4.75</v>
      </c>
    </row>
    <row r="1017" spans="1:4" x14ac:dyDescent="0.35">
      <c r="A1017" t="s">
        <v>1048</v>
      </c>
      <c r="B1017" t="s">
        <v>10</v>
      </c>
      <c r="C1017" t="str">
        <f>IFERROR(VLOOKUP(B1017,'Cleaned Trainer Data'!$A$2:$E$9,2,FALSE),"No Trainer Assigned")</f>
        <v>Arun</v>
      </c>
      <c r="D1017">
        <f>IFERROR(VLOOKUP(B1017,'Cleaned Trainer Data'!$A$2:$E$11,4,FALSE),"0")</f>
        <v>4.3</v>
      </c>
    </row>
    <row r="1018" spans="1:4" x14ac:dyDescent="0.35">
      <c r="A1018" t="s">
        <v>1049</v>
      </c>
      <c r="B1018" t="s">
        <v>21</v>
      </c>
      <c r="C1018" t="str">
        <f>IFERROR(VLOOKUP(B1018,'Cleaned Trainer Data'!$A$2:$E$9,2,FALSE),"No Trainer Assigned")</f>
        <v>Kavya</v>
      </c>
      <c r="D1018">
        <f>IFERROR(VLOOKUP(B1018,'Cleaned Trainer Data'!$A$2:$E$11,4,FALSE),"0")</f>
        <v>3.28</v>
      </c>
    </row>
    <row r="1019" spans="1:4" x14ac:dyDescent="0.35">
      <c r="A1019" t="s">
        <v>1050</v>
      </c>
      <c r="B1019" t="s">
        <v>10</v>
      </c>
      <c r="C1019" t="str">
        <f>IFERROR(VLOOKUP(B1019,'Cleaned Trainer Data'!$A$2:$E$9,2,FALSE),"No Trainer Assigned")</f>
        <v>Arun</v>
      </c>
      <c r="D1019">
        <f>IFERROR(VLOOKUP(B1019,'Cleaned Trainer Data'!$A$2:$E$11,4,FALSE),"0")</f>
        <v>4.3</v>
      </c>
    </row>
    <row r="1020" spans="1:4" x14ac:dyDescent="0.35">
      <c r="A1020" t="s">
        <v>1051</v>
      </c>
      <c r="B1020" t="s">
        <v>10</v>
      </c>
      <c r="C1020" t="str">
        <f>IFERROR(VLOOKUP(B1020,'Cleaned Trainer Data'!$A$2:$E$9,2,FALSE),"No Trainer Assigned")</f>
        <v>Arun</v>
      </c>
      <c r="D1020">
        <f>IFERROR(VLOOKUP(B1020,'Cleaned Trainer Data'!$A$2:$E$11,4,FALSE),"0")</f>
        <v>4.3</v>
      </c>
    </row>
    <row r="1021" spans="1:4" x14ac:dyDescent="0.35">
      <c r="A1021" t="s">
        <v>1052</v>
      </c>
      <c r="B1021" t="s">
        <v>21</v>
      </c>
      <c r="C1021" t="str">
        <f>IFERROR(VLOOKUP(B1021,'Cleaned Trainer Data'!$A$2:$E$9,2,FALSE),"No Trainer Assigned")</f>
        <v>Kavya</v>
      </c>
      <c r="D1021">
        <f>IFERROR(VLOOKUP(B1021,'Cleaned Trainer Data'!$A$2:$E$11,4,FALSE),"0")</f>
        <v>3.28</v>
      </c>
    </row>
    <row r="1022" spans="1:4" x14ac:dyDescent="0.35">
      <c r="A1022" t="s">
        <v>1053</v>
      </c>
      <c r="B1022" t="s">
        <v>27</v>
      </c>
      <c r="C1022" t="str">
        <f>IFERROR(VLOOKUP(B1022,'Cleaned Trainer Data'!$A$2:$E$9,2,FALSE),"No Trainer Assigned")</f>
        <v>Joseph</v>
      </c>
      <c r="D1022">
        <f>IFERROR(VLOOKUP(B1022,'Cleaned Trainer Data'!$A$2:$E$11,4,FALSE),"0")</f>
        <v>4.58</v>
      </c>
    </row>
    <row r="1023" spans="1:4" x14ac:dyDescent="0.35">
      <c r="A1023" t="s">
        <v>1054</v>
      </c>
      <c r="B1023" t="s">
        <v>10</v>
      </c>
      <c r="C1023" t="str">
        <f>IFERROR(VLOOKUP(B1023,'Cleaned Trainer Data'!$A$2:$E$9,2,FALSE),"No Trainer Assigned")</f>
        <v>Arun</v>
      </c>
      <c r="D1023">
        <f>IFERROR(VLOOKUP(B1023,'Cleaned Trainer Data'!$A$2:$E$11,4,FALSE),"0")</f>
        <v>4.3</v>
      </c>
    </row>
    <row r="1024" spans="1:4" x14ac:dyDescent="0.35">
      <c r="A1024" t="s">
        <v>1055</v>
      </c>
      <c r="B1024" t="s">
        <v>14</v>
      </c>
      <c r="C1024" t="str">
        <f>IFERROR(VLOOKUP(B1024,'Cleaned Trainer Data'!$A$2:$E$9,2,FALSE),"No Trainer Assigned")</f>
        <v>Vishal</v>
      </c>
      <c r="D1024">
        <f>IFERROR(VLOOKUP(B1024,'Cleaned Trainer Data'!$A$2:$E$11,4,FALSE),"0")</f>
        <v>3.09</v>
      </c>
    </row>
    <row r="1025" spans="1:4" x14ac:dyDescent="0.35">
      <c r="A1025" t="s">
        <v>1056</v>
      </c>
      <c r="B1025" t="s">
        <v>14</v>
      </c>
      <c r="C1025" t="str">
        <f>IFERROR(VLOOKUP(B1025,'Cleaned Trainer Data'!$A$2:$E$9,2,FALSE),"No Trainer Assigned")</f>
        <v>Vishal</v>
      </c>
      <c r="D1025">
        <f>IFERROR(VLOOKUP(B1025,'Cleaned Trainer Data'!$A$2:$E$11,4,FALSE),"0")</f>
        <v>3.09</v>
      </c>
    </row>
    <row r="1026" spans="1:4" x14ac:dyDescent="0.35">
      <c r="A1026" t="s">
        <v>1057</v>
      </c>
      <c r="B1026" t="s">
        <v>10</v>
      </c>
      <c r="C1026" t="str">
        <f>IFERROR(VLOOKUP(B1026,'Cleaned Trainer Data'!$A$2:$E$9,2,FALSE),"No Trainer Assigned")</f>
        <v>Arun</v>
      </c>
      <c r="D1026">
        <f>IFERROR(VLOOKUP(B1026,'Cleaned Trainer Data'!$A$2:$E$11,4,FALSE),"0")</f>
        <v>4.3</v>
      </c>
    </row>
    <row r="1027" spans="1:4" x14ac:dyDescent="0.35">
      <c r="A1027" t="s">
        <v>1058</v>
      </c>
      <c r="B1027" t="s">
        <v>27</v>
      </c>
      <c r="C1027" t="str">
        <f>IFERROR(VLOOKUP(B1027,'Cleaned Trainer Data'!$A$2:$E$9,2,FALSE),"No Trainer Assigned")</f>
        <v>Joseph</v>
      </c>
      <c r="D1027">
        <f>IFERROR(VLOOKUP(B1027,'Cleaned Trainer Data'!$A$2:$E$11,4,FALSE),"0")</f>
        <v>4.58</v>
      </c>
    </row>
    <row r="1028" spans="1:4" x14ac:dyDescent="0.35">
      <c r="A1028" t="s">
        <v>1059</v>
      </c>
      <c r="B1028" t="s">
        <v>18</v>
      </c>
      <c r="C1028" t="str">
        <f>IFERROR(VLOOKUP(B1028,'Cleaned Trainer Data'!$A$2:$E$9,2,FALSE),"No Trainer Assigned")</f>
        <v>Meera</v>
      </c>
      <c r="D1028">
        <f>IFERROR(VLOOKUP(B1028,'Cleaned Trainer Data'!$A$2:$E$11,4,FALSE),"0")</f>
        <v>4.75</v>
      </c>
    </row>
    <row r="1029" spans="1:4" x14ac:dyDescent="0.35">
      <c r="A1029" t="s">
        <v>1060</v>
      </c>
      <c r="B1029" t="s">
        <v>21</v>
      </c>
      <c r="C1029" t="str">
        <f>IFERROR(VLOOKUP(B1029,'Cleaned Trainer Data'!$A$2:$E$9,2,FALSE),"No Trainer Assigned")</f>
        <v>Kavya</v>
      </c>
      <c r="D1029">
        <f>IFERROR(VLOOKUP(B1029,'Cleaned Trainer Data'!$A$2:$E$11,4,FALSE),"0")</f>
        <v>3.28</v>
      </c>
    </row>
    <row r="1030" spans="1:4" x14ac:dyDescent="0.35">
      <c r="A1030" t="s">
        <v>1061</v>
      </c>
      <c r="B1030" t="s">
        <v>14</v>
      </c>
      <c r="C1030" t="str">
        <f>IFERROR(VLOOKUP(B1030,'Cleaned Trainer Data'!$A$2:$E$9,2,FALSE),"No Trainer Assigned")</f>
        <v>Vishal</v>
      </c>
      <c r="D1030">
        <f>IFERROR(VLOOKUP(B1030,'Cleaned Trainer Data'!$A$2:$E$11,4,FALSE),"0")</f>
        <v>3.09</v>
      </c>
    </row>
    <row r="1031" spans="1:4" x14ac:dyDescent="0.35">
      <c r="A1031" t="s">
        <v>1062</v>
      </c>
      <c r="B1031" t="s">
        <v>18</v>
      </c>
      <c r="C1031" t="str">
        <f>IFERROR(VLOOKUP(B1031,'Cleaned Trainer Data'!$A$2:$E$9,2,FALSE),"No Trainer Assigned")</f>
        <v>Meera</v>
      </c>
      <c r="D1031">
        <f>IFERROR(VLOOKUP(B1031,'Cleaned Trainer Data'!$A$2:$E$11,4,FALSE),"0")</f>
        <v>4.75</v>
      </c>
    </row>
    <row r="1032" spans="1:4" x14ac:dyDescent="0.35">
      <c r="A1032" t="s">
        <v>1063</v>
      </c>
      <c r="B1032" t="s">
        <v>10</v>
      </c>
      <c r="C1032" t="str">
        <f>IFERROR(VLOOKUP(B1032,'Cleaned Trainer Data'!$A$2:$E$9,2,FALSE),"No Trainer Assigned")</f>
        <v>Arun</v>
      </c>
      <c r="D1032">
        <f>IFERROR(VLOOKUP(B1032,'Cleaned Trainer Data'!$A$2:$E$11,4,FALSE),"0")</f>
        <v>4.3</v>
      </c>
    </row>
    <row r="1033" spans="1:4" x14ac:dyDescent="0.35">
      <c r="A1033" t="s">
        <v>1064</v>
      </c>
      <c r="B1033" t="s">
        <v>18</v>
      </c>
      <c r="C1033" t="str">
        <f>IFERROR(VLOOKUP(B1033,'Cleaned Trainer Data'!$A$2:$E$9,2,FALSE),"No Trainer Assigned")</f>
        <v>Meera</v>
      </c>
      <c r="D1033">
        <f>IFERROR(VLOOKUP(B1033,'Cleaned Trainer Data'!$A$2:$E$11,4,FALSE),"0")</f>
        <v>4.75</v>
      </c>
    </row>
    <row r="1034" spans="1:4" x14ac:dyDescent="0.35">
      <c r="A1034" t="s">
        <v>1065</v>
      </c>
      <c r="B1034" t="s">
        <v>37</v>
      </c>
      <c r="C1034" t="str">
        <f>IFERROR(VLOOKUP(B1034,'Cleaned Trainer Data'!$A$2:$E$9,2,FALSE),"No Trainer Assigned")</f>
        <v>No Trainer Assigned</v>
      </c>
      <c r="D1034" t="str">
        <f>IFERROR(VLOOKUP(B1034,'Cleaned Trainer Data'!$A$2:$E$11,4,FALSE),"0")</f>
        <v>0</v>
      </c>
    </row>
    <row r="1035" spans="1:4" x14ac:dyDescent="0.35">
      <c r="A1035" t="s">
        <v>1066</v>
      </c>
      <c r="B1035" t="s">
        <v>14</v>
      </c>
      <c r="C1035" t="str">
        <f>IFERROR(VLOOKUP(B1035,'Cleaned Trainer Data'!$A$2:$E$9,2,FALSE),"No Trainer Assigned")</f>
        <v>Vishal</v>
      </c>
      <c r="D1035">
        <f>IFERROR(VLOOKUP(B1035,'Cleaned Trainer Data'!$A$2:$E$11,4,FALSE),"0")</f>
        <v>3.09</v>
      </c>
    </row>
    <row r="1036" spans="1:4" x14ac:dyDescent="0.35">
      <c r="A1036" t="s">
        <v>1067</v>
      </c>
      <c r="B1036" t="s">
        <v>10</v>
      </c>
      <c r="C1036" t="str">
        <f>IFERROR(VLOOKUP(B1036,'Cleaned Trainer Data'!$A$2:$E$9,2,FALSE),"No Trainer Assigned")</f>
        <v>Arun</v>
      </c>
      <c r="D1036">
        <f>IFERROR(VLOOKUP(B1036,'Cleaned Trainer Data'!$A$2:$E$11,4,FALSE),"0")</f>
        <v>4.3</v>
      </c>
    </row>
    <row r="1037" spans="1:4" x14ac:dyDescent="0.35">
      <c r="A1037" t="s">
        <v>1068</v>
      </c>
      <c r="B1037" t="s">
        <v>21</v>
      </c>
      <c r="C1037" t="str">
        <f>IFERROR(VLOOKUP(B1037,'Cleaned Trainer Data'!$A$2:$E$9,2,FALSE),"No Trainer Assigned")</f>
        <v>Kavya</v>
      </c>
      <c r="D1037">
        <f>IFERROR(VLOOKUP(B1037,'Cleaned Trainer Data'!$A$2:$E$11,4,FALSE),"0")</f>
        <v>3.28</v>
      </c>
    </row>
    <row r="1038" spans="1:4" x14ac:dyDescent="0.35">
      <c r="A1038" t="s">
        <v>1069</v>
      </c>
      <c r="B1038" t="s">
        <v>27</v>
      </c>
      <c r="C1038" t="str">
        <f>IFERROR(VLOOKUP(B1038,'Cleaned Trainer Data'!$A$2:$E$9,2,FALSE),"No Trainer Assigned")</f>
        <v>Joseph</v>
      </c>
      <c r="D1038">
        <f>IFERROR(VLOOKUP(B1038,'Cleaned Trainer Data'!$A$2:$E$11,4,FALSE),"0")</f>
        <v>4.58</v>
      </c>
    </row>
    <row r="1039" spans="1:4" x14ac:dyDescent="0.35">
      <c r="A1039" t="s">
        <v>1070</v>
      </c>
      <c r="B1039" t="s">
        <v>10</v>
      </c>
      <c r="C1039" t="str">
        <f>IFERROR(VLOOKUP(B1039,'Cleaned Trainer Data'!$A$2:$E$9,2,FALSE),"No Trainer Assigned")</f>
        <v>Arun</v>
      </c>
      <c r="D1039">
        <f>IFERROR(VLOOKUP(B1039,'Cleaned Trainer Data'!$A$2:$E$11,4,FALSE),"0")</f>
        <v>4.3</v>
      </c>
    </row>
    <row r="1040" spans="1:4" x14ac:dyDescent="0.35">
      <c r="A1040" t="s">
        <v>1071</v>
      </c>
      <c r="B1040" t="s">
        <v>21</v>
      </c>
      <c r="C1040" t="str">
        <f>IFERROR(VLOOKUP(B1040,'Cleaned Trainer Data'!$A$2:$E$9,2,FALSE),"No Trainer Assigned")</f>
        <v>Kavya</v>
      </c>
      <c r="D1040">
        <f>IFERROR(VLOOKUP(B1040,'Cleaned Trainer Data'!$A$2:$E$11,4,FALSE),"0")</f>
        <v>3.28</v>
      </c>
    </row>
    <row r="1041" spans="1:4" x14ac:dyDescent="0.35">
      <c r="A1041" t="s">
        <v>1072</v>
      </c>
      <c r="B1041" t="s">
        <v>27</v>
      </c>
      <c r="C1041" t="str">
        <f>IFERROR(VLOOKUP(B1041,'Cleaned Trainer Data'!$A$2:$E$9,2,FALSE),"No Trainer Assigned")</f>
        <v>Joseph</v>
      </c>
      <c r="D1041">
        <f>IFERROR(VLOOKUP(B1041,'Cleaned Trainer Data'!$A$2:$E$11,4,FALSE),"0")</f>
        <v>4.58</v>
      </c>
    </row>
    <row r="1042" spans="1:4" x14ac:dyDescent="0.35">
      <c r="A1042" t="s">
        <v>1073</v>
      </c>
      <c r="B1042" t="s">
        <v>27</v>
      </c>
      <c r="C1042" t="str">
        <f>IFERROR(VLOOKUP(B1042,'Cleaned Trainer Data'!$A$2:$E$9,2,FALSE),"No Trainer Assigned")</f>
        <v>Joseph</v>
      </c>
      <c r="D1042">
        <f>IFERROR(VLOOKUP(B1042,'Cleaned Trainer Data'!$A$2:$E$11,4,FALSE),"0")</f>
        <v>4.58</v>
      </c>
    </row>
    <row r="1043" spans="1:4" x14ac:dyDescent="0.35">
      <c r="A1043" t="s">
        <v>1074</v>
      </c>
      <c r="B1043" t="s">
        <v>10</v>
      </c>
      <c r="C1043" t="str">
        <f>IFERROR(VLOOKUP(B1043,'Cleaned Trainer Data'!$A$2:$E$9,2,FALSE),"No Trainer Assigned")</f>
        <v>Arun</v>
      </c>
      <c r="D1043">
        <f>IFERROR(VLOOKUP(B1043,'Cleaned Trainer Data'!$A$2:$E$11,4,FALSE),"0")</f>
        <v>4.3</v>
      </c>
    </row>
    <row r="1044" spans="1:4" x14ac:dyDescent="0.35">
      <c r="A1044" t="s">
        <v>1075</v>
      </c>
      <c r="B1044" t="s">
        <v>18</v>
      </c>
      <c r="C1044" t="str">
        <f>IFERROR(VLOOKUP(B1044,'Cleaned Trainer Data'!$A$2:$E$9,2,FALSE),"No Trainer Assigned")</f>
        <v>Meera</v>
      </c>
      <c r="D1044">
        <f>IFERROR(VLOOKUP(B1044,'Cleaned Trainer Data'!$A$2:$E$11,4,FALSE),"0")</f>
        <v>4.75</v>
      </c>
    </row>
    <row r="1045" spans="1:4" x14ac:dyDescent="0.35">
      <c r="A1045" t="s">
        <v>1076</v>
      </c>
      <c r="B1045" t="s">
        <v>18</v>
      </c>
      <c r="C1045" t="str">
        <f>IFERROR(VLOOKUP(B1045,'Cleaned Trainer Data'!$A$2:$E$9,2,FALSE),"No Trainer Assigned")</f>
        <v>Meera</v>
      </c>
      <c r="D1045">
        <f>IFERROR(VLOOKUP(B1045,'Cleaned Trainer Data'!$A$2:$E$11,4,FALSE),"0")</f>
        <v>4.75</v>
      </c>
    </row>
    <row r="1046" spans="1:4" x14ac:dyDescent="0.35">
      <c r="A1046" t="s">
        <v>1077</v>
      </c>
      <c r="B1046" t="s">
        <v>27</v>
      </c>
      <c r="C1046" t="str">
        <f>IFERROR(VLOOKUP(B1046,'Cleaned Trainer Data'!$A$2:$E$9,2,FALSE),"No Trainer Assigned")</f>
        <v>Joseph</v>
      </c>
      <c r="D1046">
        <f>IFERROR(VLOOKUP(B1046,'Cleaned Trainer Data'!$A$2:$E$11,4,FALSE),"0")</f>
        <v>4.58</v>
      </c>
    </row>
    <row r="1047" spans="1:4" x14ac:dyDescent="0.35">
      <c r="A1047" t="s">
        <v>1078</v>
      </c>
      <c r="B1047" t="s">
        <v>18</v>
      </c>
      <c r="C1047" t="str">
        <f>IFERROR(VLOOKUP(B1047,'Cleaned Trainer Data'!$A$2:$E$9,2,FALSE),"No Trainer Assigned")</f>
        <v>Meera</v>
      </c>
      <c r="D1047">
        <f>IFERROR(VLOOKUP(B1047,'Cleaned Trainer Data'!$A$2:$E$11,4,FALSE),"0")</f>
        <v>4.75</v>
      </c>
    </row>
    <row r="1048" spans="1:4" x14ac:dyDescent="0.35">
      <c r="A1048" t="s">
        <v>1079</v>
      </c>
      <c r="B1048" t="s">
        <v>37</v>
      </c>
      <c r="C1048" t="str">
        <f>IFERROR(VLOOKUP(B1048,'Cleaned Trainer Data'!$A$2:$E$9,2,FALSE),"No Trainer Assigned")</f>
        <v>No Trainer Assigned</v>
      </c>
      <c r="D1048" t="str">
        <f>IFERROR(VLOOKUP(B1048,'Cleaned Trainer Data'!$A$2:$E$11,4,FALSE),"0")</f>
        <v>0</v>
      </c>
    </row>
    <row r="1049" spans="1:4" x14ac:dyDescent="0.35">
      <c r="A1049" t="s">
        <v>1080</v>
      </c>
      <c r="B1049" t="s">
        <v>27</v>
      </c>
      <c r="C1049" t="str">
        <f>IFERROR(VLOOKUP(B1049,'Cleaned Trainer Data'!$A$2:$E$9,2,FALSE),"No Trainer Assigned")</f>
        <v>Joseph</v>
      </c>
      <c r="D1049">
        <f>IFERROR(VLOOKUP(B1049,'Cleaned Trainer Data'!$A$2:$E$11,4,FALSE),"0")</f>
        <v>4.58</v>
      </c>
    </row>
    <row r="1050" spans="1:4" x14ac:dyDescent="0.35">
      <c r="A1050" t="s">
        <v>1081</v>
      </c>
      <c r="B1050" t="s">
        <v>27</v>
      </c>
      <c r="C1050" t="str">
        <f>IFERROR(VLOOKUP(B1050,'Cleaned Trainer Data'!$A$2:$E$9,2,FALSE),"No Trainer Assigned")</f>
        <v>Joseph</v>
      </c>
      <c r="D1050">
        <f>IFERROR(VLOOKUP(B1050,'Cleaned Trainer Data'!$A$2:$E$11,4,FALSE),"0")</f>
        <v>4.58</v>
      </c>
    </row>
    <row r="1051" spans="1:4" x14ac:dyDescent="0.35">
      <c r="A1051" t="s">
        <v>1082</v>
      </c>
      <c r="B1051" t="s">
        <v>21</v>
      </c>
      <c r="C1051" t="str">
        <f>IFERROR(VLOOKUP(B1051,'Cleaned Trainer Data'!$A$2:$E$9,2,FALSE),"No Trainer Assigned")</f>
        <v>Kavya</v>
      </c>
      <c r="D1051">
        <f>IFERROR(VLOOKUP(B1051,'Cleaned Trainer Data'!$A$2:$E$11,4,FALSE),"0")</f>
        <v>3.28</v>
      </c>
    </row>
    <row r="1052" spans="1:4" x14ac:dyDescent="0.35">
      <c r="A1052" t="s">
        <v>1083</v>
      </c>
      <c r="B1052" t="s">
        <v>18</v>
      </c>
      <c r="C1052" t="str">
        <f>IFERROR(VLOOKUP(B1052,'Cleaned Trainer Data'!$A$2:$E$9,2,FALSE),"No Trainer Assigned")</f>
        <v>Meera</v>
      </c>
      <c r="D1052">
        <f>IFERROR(VLOOKUP(B1052,'Cleaned Trainer Data'!$A$2:$E$11,4,FALSE),"0")</f>
        <v>4.75</v>
      </c>
    </row>
    <row r="1053" spans="1:4" x14ac:dyDescent="0.35">
      <c r="A1053" t="s">
        <v>1084</v>
      </c>
      <c r="B1053" t="s">
        <v>27</v>
      </c>
      <c r="C1053" t="str">
        <f>IFERROR(VLOOKUP(B1053,'Cleaned Trainer Data'!$A$2:$E$9,2,FALSE),"No Trainer Assigned")</f>
        <v>Joseph</v>
      </c>
      <c r="D1053">
        <f>IFERROR(VLOOKUP(B1053,'Cleaned Trainer Data'!$A$2:$E$11,4,FALSE),"0")</f>
        <v>4.58</v>
      </c>
    </row>
    <row r="1054" spans="1:4" x14ac:dyDescent="0.35">
      <c r="A1054" t="s">
        <v>1085</v>
      </c>
      <c r="B1054" t="s">
        <v>37</v>
      </c>
      <c r="C1054" t="str">
        <f>IFERROR(VLOOKUP(B1054,'Cleaned Trainer Data'!$A$2:$E$9,2,FALSE),"No Trainer Assigned")</f>
        <v>No Trainer Assigned</v>
      </c>
      <c r="D1054" t="str">
        <f>IFERROR(VLOOKUP(B1054,'Cleaned Trainer Data'!$A$2:$E$11,4,FALSE),"0")</f>
        <v>0</v>
      </c>
    </row>
    <row r="1055" spans="1:4" x14ac:dyDescent="0.35">
      <c r="A1055" t="s">
        <v>1086</v>
      </c>
      <c r="B1055" t="s">
        <v>21</v>
      </c>
      <c r="C1055" t="str">
        <f>IFERROR(VLOOKUP(B1055,'Cleaned Trainer Data'!$A$2:$E$9,2,FALSE),"No Trainer Assigned")</f>
        <v>Kavya</v>
      </c>
      <c r="D1055">
        <f>IFERROR(VLOOKUP(B1055,'Cleaned Trainer Data'!$A$2:$E$11,4,FALSE),"0")</f>
        <v>3.28</v>
      </c>
    </row>
    <row r="1056" spans="1:4" x14ac:dyDescent="0.35">
      <c r="A1056" t="s">
        <v>1087</v>
      </c>
      <c r="B1056" t="s">
        <v>10</v>
      </c>
      <c r="C1056" t="str">
        <f>IFERROR(VLOOKUP(B1056,'Cleaned Trainer Data'!$A$2:$E$9,2,FALSE),"No Trainer Assigned")</f>
        <v>Arun</v>
      </c>
      <c r="D1056">
        <f>IFERROR(VLOOKUP(B1056,'Cleaned Trainer Data'!$A$2:$E$11,4,FALSE),"0")</f>
        <v>4.3</v>
      </c>
    </row>
    <row r="1057" spans="1:4" x14ac:dyDescent="0.35">
      <c r="A1057" t="s">
        <v>1088</v>
      </c>
      <c r="B1057" t="s">
        <v>27</v>
      </c>
      <c r="C1057" t="str">
        <f>IFERROR(VLOOKUP(B1057,'Cleaned Trainer Data'!$A$2:$E$9,2,FALSE),"No Trainer Assigned")</f>
        <v>Joseph</v>
      </c>
      <c r="D1057">
        <f>IFERROR(VLOOKUP(B1057,'Cleaned Trainer Data'!$A$2:$E$11,4,FALSE),"0")</f>
        <v>4.58</v>
      </c>
    </row>
    <row r="1058" spans="1:4" x14ac:dyDescent="0.35">
      <c r="A1058" t="s">
        <v>1089</v>
      </c>
      <c r="B1058" t="s">
        <v>37</v>
      </c>
      <c r="C1058" t="str">
        <f>IFERROR(VLOOKUP(B1058,'Cleaned Trainer Data'!$A$2:$E$9,2,FALSE),"No Trainer Assigned")</f>
        <v>No Trainer Assigned</v>
      </c>
      <c r="D1058" t="str">
        <f>IFERROR(VLOOKUP(B1058,'Cleaned Trainer Data'!$A$2:$E$11,4,FALSE),"0")</f>
        <v>0</v>
      </c>
    </row>
    <row r="1059" spans="1:4" x14ac:dyDescent="0.35">
      <c r="A1059" t="s">
        <v>1090</v>
      </c>
      <c r="B1059" t="s">
        <v>14</v>
      </c>
      <c r="C1059" t="str">
        <f>IFERROR(VLOOKUP(B1059,'Cleaned Trainer Data'!$A$2:$E$9,2,FALSE),"No Trainer Assigned")</f>
        <v>Vishal</v>
      </c>
      <c r="D1059">
        <f>IFERROR(VLOOKUP(B1059,'Cleaned Trainer Data'!$A$2:$E$11,4,FALSE),"0")</f>
        <v>3.09</v>
      </c>
    </row>
    <row r="1060" spans="1:4" x14ac:dyDescent="0.35">
      <c r="A1060" t="s">
        <v>1091</v>
      </c>
      <c r="B1060" t="s">
        <v>37</v>
      </c>
      <c r="C1060" t="str">
        <f>IFERROR(VLOOKUP(B1060,'Cleaned Trainer Data'!$A$2:$E$9,2,FALSE),"No Trainer Assigned")</f>
        <v>No Trainer Assigned</v>
      </c>
      <c r="D1060" t="str">
        <f>IFERROR(VLOOKUP(B1060,'Cleaned Trainer Data'!$A$2:$E$11,4,FALSE),"0")</f>
        <v>0</v>
      </c>
    </row>
    <row r="1061" spans="1:4" x14ac:dyDescent="0.35">
      <c r="A1061" t="s">
        <v>1092</v>
      </c>
      <c r="B1061" t="s">
        <v>37</v>
      </c>
      <c r="C1061" t="str">
        <f>IFERROR(VLOOKUP(B1061,'Cleaned Trainer Data'!$A$2:$E$9,2,FALSE),"No Trainer Assigned")</f>
        <v>No Trainer Assigned</v>
      </c>
      <c r="D1061" t="str">
        <f>IFERROR(VLOOKUP(B1061,'Cleaned Trainer Data'!$A$2:$E$11,4,FALSE),"0")</f>
        <v>0</v>
      </c>
    </row>
    <row r="1062" spans="1:4" x14ac:dyDescent="0.35">
      <c r="A1062" t="s">
        <v>1093</v>
      </c>
      <c r="B1062" t="s">
        <v>21</v>
      </c>
      <c r="C1062" t="str">
        <f>IFERROR(VLOOKUP(B1062,'Cleaned Trainer Data'!$A$2:$E$9,2,FALSE),"No Trainer Assigned")</f>
        <v>Kavya</v>
      </c>
      <c r="D1062">
        <f>IFERROR(VLOOKUP(B1062,'Cleaned Trainer Data'!$A$2:$E$11,4,FALSE),"0")</f>
        <v>3.28</v>
      </c>
    </row>
    <row r="1063" spans="1:4" x14ac:dyDescent="0.35">
      <c r="A1063" t="s">
        <v>1094</v>
      </c>
      <c r="B1063" t="s">
        <v>10</v>
      </c>
      <c r="C1063" t="str">
        <f>IFERROR(VLOOKUP(B1063,'Cleaned Trainer Data'!$A$2:$E$9,2,FALSE),"No Trainer Assigned")</f>
        <v>Arun</v>
      </c>
      <c r="D1063">
        <f>IFERROR(VLOOKUP(B1063,'Cleaned Trainer Data'!$A$2:$E$11,4,FALSE),"0")</f>
        <v>4.3</v>
      </c>
    </row>
    <row r="1064" spans="1:4" x14ac:dyDescent="0.35">
      <c r="A1064" t="s">
        <v>1095</v>
      </c>
      <c r="B1064" t="s">
        <v>14</v>
      </c>
      <c r="C1064" t="str">
        <f>IFERROR(VLOOKUP(B1064,'Cleaned Trainer Data'!$A$2:$E$9,2,FALSE),"No Trainer Assigned")</f>
        <v>Vishal</v>
      </c>
      <c r="D1064">
        <f>IFERROR(VLOOKUP(B1064,'Cleaned Trainer Data'!$A$2:$E$11,4,FALSE),"0")</f>
        <v>3.09</v>
      </c>
    </row>
    <row r="1065" spans="1:4" x14ac:dyDescent="0.35">
      <c r="A1065" t="s">
        <v>1096</v>
      </c>
      <c r="B1065" t="s">
        <v>18</v>
      </c>
      <c r="C1065" t="str">
        <f>IFERROR(VLOOKUP(B1065,'Cleaned Trainer Data'!$A$2:$E$9,2,FALSE),"No Trainer Assigned")</f>
        <v>Meera</v>
      </c>
      <c r="D1065">
        <f>IFERROR(VLOOKUP(B1065,'Cleaned Trainer Data'!$A$2:$E$11,4,FALSE),"0")</f>
        <v>4.75</v>
      </c>
    </row>
    <row r="1066" spans="1:4" x14ac:dyDescent="0.35">
      <c r="A1066" t="s">
        <v>1097</v>
      </c>
      <c r="B1066" t="s">
        <v>18</v>
      </c>
      <c r="C1066" t="str">
        <f>IFERROR(VLOOKUP(B1066,'Cleaned Trainer Data'!$A$2:$E$9,2,FALSE),"No Trainer Assigned")</f>
        <v>Meera</v>
      </c>
      <c r="D1066">
        <f>IFERROR(VLOOKUP(B1066,'Cleaned Trainer Data'!$A$2:$E$11,4,FALSE),"0")</f>
        <v>4.75</v>
      </c>
    </row>
    <row r="1067" spans="1:4" x14ac:dyDescent="0.35">
      <c r="A1067" t="s">
        <v>1098</v>
      </c>
      <c r="B1067" t="s">
        <v>37</v>
      </c>
      <c r="C1067" t="str">
        <f>IFERROR(VLOOKUP(B1067,'Cleaned Trainer Data'!$A$2:$E$9,2,FALSE),"No Trainer Assigned")</f>
        <v>No Trainer Assigned</v>
      </c>
      <c r="D1067" t="str">
        <f>IFERROR(VLOOKUP(B1067,'Cleaned Trainer Data'!$A$2:$E$11,4,FALSE),"0")</f>
        <v>0</v>
      </c>
    </row>
    <row r="1068" spans="1:4" x14ac:dyDescent="0.35">
      <c r="A1068" t="s">
        <v>1099</v>
      </c>
      <c r="B1068" t="s">
        <v>21</v>
      </c>
      <c r="C1068" t="str">
        <f>IFERROR(VLOOKUP(B1068,'Cleaned Trainer Data'!$A$2:$E$9,2,FALSE),"No Trainer Assigned")</f>
        <v>Kavya</v>
      </c>
      <c r="D1068">
        <f>IFERROR(VLOOKUP(B1068,'Cleaned Trainer Data'!$A$2:$E$11,4,FALSE),"0")</f>
        <v>3.28</v>
      </c>
    </row>
    <row r="1069" spans="1:4" x14ac:dyDescent="0.35">
      <c r="A1069" t="s">
        <v>1100</v>
      </c>
      <c r="B1069" t="s">
        <v>21</v>
      </c>
      <c r="C1069" t="str">
        <f>IFERROR(VLOOKUP(B1069,'Cleaned Trainer Data'!$A$2:$E$9,2,FALSE),"No Trainer Assigned")</f>
        <v>Kavya</v>
      </c>
      <c r="D1069">
        <f>IFERROR(VLOOKUP(B1069,'Cleaned Trainer Data'!$A$2:$E$11,4,FALSE),"0")</f>
        <v>3.28</v>
      </c>
    </row>
    <row r="1070" spans="1:4" x14ac:dyDescent="0.35">
      <c r="A1070" t="s">
        <v>1101</v>
      </c>
      <c r="B1070" t="s">
        <v>18</v>
      </c>
      <c r="C1070" t="str">
        <f>IFERROR(VLOOKUP(B1070,'Cleaned Trainer Data'!$A$2:$E$9,2,FALSE),"No Trainer Assigned")</f>
        <v>Meera</v>
      </c>
      <c r="D1070">
        <f>IFERROR(VLOOKUP(B1070,'Cleaned Trainer Data'!$A$2:$E$11,4,FALSE),"0")</f>
        <v>4.75</v>
      </c>
    </row>
    <row r="1071" spans="1:4" x14ac:dyDescent="0.35">
      <c r="A1071" t="s">
        <v>1102</v>
      </c>
      <c r="B1071" t="s">
        <v>14</v>
      </c>
      <c r="C1071" t="str">
        <f>IFERROR(VLOOKUP(B1071,'Cleaned Trainer Data'!$A$2:$E$9,2,FALSE),"No Trainer Assigned")</f>
        <v>Vishal</v>
      </c>
      <c r="D1071">
        <f>IFERROR(VLOOKUP(B1071,'Cleaned Trainer Data'!$A$2:$E$11,4,FALSE),"0")</f>
        <v>3.09</v>
      </c>
    </row>
    <row r="1072" spans="1:4" x14ac:dyDescent="0.35">
      <c r="A1072" t="s">
        <v>1103</v>
      </c>
      <c r="B1072" t="s">
        <v>10</v>
      </c>
      <c r="C1072" t="str">
        <f>IFERROR(VLOOKUP(B1072,'Cleaned Trainer Data'!$A$2:$E$9,2,FALSE),"No Trainer Assigned")</f>
        <v>Arun</v>
      </c>
      <c r="D1072">
        <f>IFERROR(VLOOKUP(B1072,'Cleaned Trainer Data'!$A$2:$E$11,4,FALSE),"0")</f>
        <v>4.3</v>
      </c>
    </row>
    <row r="1073" spans="1:4" x14ac:dyDescent="0.35">
      <c r="A1073" t="s">
        <v>1104</v>
      </c>
      <c r="B1073" t="s">
        <v>14</v>
      </c>
      <c r="C1073" t="str">
        <f>IFERROR(VLOOKUP(B1073,'Cleaned Trainer Data'!$A$2:$E$9,2,FALSE),"No Trainer Assigned")</f>
        <v>Vishal</v>
      </c>
      <c r="D1073">
        <f>IFERROR(VLOOKUP(B1073,'Cleaned Trainer Data'!$A$2:$E$11,4,FALSE),"0")</f>
        <v>3.09</v>
      </c>
    </row>
    <row r="1074" spans="1:4" x14ac:dyDescent="0.35">
      <c r="A1074" t="s">
        <v>1105</v>
      </c>
      <c r="B1074" t="s">
        <v>27</v>
      </c>
      <c r="C1074" t="str">
        <f>IFERROR(VLOOKUP(B1074,'Cleaned Trainer Data'!$A$2:$E$9,2,FALSE),"No Trainer Assigned")</f>
        <v>Joseph</v>
      </c>
      <c r="D1074">
        <f>IFERROR(VLOOKUP(B1074,'Cleaned Trainer Data'!$A$2:$E$11,4,FALSE),"0")</f>
        <v>4.58</v>
      </c>
    </row>
    <row r="1075" spans="1:4" x14ac:dyDescent="0.35">
      <c r="A1075" t="s">
        <v>1106</v>
      </c>
      <c r="B1075" t="s">
        <v>27</v>
      </c>
      <c r="C1075" t="str">
        <f>IFERROR(VLOOKUP(B1075,'Cleaned Trainer Data'!$A$2:$E$9,2,FALSE),"No Trainer Assigned")</f>
        <v>Joseph</v>
      </c>
      <c r="D1075">
        <f>IFERROR(VLOOKUP(B1075,'Cleaned Trainer Data'!$A$2:$E$11,4,FALSE),"0")</f>
        <v>4.58</v>
      </c>
    </row>
    <row r="1076" spans="1:4" x14ac:dyDescent="0.35">
      <c r="A1076" t="s">
        <v>1107</v>
      </c>
      <c r="B1076" t="s">
        <v>10</v>
      </c>
      <c r="C1076" t="str">
        <f>IFERROR(VLOOKUP(B1076,'Cleaned Trainer Data'!$A$2:$E$9,2,FALSE),"No Trainer Assigned")</f>
        <v>Arun</v>
      </c>
      <c r="D1076">
        <f>IFERROR(VLOOKUP(B1076,'Cleaned Trainer Data'!$A$2:$E$11,4,FALSE),"0")</f>
        <v>4.3</v>
      </c>
    </row>
    <row r="1077" spans="1:4" x14ac:dyDescent="0.35">
      <c r="A1077" t="s">
        <v>1108</v>
      </c>
      <c r="B1077" t="s">
        <v>18</v>
      </c>
      <c r="C1077" t="str">
        <f>IFERROR(VLOOKUP(B1077,'Cleaned Trainer Data'!$A$2:$E$9,2,FALSE),"No Trainer Assigned")</f>
        <v>Meera</v>
      </c>
      <c r="D1077">
        <f>IFERROR(VLOOKUP(B1077,'Cleaned Trainer Data'!$A$2:$E$11,4,FALSE),"0")</f>
        <v>4.75</v>
      </c>
    </row>
    <row r="1078" spans="1:4" x14ac:dyDescent="0.35">
      <c r="A1078" t="s">
        <v>1109</v>
      </c>
      <c r="B1078" t="s">
        <v>10</v>
      </c>
      <c r="C1078" t="str">
        <f>IFERROR(VLOOKUP(B1078,'Cleaned Trainer Data'!$A$2:$E$9,2,FALSE),"No Trainer Assigned")</f>
        <v>Arun</v>
      </c>
      <c r="D1078">
        <f>IFERROR(VLOOKUP(B1078,'Cleaned Trainer Data'!$A$2:$E$11,4,FALSE),"0")</f>
        <v>4.3</v>
      </c>
    </row>
    <row r="1079" spans="1:4" x14ac:dyDescent="0.35">
      <c r="A1079" t="s">
        <v>1110</v>
      </c>
      <c r="B1079" t="s">
        <v>21</v>
      </c>
      <c r="C1079" t="str">
        <f>IFERROR(VLOOKUP(B1079,'Cleaned Trainer Data'!$A$2:$E$9,2,FALSE),"No Trainer Assigned")</f>
        <v>Kavya</v>
      </c>
      <c r="D1079">
        <f>IFERROR(VLOOKUP(B1079,'Cleaned Trainer Data'!$A$2:$E$11,4,FALSE),"0")</f>
        <v>3.28</v>
      </c>
    </row>
    <row r="1080" spans="1:4" x14ac:dyDescent="0.35">
      <c r="A1080" t="s">
        <v>1111</v>
      </c>
      <c r="B1080" t="s">
        <v>27</v>
      </c>
      <c r="C1080" t="str">
        <f>IFERROR(VLOOKUP(B1080,'Cleaned Trainer Data'!$A$2:$E$9,2,FALSE),"No Trainer Assigned")</f>
        <v>Joseph</v>
      </c>
      <c r="D1080">
        <f>IFERROR(VLOOKUP(B1080,'Cleaned Trainer Data'!$A$2:$E$11,4,FALSE),"0")</f>
        <v>4.58</v>
      </c>
    </row>
    <row r="1081" spans="1:4" x14ac:dyDescent="0.35">
      <c r="A1081" t="s">
        <v>1112</v>
      </c>
      <c r="B1081" t="s">
        <v>37</v>
      </c>
      <c r="C1081" t="str">
        <f>IFERROR(VLOOKUP(B1081,'Cleaned Trainer Data'!$A$2:$E$9,2,FALSE),"No Trainer Assigned")</f>
        <v>No Trainer Assigned</v>
      </c>
      <c r="D1081" t="str">
        <f>IFERROR(VLOOKUP(B1081,'Cleaned Trainer Data'!$A$2:$E$11,4,FALSE),"0")</f>
        <v>0</v>
      </c>
    </row>
    <row r="1082" spans="1:4" x14ac:dyDescent="0.35">
      <c r="A1082" t="s">
        <v>1113</v>
      </c>
      <c r="B1082" t="s">
        <v>37</v>
      </c>
      <c r="C1082" t="str">
        <f>IFERROR(VLOOKUP(B1082,'Cleaned Trainer Data'!$A$2:$E$9,2,FALSE),"No Trainer Assigned")</f>
        <v>No Trainer Assigned</v>
      </c>
      <c r="D1082" t="str">
        <f>IFERROR(VLOOKUP(B1082,'Cleaned Trainer Data'!$A$2:$E$11,4,FALSE),"0")</f>
        <v>0</v>
      </c>
    </row>
    <row r="1083" spans="1:4" x14ac:dyDescent="0.35">
      <c r="A1083" t="s">
        <v>1114</v>
      </c>
      <c r="B1083" t="s">
        <v>18</v>
      </c>
      <c r="C1083" t="str">
        <f>IFERROR(VLOOKUP(B1083,'Cleaned Trainer Data'!$A$2:$E$9,2,FALSE),"No Trainer Assigned")</f>
        <v>Meera</v>
      </c>
      <c r="D1083">
        <f>IFERROR(VLOOKUP(B1083,'Cleaned Trainer Data'!$A$2:$E$11,4,FALSE),"0")</f>
        <v>4.75</v>
      </c>
    </row>
    <row r="1084" spans="1:4" x14ac:dyDescent="0.35">
      <c r="A1084" t="s">
        <v>1115</v>
      </c>
      <c r="B1084" t="s">
        <v>21</v>
      </c>
      <c r="C1084" t="str">
        <f>IFERROR(VLOOKUP(B1084,'Cleaned Trainer Data'!$A$2:$E$9,2,FALSE),"No Trainer Assigned")</f>
        <v>Kavya</v>
      </c>
      <c r="D1084">
        <f>IFERROR(VLOOKUP(B1084,'Cleaned Trainer Data'!$A$2:$E$11,4,FALSE),"0")</f>
        <v>3.28</v>
      </c>
    </row>
    <row r="1085" spans="1:4" x14ac:dyDescent="0.35">
      <c r="A1085" t="s">
        <v>1116</v>
      </c>
      <c r="B1085" t="s">
        <v>14</v>
      </c>
      <c r="C1085" t="str">
        <f>IFERROR(VLOOKUP(B1085,'Cleaned Trainer Data'!$A$2:$E$9,2,FALSE),"No Trainer Assigned")</f>
        <v>Vishal</v>
      </c>
      <c r="D1085">
        <f>IFERROR(VLOOKUP(B1085,'Cleaned Trainer Data'!$A$2:$E$11,4,FALSE),"0")</f>
        <v>3.09</v>
      </c>
    </row>
    <row r="1086" spans="1:4" x14ac:dyDescent="0.35">
      <c r="A1086" t="s">
        <v>1117</v>
      </c>
      <c r="B1086" t="s">
        <v>21</v>
      </c>
      <c r="C1086" t="str">
        <f>IFERROR(VLOOKUP(B1086,'Cleaned Trainer Data'!$A$2:$E$9,2,FALSE),"No Trainer Assigned")</f>
        <v>Kavya</v>
      </c>
      <c r="D1086">
        <f>IFERROR(VLOOKUP(B1086,'Cleaned Trainer Data'!$A$2:$E$11,4,FALSE),"0")</f>
        <v>3.28</v>
      </c>
    </row>
    <row r="1087" spans="1:4" x14ac:dyDescent="0.35">
      <c r="A1087" t="s">
        <v>1118</v>
      </c>
      <c r="B1087" t="s">
        <v>37</v>
      </c>
      <c r="C1087" t="str">
        <f>IFERROR(VLOOKUP(B1087,'Cleaned Trainer Data'!$A$2:$E$9,2,FALSE),"No Trainer Assigned")</f>
        <v>No Trainer Assigned</v>
      </c>
      <c r="D1087" t="str">
        <f>IFERROR(VLOOKUP(B1087,'Cleaned Trainer Data'!$A$2:$E$11,4,FALSE),"0")</f>
        <v>0</v>
      </c>
    </row>
    <row r="1088" spans="1:4" x14ac:dyDescent="0.35">
      <c r="A1088" t="s">
        <v>1119</v>
      </c>
      <c r="B1088" t="s">
        <v>37</v>
      </c>
      <c r="C1088" t="str">
        <f>IFERROR(VLOOKUP(B1088,'Cleaned Trainer Data'!$A$2:$E$9,2,FALSE),"No Trainer Assigned")</f>
        <v>No Trainer Assigned</v>
      </c>
      <c r="D1088" t="str">
        <f>IFERROR(VLOOKUP(B1088,'Cleaned Trainer Data'!$A$2:$E$11,4,FALSE),"0")</f>
        <v>0</v>
      </c>
    </row>
    <row r="1089" spans="1:4" x14ac:dyDescent="0.35">
      <c r="A1089" t="s">
        <v>1120</v>
      </c>
      <c r="B1089" t="s">
        <v>27</v>
      </c>
      <c r="C1089" t="str">
        <f>IFERROR(VLOOKUP(B1089,'Cleaned Trainer Data'!$A$2:$E$9,2,FALSE),"No Trainer Assigned")</f>
        <v>Joseph</v>
      </c>
      <c r="D1089">
        <f>IFERROR(VLOOKUP(B1089,'Cleaned Trainer Data'!$A$2:$E$11,4,FALSE),"0")</f>
        <v>4.58</v>
      </c>
    </row>
    <row r="1090" spans="1:4" x14ac:dyDescent="0.35">
      <c r="A1090" t="s">
        <v>1121</v>
      </c>
      <c r="B1090" t="s">
        <v>21</v>
      </c>
      <c r="C1090" t="str">
        <f>IFERROR(VLOOKUP(B1090,'Cleaned Trainer Data'!$A$2:$E$9,2,FALSE),"No Trainer Assigned")</f>
        <v>Kavya</v>
      </c>
      <c r="D1090">
        <f>IFERROR(VLOOKUP(B1090,'Cleaned Trainer Data'!$A$2:$E$11,4,FALSE),"0")</f>
        <v>3.28</v>
      </c>
    </row>
    <row r="1091" spans="1:4" x14ac:dyDescent="0.35">
      <c r="A1091" t="s">
        <v>1122</v>
      </c>
      <c r="B1091" t="s">
        <v>21</v>
      </c>
      <c r="C1091" t="str">
        <f>IFERROR(VLOOKUP(B1091,'Cleaned Trainer Data'!$A$2:$E$9,2,FALSE),"No Trainer Assigned")</f>
        <v>Kavya</v>
      </c>
      <c r="D1091">
        <f>IFERROR(VLOOKUP(B1091,'Cleaned Trainer Data'!$A$2:$E$11,4,FALSE),"0")</f>
        <v>3.28</v>
      </c>
    </row>
    <row r="1092" spans="1:4" x14ac:dyDescent="0.35">
      <c r="A1092" t="s">
        <v>1123</v>
      </c>
      <c r="B1092" t="s">
        <v>37</v>
      </c>
      <c r="C1092" t="str">
        <f>IFERROR(VLOOKUP(B1092,'Cleaned Trainer Data'!$A$2:$E$9,2,FALSE),"No Trainer Assigned")</f>
        <v>No Trainer Assigned</v>
      </c>
      <c r="D1092" t="str">
        <f>IFERROR(VLOOKUP(B1092,'Cleaned Trainer Data'!$A$2:$E$11,4,FALSE),"0")</f>
        <v>0</v>
      </c>
    </row>
    <row r="1093" spans="1:4" x14ac:dyDescent="0.35">
      <c r="A1093" t="s">
        <v>1124</v>
      </c>
      <c r="B1093" t="s">
        <v>14</v>
      </c>
      <c r="C1093" t="str">
        <f>IFERROR(VLOOKUP(B1093,'Cleaned Trainer Data'!$A$2:$E$9,2,FALSE),"No Trainer Assigned")</f>
        <v>Vishal</v>
      </c>
      <c r="D1093">
        <f>IFERROR(VLOOKUP(B1093,'Cleaned Trainer Data'!$A$2:$E$11,4,FALSE),"0")</f>
        <v>3.09</v>
      </c>
    </row>
    <row r="1094" spans="1:4" x14ac:dyDescent="0.35">
      <c r="A1094" t="s">
        <v>1125</v>
      </c>
      <c r="B1094" t="s">
        <v>18</v>
      </c>
      <c r="C1094" t="str">
        <f>IFERROR(VLOOKUP(B1094,'Cleaned Trainer Data'!$A$2:$E$9,2,FALSE),"No Trainer Assigned")</f>
        <v>Meera</v>
      </c>
      <c r="D1094">
        <f>IFERROR(VLOOKUP(B1094,'Cleaned Trainer Data'!$A$2:$E$11,4,FALSE),"0")</f>
        <v>4.75</v>
      </c>
    </row>
    <row r="1095" spans="1:4" x14ac:dyDescent="0.35">
      <c r="A1095" t="s">
        <v>1126</v>
      </c>
      <c r="B1095" t="s">
        <v>18</v>
      </c>
      <c r="C1095" t="str">
        <f>IFERROR(VLOOKUP(B1095,'Cleaned Trainer Data'!$A$2:$E$9,2,FALSE),"No Trainer Assigned")</f>
        <v>Meera</v>
      </c>
      <c r="D1095">
        <f>IFERROR(VLOOKUP(B1095,'Cleaned Trainer Data'!$A$2:$E$11,4,FALSE),"0")</f>
        <v>4.75</v>
      </c>
    </row>
    <row r="1096" spans="1:4" x14ac:dyDescent="0.35">
      <c r="A1096" t="s">
        <v>1127</v>
      </c>
      <c r="B1096" t="s">
        <v>21</v>
      </c>
      <c r="C1096" t="str">
        <f>IFERROR(VLOOKUP(B1096,'Cleaned Trainer Data'!$A$2:$E$9,2,FALSE),"No Trainer Assigned")</f>
        <v>Kavya</v>
      </c>
      <c r="D1096">
        <f>IFERROR(VLOOKUP(B1096,'Cleaned Trainer Data'!$A$2:$E$11,4,FALSE),"0")</f>
        <v>3.28</v>
      </c>
    </row>
    <row r="1097" spans="1:4" x14ac:dyDescent="0.35">
      <c r="A1097" t="s">
        <v>1128</v>
      </c>
      <c r="B1097" t="s">
        <v>18</v>
      </c>
      <c r="C1097" t="str">
        <f>IFERROR(VLOOKUP(B1097,'Cleaned Trainer Data'!$A$2:$E$9,2,FALSE),"No Trainer Assigned")</f>
        <v>Meera</v>
      </c>
      <c r="D1097">
        <f>IFERROR(VLOOKUP(B1097,'Cleaned Trainer Data'!$A$2:$E$11,4,FALSE),"0")</f>
        <v>4.75</v>
      </c>
    </row>
    <row r="1098" spans="1:4" x14ac:dyDescent="0.35">
      <c r="A1098" t="s">
        <v>1129</v>
      </c>
      <c r="B1098" t="s">
        <v>37</v>
      </c>
      <c r="C1098" t="str">
        <f>IFERROR(VLOOKUP(B1098,'Cleaned Trainer Data'!$A$2:$E$9,2,FALSE),"No Trainer Assigned")</f>
        <v>No Trainer Assigned</v>
      </c>
      <c r="D1098" t="str">
        <f>IFERROR(VLOOKUP(B1098,'Cleaned Trainer Data'!$A$2:$E$11,4,FALSE),"0")</f>
        <v>0</v>
      </c>
    </row>
    <row r="1099" spans="1:4" x14ac:dyDescent="0.35">
      <c r="A1099" t="s">
        <v>1130</v>
      </c>
      <c r="B1099" t="s">
        <v>37</v>
      </c>
      <c r="C1099" t="str">
        <f>IFERROR(VLOOKUP(B1099,'Cleaned Trainer Data'!$A$2:$E$9,2,FALSE),"No Trainer Assigned")</f>
        <v>No Trainer Assigned</v>
      </c>
      <c r="D1099" t="str">
        <f>IFERROR(VLOOKUP(B1099,'Cleaned Trainer Data'!$A$2:$E$11,4,FALSE),"0")</f>
        <v>0</v>
      </c>
    </row>
    <row r="1100" spans="1:4" x14ac:dyDescent="0.35">
      <c r="A1100" t="s">
        <v>1131</v>
      </c>
      <c r="B1100" t="s">
        <v>21</v>
      </c>
      <c r="C1100" t="str">
        <f>IFERROR(VLOOKUP(B1100,'Cleaned Trainer Data'!$A$2:$E$9,2,FALSE),"No Trainer Assigned")</f>
        <v>Kavya</v>
      </c>
      <c r="D1100">
        <f>IFERROR(VLOOKUP(B1100,'Cleaned Trainer Data'!$A$2:$E$11,4,FALSE),"0")</f>
        <v>3.28</v>
      </c>
    </row>
    <row r="1101" spans="1:4" x14ac:dyDescent="0.35">
      <c r="A1101" t="s">
        <v>1132</v>
      </c>
      <c r="B1101" t="s">
        <v>21</v>
      </c>
      <c r="C1101" t="str">
        <f>IFERROR(VLOOKUP(B1101,'Cleaned Trainer Data'!$A$2:$E$9,2,FALSE),"No Trainer Assigned")</f>
        <v>Kavya</v>
      </c>
      <c r="D1101">
        <f>IFERROR(VLOOKUP(B1101,'Cleaned Trainer Data'!$A$2:$E$11,4,FALSE),"0")</f>
        <v>3.28</v>
      </c>
    </row>
    <row r="1102" spans="1:4" x14ac:dyDescent="0.35">
      <c r="A1102" t="s">
        <v>1133</v>
      </c>
      <c r="B1102" t="s">
        <v>27</v>
      </c>
      <c r="C1102" t="str">
        <f>IFERROR(VLOOKUP(B1102,'Cleaned Trainer Data'!$A$2:$E$9,2,FALSE),"No Trainer Assigned")</f>
        <v>Joseph</v>
      </c>
      <c r="D1102">
        <f>IFERROR(VLOOKUP(B1102,'Cleaned Trainer Data'!$A$2:$E$11,4,FALSE),"0")</f>
        <v>4.58</v>
      </c>
    </row>
    <row r="1103" spans="1:4" x14ac:dyDescent="0.35">
      <c r="A1103" t="s">
        <v>1134</v>
      </c>
      <c r="B1103" t="s">
        <v>21</v>
      </c>
      <c r="C1103" t="str">
        <f>IFERROR(VLOOKUP(B1103,'Cleaned Trainer Data'!$A$2:$E$9,2,FALSE),"No Trainer Assigned")</f>
        <v>Kavya</v>
      </c>
      <c r="D1103">
        <f>IFERROR(VLOOKUP(B1103,'Cleaned Trainer Data'!$A$2:$E$11,4,FALSE),"0")</f>
        <v>3.28</v>
      </c>
    </row>
    <row r="1104" spans="1:4" x14ac:dyDescent="0.35">
      <c r="A1104" t="s">
        <v>1135</v>
      </c>
      <c r="B1104" t="s">
        <v>14</v>
      </c>
      <c r="C1104" t="str">
        <f>IFERROR(VLOOKUP(B1104,'Cleaned Trainer Data'!$A$2:$E$9,2,FALSE),"No Trainer Assigned")</f>
        <v>Vishal</v>
      </c>
      <c r="D1104">
        <f>IFERROR(VLOOKUP(B1104,'Cleaned Trainer Data'!$A$2:$E$11,4,FALSE),"0")</f>
        <v>3.09</v>
      </c>
    </row>
    <row r="1105" spans="1:4" x14ac:dyDescent="0.35">
      <c r="A1105" t="s">
        <v>1136</v>
      </c>
      <c r="B1105" t="s">
        <v>18</v>
      </c>
      <c r="C1105" t="str">
        <f>IFERROR(VLOOKUP(B1105,'Cleaned Trainer Data'!$A$2:$E$9,2,FALSE),"No Trainer Assigned")</f>
        <v>Meera</v>
      </c>
      <c r="D1105">
        <f>IFERROR(VLOOKUP(B1105,'Cleaned Trainer Data'!$A$2:$E$11,4,FALSE),"0")</f>
        <v>4.75</v>
      </c>
    </row>
    <row r="1106" spans="1:4" x14ac:dyDescent="0.35">
      <c r="A1106" t="s">
        <v>1137</v>
      </c>
      <c r="B1106" t="s">
        <v>21</v>
      </c>
      <c r="C1106" t="str">
        <f>IFERROR(VLOOKUP(B1106,'Cleaned Trainer Data'!$A$2:$E$9,2,FALSE),"No Trainer Assigned")</f>
        <v>Kavya</v>
      </c>
      <c r="D1106">
        <f>IFERROR(VLOOKUP(B1106,'Cleaned Trainer Data'!$A$2:$E$11,4,FALSE),"0")</f>
        <v>3.28</v>
      </c>
    </row>
    <row r="1107" spans="1:4" x14ac:dyDescent="0.35">
      <c r="A1107" t="s">
        <v>1138</v>
      </c>
      <c r="B1107" t="s">
        <v>10</v>
      </c>
      <c r="C1107" t="str">
        <f>IFERROR(VLOOKUP(B1107,'Cleaned Trainer Data'!$A$2:$E$9,2,FALSE),"No Trainer Assigned")</f>
        <v>Arun</v>
      </c>
      <c r="D1107">
        <f>IFERROR(VLOOKUP(B1107,'Cleaned Trainer Data'!$A$2:$E$11,4,FALSE),"0")</f>
        <v>4.3</v>
      </c>
    </row>
    <row r="1108" spans="1:4" x14ac:dyDescent="0.35">
      <c r="A1108" t="s">
        <v>1139</v>
      </c>
      <c r="B1108" t="s">
        <v>27</v>
      </c>
      <c r="C1108" t="str">
        <f>IFERROR(VLOOKUP(B1108,'Cleaned Trainer Data'!$A$2:$E$9,2,FALSE),"No Trainer Assigned")</f>
        <v>Joseph</v>
      </c>
      <c r="D1108">
        <f>IFERROR(VLOOKUP(B1108,'Cleaned Trainer Data'!$A$2:$E$11,4,FALSE),"0")</f>
        <v>4.58</v>
      </c>
    </row>
    <row r="1109" spans="1:4" x14ac:dyDescent="0.35">
      <c r="A1109" t="s">
        <v>1140</v>
      </c>
      <c r="B1109" t="s">
        <v>10</v>
      </c>
      <c r="C1109" t="str">
        <f>IFERROR(VLOOKUP(B1109,'Cleaned Trainer Data'!$A$2:$E$9,2,FALSE),"No Trainer Assigned")</f>
        <v>Arun</v>
      </c>
      <c r="D1109">
        <f>IFERROR(VLOOKUP(B1109,'Cleaned Trainer Data'!$A$2:$E$11,4,FALSE),"0")</f>
        <v>4.3</v>
      </c>
    </row>
    <row r="1110" spans="1:4" x14ac:dyDescent="0.35">
      <c r="A1110" t="s">
        <v>1141</v>
      </c>
      <c r="B1110" t="s">
        <v>37</v>
      </c>
      <c r="C1110" t="str">
        <f>IFERROR(VLOOKUP(B1110,'Cleaned Trainer Data'!$A$2:$E$9,2,FALSE),"No Trainer Assigned")</f>
        <v>No Trainer Assigned</v>
      </c>
      <c r="D1110" t="str">
        <f>IFERROR(VLOOKUP(B1110,'Cleaned Trainer Data'!$A$2:$E$11,4,FALSE),"0")</f>
        <v>0</v>
      </c>
    </row>
    <row r="1111" spans="1:4" x14ac:dyDescent="0.35">
      <c r="A1111" t="s">
        <v>1142</v>
      </c>
      <c r="B1111" t="s">
        <v>18</v>
      </c>
      <c r="C1111" t="str">
        <f>IFERROR(VLOOKUP(B1111,'Cleaned Trainer Data'!$A$2:$E$9,2,FALSE),"No Trainer Assigned")</f>
        <v>Meera</v>
      </c>
      <c r="D1111">
        <f>IFERROR(VLOOKUP(B1111,'Cleaned Trainer Data'!$A$2:$E$11,4,FALSE),"0")</f>
        <v>4.75</v>
      </c>
    </row>
    <row r="1112" spans="1:4" x14ac:dyDescent="0.35">
      <c r="A1112" t="s">
        <v>1143</v>
      </c>
      <c r="B1112" t="s">
        <v>21</v>
      </c>
      <c r="C1112" t="str">
        <f>IFERROR(VLOOKUP(B1112,'Cleaned Trainer Data'!$A$2:$E$9,2,FALSE),"No Trainer Assigned")</f>
        <v>Kavya</v>
      </c>
      <c r="D1112">
        <f>IFERROR(VLOOKUP(B1112,'Cleaned Trainer Data'!$A$2:$E$11,4,FALSE),"0")</f>
        <v>3.28</v>
      </c>
    </row>
    <row r="1113" spans="1:4" x14ac:dyDescent="0.35">
      <c r="A1113" t="s">
        <v>1144</v>
      </c>
      <c r="B1113" t="s">
        <v>10</v>
      </c>
      <c r="C1113" t="str">
        <f>IFERROR(VLOOKUP(B1113,'Cleaned Trainer Data'!$A$2:$E$9,2,FALSE),"No Trainer Assigned")</f>
        <v>Arun</v>
      </c>
      <c r="D1113">
        <f>IFERROR(VLOOKUP(B1113,'Cleaned Trainer Data'!$A$2:$E$11,4,FALSE),"0")</f>
        <v>4.3</v>
      </c>
    </row>
    <row r="1114" spans="1:4" x14ac:dyDescent="0.35">
      <c r="A1114" t="s">
        <v>1145</v>
      </c>
      <c r="B1114" t="s">
        <v>18</v>
      </c>
      <c r="C1114" t="str">
        <f>IFERROR(VLOOKUP(B1114,'Cleaned Trainer Data'!$A$2:$E$9,2,FALSE),"No Trainer Assigned")</f>
        <v>Meera</v>
      </c>
      <c r="D1114">
        <f>IFERROR(VLOOKUP(B1114,'Cleaned Trainer Data'!$A$2:$E$11,4,FALSE),"0")</f>
        <v>4.75</v>
      </c>
    </row>
    <row r="1115" spans="1:4" x14ac:dyDescent="0.35">
      <c r="A1115" t="s">
        <v>1146</v>
      </c>
      <c r="B1115" t="s">
        <v>37</v>
      </c>
      <c r="C1115" t="str">
        <f>IFERROR(VLOOKUP(B1115,'Cleaned Trainer Data'!$A$2:$E$9,2,FALSE),"No Trainer Assigned")</f>
        <v>No Trainer Assigned</v>
      </c>
      <c r="D1115" t="str">
        <f>IFERROR(VLOOKUP(B1115,'Cleaned Trainer Data'!$A$2:$E$11,4,FALSE),"0")</f>
        <v>0</v>
      </c>
    </row>
    <row r="1116" spans="1:4" x14ac:dyDescent="0.35">
      <c r="A1116" t="s">
        <v>1147</v>
      </c>
      <c r="B1116" t="s">
        <v>14</v>
      </c>
      <c r="C1116" t="str">
        <f>IFERROR(VLOOKUP(B1116,'Cleaned Trainer Data'!$A$2:$E$9,2,FALSE),"No Trainer Assigned")</f>
        <v>Vishal</v>
      </c>
      <c r="D1116">
        <f>IFERROR(VLOOKUP(B1116,'Cleaned Trainer Data'!$A$2:$E$11,4,FALSE),"0")</f>
        <v>3.09</v>
      </c>
    </row>
    <row r="1117" spans="1:4" x14ac:dyDescent="0.35">
      <c r="A1117" t="s">
        <v>1148</v>
      </c>
      <c r="B1117" t="s">
        <v>27</v>
      </c>
      <c r="C1117" t="str">
        <f>IFERROR(VLOOKUP(B1117,'Cleaned Trainer Data'!$A$2:$E$9,2,FALSE),"No Trainer Assigned")</f>
        <v>Joseph</v>
      </c>
      <c r="D1117">
        <f>IFERROR(VLOOKUP(B1117,'Cleaned Trainer Data'!$A$2:$E$11,4,FALSE),"0")</f>
        <v>4.58</v>
      </c>
    </row>
    <row r="1118" spans="1:4" x14ac:dyDescent="0.35">
      <c r="A1118" t="s">
        <v>1149</v>
      </c>
      <c r="B1118" t="s">
        <v>18</v>
      </c>
      <c r="C1118" t="str">
        <f>IFERROR(VLOOKUP(B1118,'Cleaned Trainer Data'!$A$2:$E$9,2,FALSE),"No Trainer Assigned")</f>
        <v>Meera</v>
      </c>
      <c r="D1118">
        <f>IFERROR(VLOOKUP(B1118,'Cleaned Trainer Data'!$A$2:$E$11,4,FALSE),"0")</f>
        <v>4.75</v>
      </c>
    </row>
    <row r="1119" spans="1:4" x14ac:dyDescent="0.35">
      <c r="A1119" t="s">
        <v>1150</v>
      </c>
      <c r="B1119" t="s">
        <v>18</v>
      </c>
      <c r="C1119" t="str">
        <f>IFERROR(VLOOKUP(B1119,'Cleaned Trainer Data'!$A$2:$E$9,2,FALSE),"No Trainer Assigned")</f>
        <v>Meera</v>
      </c>
      <c r="D1119">
        <f>IFERROR(VLOOKUP(B1119,'Cleaned Trainer Data'!$A$2:$E$11,4,FALSE),"0")</f>
        <v>4.75</v>
      </c>
    </row>
    <row r="1120" spans="1:4" x14ac:dyDescent="0.35">
      <c r="A1120" t="s">
        <v>1151</v>
      </c>
      <c r="B1120" t="s">
        <v>14</v>
      </c>
      <c r="C1120" t="str">
        <f>IFERROR(VLOOKUP(B1120,'Cleaned Trainer Data'!$A$2:$E$9,2,FALSE),"No Trainer Assigned")</f>
        <v>Vishal</v>
      </c>
      <c r="D1120">
        <f>IFERROR(VLOOKUP(B1120,'Cleaned Trainer Data'!$A$2:$E$11,4,FALSE),"0")</f>
        <v>3.09</v>
      </c>
    </row>
    <row r="1121" spans="1:4" x14ac:dyDescent="0.35">
      <c r="A1121" t="s">
        <v>1152</v>
      </c>
      <c r="B1121" t="s">
        <v>18</v>
      </c>
      <c r="C1121" t="str">
        <f>IFERROR(VLOOKUP(B1121,'Cleaned Trainer Data'!$A$2:$E$9,2,FALSE),"No Trainer Assigned")</f>
        <v>Meera</v>
      </c>
      <c r="D1121">
        <f>IFERROR(VLOOKUP(B1121,'Cleaned Trainer Data'!$A$2:$E$11,4,FALSE),"0")</f>
        <v>4.75</v>
      </c>
    </row>
    <row r="1122" spans="1:4" x14ac:dyDescent="0.35">
      <c r="A1122" t="s">
        <v>1153</v>
      </c>
      <c r="B1122" t="s">
        <v>37</v>
      </c>
      <c r="C1122" t="str">
        <f>IFERROR(VLOOKUP(B1122,'Cleaned Trainer Data'!$A$2:$E$9,2,FALSE),"No Trainer Assigned")</f>
        <v>No Trainer Assigned</v>
      </c>
      <c r="D1122" t="str">
        <f>IFERROR(VLOOKUP(B1122,'Cleaned Trainer Data'!$A$2:$E$11,4,FALSE),"0")</f>
        <v>0</v>
      </c>
    </row>
    <row r="1123" spans="1:4" x14ac:dyDescent="0.35">
      <c r="A1123" t="s">
        <v>1154</v>
      </c>
      <c r="B1123" t="s">
        <v>37</v>
      </c>
      <c r="C1123" t="str">
        <f>IFERROR(VLOOKUP(B1123,'Cleaned Trainer Data'!$A$2:$E$9,2,FALSE),"No Trainer Assigned")</f>
        <v>No Trainer Assigned</v>
      </c>
      <c r="D1123" t="str">
        <f>IFERROR(VLOOKUP(B1123,'Cleaned Trainer Data'!$A$2:$E$11,4,FALSE),"0")</f>
        <v>0</v>
      </c>
    </row>
    <row r="1124" spans="1:4" x14ac:dyDescent="0.35">
      <c r="A1124" t="s">
        <v>1155</v>
      </c>
      <c r="B1124" t="s">
        <v>14</v>
      </c>
      <c r="C1124" t="str">
        <f>IFERROR(VLOOKUP(B1124,'Cleaned Trainer Data'!$A$2:$E$9,2,FALSE),"No Trainer Assigned")</f>
        <v>Vishal</v>
      </c>
      <c r="D1124">
        <f>IFERROR(VLOOKUP(B1124,'Cleaned Trainer Data'!$A$2:$E$11,4,FALSE),"0")</f>
        <v>3.09</v>
      </c>
    </row>
    <row r="1125" spans="1:4" x14ac:dyDescent="0.35">
      <c r="A1125" t="s">
        <v>1156</v>
      </c>
      <c r="B1125" t="s">
        <v>27</v>
      </c>
      <c r="C1125" t="str">
        <f>IFERROR(VLOOKUP(B1125,'Cleaned Trainer Data'!$A$2:$E$9,2,FALSE),"No Trainer Assigned")</f>
        <v>Joseph</v>
      </c>
      <c r="D1125">
        <f>IFERROR(VLOOKUP(B1125,'Cleaned Trainer Data'!$A$2:$E$11,4,FALSE),"0")</f>
        <v>4.58</v>
      </c>
    </row>
    <row r="1126" spans="1:4" x14ac:dyDescent="0.35">
      <c r="A1126" t="s">
        <v>1157</v>
      </c>
      <c r="B1126" t="s">
        <v>21</v>
      </c>
      <c r="C1126" t="str">
        <f>IFERROR(VLOOKUP(B1126,'Cleaned Trainer Data'!$A$2:$E$9,2,FALSE),"No Trainer Assigned")</f>
        <v>Kavya</v>
      </c>
      <c r="D1126">
        <f>IFERROR(VLOOKUP(B1126,'Cleaned Trainer Data'!$A$2:$E$11,4,FALSE),"0")</f>
        <v>3.28</v>
      </c>
    </row>
    <row r="1127" spans="1:4" x14ac:dyDescent="0.35">
      <c r="A1127" t="s">
        <v>1158</v>
      </c>
      <c r="B1127" t="s">
        <v>10</v>
      </c>
      <c r="C1127" t="str">
        <f>IFERROR(VLOOKUP(B1127,'Cleaned Trainer Data'!$A$2:$E$9,2,FALSE),"No Trainer Assigned")</f>
        <v>Arun</v>
      </c>
      <c r="D1127">
        <f>IFERROR(VLOOKUP(B1127,'Cleaned Trainer Data'!$A$2:$E$11,4,FALSE),"0")</f>
        <v>4.3</v>
      </c>
    </row>
    <row r="1128" spans="1:4" x14ac:dyDescent="0.35">
      <c r="A1128" t="s">
        <v>1159</v>
      </c>
      <c r="B1128" t="s">
        <v>21</v>
      </c>
      <c r="C1128" t="str">
        <f>IFERROR(VLOOKUP(B1128,'Cleaned Trainer Data'!$A$2:$E$9,2,FALSE),"No Trainer Assigned")</f>
        <v>Kavya</v>
      </c>
      <c r="D1128">
        <f>IFERROR(VLOOKUP(B1128,'Cleaned Trainer Data'!$A$2:$E$11,4,FALSE),"0")</f>
        <v>3.28</v>
      </c>
    </row>
    <row r="1129" spans="1:4" x14ac:dyDescent="0.35">
      <c r="A1129" t="s">
        <v>1160</v>
      </c>
      <c r="B1129" t="s">
        <v>18</v>
      </c>
      <c r="C1129" t="str">
        <f>IFERROR(VLOOKUP(B1129,'Cleaned Trainer Data'!$A$2:$E$9,2,FALSE),"No Trainer Assigned")</f>
        <v>Meera</v>
      </c>
      <c r="D1129">
        <f>IFERROR(VLOOKUP(B1129,'Cleaned Trainer Data'!$A$2:$E$11,4,FALSE),"0")</f>
        <v>4.75</v>
      </c>
    </row>
    <row r="1130" spans="1:4" x14ac:dyDescent="0.35">
      <c r="A1130" t="s">
        <v>1161</v>
      </c>
      <c r="B1130" t="s">
        <v>10</v>
      </c>
      <c r="C1130" t="str">
        <f>IFERROR(VLOOKUP(B1130,'Cleaned Trainer Data'!$A$2:$E$9,2,FALSE),"No Trainer Assigned")</f>
        <v>Arun</v>
      </c>
      <c r="D1130">
        <f>IFERROR(VLOOKUP(B1130,'Cleaned Trainer Data'!$A$2:$E$11,4,FALSE),"0")</f>
        <v>4.3</v>
      </c>
    </row>
    <row r="1131" spans="1:4" x14ac:dyDescent="0.35">
      <c r="A1131" t="s">
        <v>1162</v>
      </c>
      <c r="B1131" t="s">
        <v>14</v>
      </c>
      <c r="C1131" t="str">
        <f>IFERROR(VLOOKUP(B1131,'Cleaned Trainer Data'!$A$2:$E$9,2,FALSE),"No Trainer Assigned")</f>
        <v>Vishal</v>
      </c>
      <c r="D1131">
        <f>IFERROR(VLOOKUP(B1131,'Cleaned Trainer Data'!$A$2:$E$11,4,FALSE),"0")</f>
        <v>3.09</v>
      </c>
    </row>
    <row r="1132" spans="1:4" x14ac:dyDescent="0.35">
      <c r="A1132" t="s">
        <v>1163</v>
      </c>
      <c r="B1132" t="s">
        <v>14</v>
      </c>
      <c r="C1132" t="str">
        <f>IFERROR(VLOOKUP(B1132,'Cleaned Trainer Data'!$A$2:$E$9,2,FALSE),"No Trainer Assigned")</f>
        <v>Vishal</v>
      </c>
      <c r="D1132">
        <f>IFERROR(VLOOKUP(B1132,'Cleaned Trainer Data'!$A$2:$E$11,4,FALSE),"0")</f>
        <v>3.09</v>
      </c>
    </row>
    <row r="1133" spans="1:4" x14ac:dyDescent="0.35">
      <c r="A1133" t="s">
        <v>1164</v>
      </c>
      <c r="B1133" t="s">
        <v>27</v>
      </c>
      <c r="C1133" t="str">
        <f>IFERROR(VLOOKUP(B1133,'Cleaned Trainer Data'!$A$2:$E$9,2,FALSE),"No Trainer Assigned")</f>
        <v>Joseph</v>
      </c>
      <c r="D1133">
        <f>IFERROR(VLOOKUP(B1133,'Cleaned Trainer Data'!$A$2:$E$11,4,FALSE),"0")</f>
        <v>4.58</v>
      </c>
    </row>
    <row r="1134" spans="1:4" x14ac:dyDescent="0.35">
      <c r="A1134" t="s">
        <v>1165</v>
      </c>
      <c r="B1134" t="s">
        <v>10</v>
      </c>
      <c r="C1134" t="str">
        <f>IFERROR(VLOOKUP(B1134,'Cleaned Trainer Data'!$A$2:$E$9,2,FALSE),"No Trainer Assigned")</f>
        <v>Arun</v>
      </c>
      <c r="D1134">
        <f>IFERROR(VLOOKUP(B1134,'Cleaned Trainer Data'!$A$2:$E$11,4,FALSE),"0")</f>
        <v>4.3</v>
      </c>
    </row>
    <row r="1135" spans="1:4" x14ac:dyDescent="0.35">
      <c r="A1135" t="s">
        <v>1166</v>
      </c>
      <c r="B1135" t="s">
        <v>37</v>
      </c>
      <c r="C1135" t="str">
        <f>IFERROR(VLOOKUP(B1135,'Cleaned Trainer Data'!$A$2:$E$9,2,FALSE),"No Trainer Assigned")</f>
        <v>No Trainer Assigned</v>
      </c>
      <c r="D1135" t="str">
        <f>IFERROR(VLOOKUP(B1135,'Cleaned Trainer Data'!$A$2:$E$11,4,FALSE),"0")</f>
        <v>0</v>
      </c>
    </row>
    <row r="1136" spans="1:4" x14ac:dyDescent="0.35">
      <c r="A1136" t="s">
        <v>1167</v>
      </c>
      <c r="B1136" t="s">
        <v>10</v>
      </c>
      <c r="C1136" t="str">
        <f>IFERROR(VLOOKUP(B1136,'Cleaned Trainer Data'!$A$2:$E$9,2,FALSE),"No Trainer Assigned")</f>
        <v>Arun</v>
      </c>
      <c r="D1136">
        <f>IFERROR(VLOOKUP(B1136,'Cleaned Trainer Data'!$A$2:$E$11,4,FALSE),"0")</f>
        <v>4.3</v>
      </c>
    </row>
    <row r="1137" spans="1:4" x14ac:dyDescent="0.35">
      <c r="A1137" t="s">
        <v>1168</v>
      </c>
      <c r="B1137" t="s">
        <v>18</v>
      </c>
      <c r="C1137" t="str">
        <f>IFERROR(VLOOKUP(B1137,'Cleaned Trainer Data'!$A$2:$E$9,2,FALSE),"No Trainer Assigned")</f>
        <v>Meera</v>
      </c>
      <c r="D1137">
        <f>IFERROR(VLOOKUP(B1137,'Cleaned Trainer Data'!$A$2:$E$11,4,FALSE),"0")</f>
        <v>4.75</v>
      </c>
    </row>
    <row r="1138" spans="1:4" x14ac:dyDescent="0.35">
      <c r="A1138" t="s">
        <v>1169</v>
      </c>
      <c r="B1138" t="s">
        <v>37</v>
      </c>
      <c r="C1138" t="str">
        <f>IFERROR(VLOOKUP(B1138,'Cleaned Trainer Data'!$A$2:$E$9,2,FALSE),"No Trainer Assigned")</f>
        <v>No Trainer Assigned</v>
      </c>
      <c r="D1138" t="str">
        <f>IFERROR(VLOOKUP(B1138,'Cleaned Trainer Data'!$A$2:$E$11,4,FALSE),"0")</f>
        <v>0</v>
      </c>
    </row>
    <row r="1139" spans="1:4" x14ac:dyDescent="0.35">
      <c r="A1139" t="s">
        <v>1170</v>
      </c>
      <c r="B1139" t="s">
        <v>14</v>
      </c>
      <c r="C1139" t="str">
        <f>IFERROR(VLOOKUP(B1139,'Cleaned Trainer Data'!$A$2:$E$9,2,FALSE),"No Trainer Assigned")</f>
        <v>Vishal</v>
      </c>
      <c r="D1139">
        <f>IFERROR(VLOOKUP(B1139,'Cleaned Trainer Data'!$A$2:$E$11,4,FALSE),"0")</f>
        <v>3.09</v>
      </c>
    </row>
    <row r="1140" spans="1:4" x14ac:dyDescent="0.35">
      <c r="A1140" t="s">
        <v>1171</v>
      </c>
      <c r="B1140" t="s">
        <v>10</v>
      </c>
      <c r="C1140" t="str">
        <f>IFERROR(VLOOKUP(B1140,'Cleaned Trainer Data'!$A$2:$E$9,2,FALSE),"No Trainer Assigned")</f>
        <v>Arun</v>
      </c>
      <c r="D1140">
        <f>IFERROR(VLOOKUP(B1140,'Cleaned Trainer Data'!$A$2:$E$11,4,FALSE),"0")</f>
        <v>4.3</v>
      </c>
    </row>
    <row r="1141" spans="1:4" x14ac:dyDescent="0.35">
      <c r="A1141" t="s">
        <v>1172</v>
      </c>
      <c r="B1141" t="s">
        <v>21</v>
      </c>
      <c r="C1141" t="str">
        <f>IFERROR(VLOOKUP(B1141,'Cleaned Trainer Data'!$A$2:$E$9,2,FALSE),"No Trainer Assigned")</f>
        <v>Kavya</v>
      </c>
      <c r="D1141">
        <f>IFERROR(VLOOKUP(B1141,'Cleaned Trainer Data'!$A$2:$E$11,4,FALSE),"0")</f>
        <v>3.28</v>
      </c>
    </row>
    <row r="1142" spans="1:4" x14ac:dyDescent="0.35">
      <c r="A1142" t="s">
        <v>1173</v>
      </c>
      <c r="B1142" t="s">
        <v>27</v>
      </c>
      <c r="C1142" t="str">
        <f>IFERROR(VLOOKUP(B1142,'Cleaned Trainer Data'!$A$2:$E$9,2,FALSE),"No Trainer Assigned")</f>
        <v>Joseph</v>
      </c>
      <c r="D1142">
        <f>IFERROR(VLOOKUP(B1142,'Cleaned Trainer Data'!$A$2:$E$11,4,FALSE),"0")</f>
        <v>4.58</v>
      </c>
    </row>
    <row r="1143" spans="1:4" x14ac:dyDescent="0.35">
      <c r="A1143" t="s">
        <v>1174</v>
      </c>
      <c r="B1143" t="s">
        <v>21</v>
      </c>
      <c r="C1143" t="str">
        <f>IFERROR(VLOOKUP(B1143,'Cleaned Trainer Data'!$A$2:$E$9,2,FALSE),"No Trainer Assigned")</f>
        <v>Kavya</v>
      </c>
      <c r="D1143">
        <f>IFERROR(VLOOKUP(B1143,'Cleaned Trainer Data'!$A$2:$E$11,4,FALSE),"0")</f>
        <v>3.28</v>
      </c>
    </row>
    <row r="1144" spans="1:4" x14ac:dyDescent="0.35">
      <c r="A1144" t="s">
        <v>1175</v>
      </c>
      <c r="B1144" t="s">
        <v>27</v>
      </c>
      <c r="C1144" t="str">
        <f>IFERROR(VLOOKUP(B1144,'Cleaned Trainer Data'!$A$2:$E$9,2,FALSE),"No Trainer Assigned")</f>
        <v>Joseph</v>
      </c>
      <c r="D1144">
        <f>IFERROR(VLOOKUP(B1144,'Cleaned Trainer Data'!$A$2:$E$11,4,FALSE),"0")</f>
        <v>4.58</v>
      </c>
    </row>
    <row r="1145" spans="1:4" x14ac:dyDescent="0.35">
      <c r="A1145" t="s">
        <v>1176</v>
      </c>
      <c r="B1145" t="s">
        <v>18</v>
      </c>
      <c r="C1145" t="str">
        <f>IFERROR(VLOOKUP(B1145,'Cleaned Trainer Data'!$A$2:$E$9,2,FALSE),"No Trainer Assigned")</f>
        <v>Meera</v>
      </c>
      <c r="D1145">
        <f>IFERROR(VLOOKUP(B1145,'Cleaned Trainer Data'!$A$2:$E$11,4,FALSE),"0")</f>
        <v>4.75</v>
      </c>
    </row>
    <row r="1146" spans="1:4" x14ac:dyDescent="0.35">
      <c r="A1146" t="s">
        <v>1177</v>
      </c>
      <c r="B1146" t="s">
        <v>21</v>
      </c>
      <c r="C1146" t="str">
        <f>IFERROR(VLOOKUP(B1146,'Cleaned Trainer Data'!$A$2:$E$9,2,FALSE),"No Trainer Assigned")</f>
        <v>Kavya</v>
      </c>
      <c r="D1146">
        <f>IFERROR(VLOOKUP(B1146,'Cleaned Trainer Data'!$A$2:$E$11,4,FALSE),"0")</f>
        <v>3.28</v>
      </c>
    </row>
    <row r="1147" spans="1:4" x14ac:dyDescent="0.35">
      <c r="A1147" t="s">
        <v>1178</v>
      </c>
      <c r="B1147" t="s">
        <v>10</v>
      </c>
      <c r="C1147" t="str">
        <f>IFERROR(VLOOKUP(B1147,'Cleaned Trainer Data'!$A$2:$E$9,2,FALSE),"No Trainer Assigned")</f>
        <v>Arun</v>
      </c>
      <c r="D1147">
        <f>IFERROR(VLOOKUP(B1147,'Cleaned Trainer Data'!$A$2:$E$11,4,FALSE),"0")</f>
        <v>4.3</v>
      </c>
    </row>
    <row r="1148" spans="1:4" x14ac:dyDescent="0.35">
      <c r="A1148" t="s">
        <v>1179</v>
      </c>
      <c r="B1148" t="s">
        <v>10</v>
      </c>
      <c r="C1148" t="str">
        <f>IFERROR(VLOOKUP(B1148,'Cleaned Trainer Data'!$A$2:$E$9,2,FALSE),"No Trainer Assigned")</f>
        <v>Arun</v>
      </c>
      <c r="D1148">
        <f>IFERROR(VLOOKUP(B1148,'Cleaned Trainer Data'!$A$2:$E$11,4,FALSE),"0")</f>
        <v>4.3</v>
      </c>
    </row>
    <row r="1149" spans="1:4" x14ac:dyDescent="0.35">
      <c r="A1149" t="s">
        <v>1180</v>
      </c>
      <c r="B1149" t="s">
        <v>21</v>
      </c>
      <c r="C1149" t="str">
        <f>IFERROR(VLOOKUP(B1149,'Cleaned Trainer Data'!$A$2:$E$9,2,FALSE),"No Trainer Assigned")</f>
        <v>Kavya</v>
      </c>
      <c r="D1149">
        <f>IFERROR(VLOOKUP(B1149,'Cleaned Trainer Data'!$A$2:$E$11,4,FALSE),"0")</f>
        <v>3.28</v>
      </c>
    </row>
    <row r="1150" spans="1:4" x14ac:dyDescent="0.35">
      <c r="A1150" t="s">
        <v>1181</v>
      </c>
      <c r="B1150" t="s">
        <v>10</v>
      </c>
      <c r="C1150" t="str">
        <f>IFERROR(VLOOKUP(B1150,'Cleaned Trainer Data'!$A$2:$E$9,2,FALSE),"No Trainer Assigned")</f>
        <v>Arun</v>
      </c>
      <c r="D1150">
        <f>IFERROR(VLOOKUP(B1150,'Cleaned Trainer Data'!$A$2:$E$11,4,FALSE),"0")</f>
        <v>4.3</v>
      </c>
    </row>
    <row r="1151" spans="1:4" x14ac:dyDescent="0.35">
      <c r="A1151" t="s">
        <v>1182</v>
      </c>
      <c r="B1151" t="s">
        <v>18</v>
      </c>
      <c r="C1151" t="str">
        <f>IFERROR(VLOOKUP(B1151,'Cleaned Trainer Data'!$A$2:$E$9,2,FALSE),"No Trainer Assigned")</f>
        <v>Meera</v>
      </c>
      <c r="D1151">
        <f>IFERROR(VLOOKUP(B1151,'Cleaned Trainer Data'!$A$2:$E$11,4,FALSE),"0")</f>
        <v>4.75</v>
      </c>
    </row>
    <row r="1152" spans="1:4" x14ac:dyDescent="0.35">
      <c r="A1152" t="s">
        <v>1183</v>
      </c>
      <c r="B1152" t="s">
        <v>37</v>
      </c>
      <c r="C1152" t="str">
        <f>IFERROR(VLOOKUP(B1152,'Cleaned Trainer Data'!$A$2:$E$9,2,FALSE),"No Trainer Assigned")</f>
        <v>No Trainer Assigned</v>
      </c>
      <c r="D1152" t="str">
        <f>IFERROR(VLOOKUP(B1152,'Cleaned Trainer Data'!$A$2:$E$11,4,FALSE),"0")</f>
        <v>0</v>
      </c>
    </row>
    <row r="1153" spans="1:4" x14ac:dyDescent="0.35">
      <c r="A1153" t="s">
        <v>1184</v>
      </c>
      <c r="B1153" t="s">
        <v>18</v>
      </c>
      <c r="C1153" t="str">
        <f>IFERROR(VLOOKUP(B1153,'Cleaned Trainer Data'!$A$2:$E$9,2,FALSE),"No Trainer Assigned")</f>
        <v>Meera</v>
      </c>
      <c r="D1153">
        <f>IFERROR(VLOOKUP(B1153,'Cleaned Trainer Data'!$A$2:$E$11,4,FALSE),"0")</f>
        <v>4.75</v>
      </c>
    </row>
    <row r="1154" spans="1:4" x14ac:dyDescent="0.35">
      <c r="A1154" t="s">
        <v>1185</v>
      </c>
      <c r="B1154" t="s">
        <v>27</v>
      </c>
      <c r="C1154" t="str">
        <f>IFERROR(VLOOKUP(B1154,'Cleaned Trainer Data'!$A$2:$E$9,2,FALSE),"No Trainer Assigned")</f>
        <v>Joseph</v>
      </c>
      <c r="D1154">
        <f>IFERROR(VLOOKUP(B1154,'Cleaned Trainer Data'!$A$2:$E$11,4,FALSE),"0")</f>
        <v>4.58</v>
      </c>
    </row>
    <row r="1155" spans="1:4" x14ac:dyDescent="0.35">
      <c r="A1155" t="s">
        <v>1186</v>
      </c>
      <c r="B1155" t="s">
        <v>18</v>
      </c>
      <c r="C1155" t="str">
        <f>IFERROR(VLOOKUP(B1155,'Cleaned Trainer Data'!$A$2:$E$9,2,FALSE),"No Trainer Assigned")</f>
        <v>Meera</v>
      </c>
      <c r="D1155">
        <f>IFERROR(VLOOKUP(B1155,'Cleaned Trainer Data'!$A$2:$E$11,4,FALSE),"0")</f>
        <v>4.75</v>
      </c>
    </row>
    <row r="1156" spans="1:4" x14ac:dyDescent="0.35">
      <c r="A1156" t="s">
        <v>1187</v>
      </c>
      <c r="B1156" t="s">
        <v>27</v>
      </c>
      <c r="C1156" t="str">
        <f>IFERROR(VLOOKUP(B1156,'Cleaned Trainer Data'!$A$2:$E$9,2,FALSE),"No Trainer Assigned")</f>
        <v>Joseph</v>
      </c>
      <c r="D1156">
        <f>IFERROR(VLOOKUP(B1156,'Cleaned Trainer Data'!$A$2:$E$11,4,FALSE),"0")</f>
        <v>4.58</v>
      </c>
    </row>
    <row r="1157" spans="1:4" x14ac:dyDescent="0.35">
      <c r="A1157" t="s">
        <v>1188</v>
      </c>
      <c r="B1157" t="s">
        <v>10</v>
      </c>
      <c r="C1157" t="str">
        <f>IFERROR(VLOOKUP(B1157,'Cleaned Trainer Data'!$A$2:$E$9,2,FALSE),"No Trainer Assigned")</f>
        <v>Arun</v>
      </c>
      <c r="D1157">
        <f>IFERROR(VLOOKUP(B1157,'Cleaned Trainer Data'!$A$2:$E$11,4,FALSE),"0")</f>
        <v>4.3</v>
      </c>
    </row>
    <row r="1158" spans="1:4" x14ac:dyDescent="0.35">
      <c r="A1158" t="s">
        <v>1189</v>
      </c>
      <c r="B1158" t="s">
        <v>37</v>
      </c>
      <c r="C1158" t="str">
        <f>IFERROR(VLOOKUP(B1158,'Cleaned Trainer Data'!$A$2:$E$9,2,FALSE),"No Trainer Assigned")</f>
        <v>No Trainer Assigned</v>
      </c>
      <c r="D1158" t="str">
        <f>IFERROR(VLOOKUP(B1158,'Cleaned Trainer Data'!$A$2:$E$11,4,FALSE),"0")</f>
        <v>0</v>
      </c>
    </row>
    <row r="1159" spans="1:4" x14ac:dyDescent="0.35">
      <c r="A1159" t="s">
        <v>1190</v>
      </c>
      <c r="B1159" t="s">
        <v>10</v>
      </c>
      <c r="C1159" t="str">
        <f>IFERROR(VLOOKUP(B1159,'Cleaned Trainer Data'!$A$2:$E$9,2,FALSE),"No Trainer Assigned")</f>
        <v>Arun</v>
      </c>
      <c r="D1159">
        <f>IFERROR(VLOOKUP(B1159,'Cleaned Trainer Data'!$A$2:$E$11,4,FALSE),"0")</f>
        <v>4.3</v>
      </c>
    </row>
    <row r="1160" spans="1:4" x14ac:dyDescent="0.35">
      <c r="A1160" t="s">
        <v>1191</v>
      </c>
      <c r="B1160" t="s">
        <v>14</v>
      </c>
      <c r="C1160" t="str">
        <f>IFERROR(VLOOKUP(B1160,'Cleaned Trainer Data'!$A$2:$E$9,2,FALSE),"No Trainer Assigned")</f>
        <v>Vishal</v>
      </c>
      <c r="D1160">
        <f>IFERROR(VLOOKUP(B1160,'Cleaned Trainer Data'!$A$2:$E$11,4,FALSE),"0")</f>
        <v>3.09</v>
      </c>
    </row>
    <row r="1161" spans="1:4" x14ac:dyDescent="0.35">
      <c r="A1161" t="s">
        <v>1192</v>
      </c>
      <c r="B1161" t="s">
        <v>10</v>
      </c>
      <c r="C1161" t="str">
        <f>IFERROR(VLOOKUP(B1161,'Cleaned Trainer Data'!$A$2:$E$9,2,FALSE),"No Trainer Assigned")</f>
        <v>Arun</v>
      </c>
      <c r="D1161">
        <f>IFERROR(VLOOKUP(B1161,'Cleaned Trainer Data'!$A$2:$E$11,4,FALSE),"0")</f>
        <v>4.3</v>
      </c>
    </row>
    <row r="1162" spans="1:4" x14ac:dyDescent="0.35">
      <c r="A1162" t="s">
        <v>1193</v>
      </c>
      <c r="B1162" t="s">
        <v>27</v>
      </c>
      <c r="C1162" t="str">
        <f>IFERROR(VLOOKUP(B1162,'Cleaned Trainer Data'!$A$2:$E$9,2,FALSE),"No Trainer Assigned")</f>
        <v>Joseph</v>
      </c>
      <c r="D1162">
        <f>IFERROR(VLOOKUP(B1162,'Cleaned Trainer Data'!$A$2:$E$11,4,FALSE),"0")</f>
        <v>4.58</v>
      </c>
    </row>
    <row r="1163" spans="1:4" x14ac:dyDescent="0.35">
      <c r="A1163" t="s">
        <v>1194</v>
      </c>
      <c r="B1163" t="s">
        <v>10</v>
      </c>
      <c r="C1163" t="str">
        <f>IFERROR(VLOOKUP(B1163,'Cleaned Trainer Data'!$A$2:$E$9,2,FALSE),"No Trainer Assigned")</f>
        <v>Arun</v>
      </c>
      <c r="D1163">
        <f>IFERROR(VLOOKUP(B1163,'Cleaned Trainer Data'!$A$2:$E$11,4,FALSE),"0")</f>
        <v>4.3</v>
      </c>
    </row>
    <row r="1164" spans="1:4" x14ac:dyDescent="0.35">
      <c r="A1164" t="s">
        <v>1195</v>
      </c>
      <c r="B1164" t="s">
        <v>10</v>
      </c>
      <c r="C1164" t="str">
        <f>IFERROR(VLOOKUP(B1164,'Cleaned Trainer Data'!$A$2:$E$9,2,FALSE),"No Trainer Assigned")</f>
        <v>Arun</v>
      </c>
      <c r="D1164">
        <f>IFERROR(VLOOKUP(B1164,'Cleaned Trainer Data'!$A$2:$E$11,4,FALSE),"0")</f>
        <v>4.3</v>
      </c>
    </row>
    <row r="1165" spans="1:4" x14ac:dyDescent="0.35">
      <c r="A1165" t="s">
        <v>1196</v>
      </c>
      <c r="B1165" t="s">
        <v>37</v>
      </c>
      <c r="C1165" t="str">
        <f>IFERROR(VLOOKUP(B1165,'Cleaned Trainer Data'!$A$2:$E$9,2,FALSE),"No Trainer Assigned")</f>
        <v>No Trainer Assigned</v>
      </c>
      <c r="D1165" t="str">
        <f>IFERROR(VLOOKUP(B1165,'Cleaned Trainer Data'!$A$2:$E$11,4,FALSE),"0")</f>
        <v>0</v>
      </c>
    </row>
    <row r="1166" spans="1:4" x14ac:dyDescent="0.35">
      <c r="A1166" t="s">
        <v>1197</v>
      </c>
      <c r="B1166" t="s">
        <v>10</v>
      </c>
      <c r="C1166" t="str">
        <f>IFERROR(VLOOKUP(B1166,'Cleaned Trainer Data'!$A$2:$E$9,2,FALSE),"No Trainer Assigned")</f>
        <v>Arun</v>
      </c>
      <c r="D1166">
        <f>IFERROR(VLOOKUP(B1166,'Cleaned Trainer Data'!$A$2:$E$11,4,FALSE),"0")</f>
        <v>4.3</v>
      </c>
    </row>
    <row r="1167" spans="1:4" x14ac:dyDescent="0.35">
      <c r="A1167" t="s">
        <v>1198</v>
      </c>
      <c r="B1167" t="s">
        <v>37</v>
      </c>
      <c r="C1167" t="str">
        <f>IFERROR(VLOOKUP(B1167,'Cleaned Trainer Data'!$A$2:$E$9,2,FALSE),"No Trainer Assigned")</f>
        <v>No Trainer Assigned</v>
      </c>
      <c r="D1167" t="str">
        <f>IFERROR(VLOOKUP(B1167,'Cleaned Trainer Data'!$A$2:$E$11,4,FALSE),"0")</f>
        <v>0</v>
      </c>
    </row>
    <row r="1168" spans="1:4" x14ac:dyDescent="0.35">
      <c r="A1168" t="s">
        <v>1199</v>
      </c>
      <c r="B1168" t="s">
        <v>21</v>
      </c>
      <c r="C1168" t="str">
        <f>IFERROR(VLOOKUP(B1168,'Cleaned Trainer Data'!$A$2:$E$9,2,FALSE),"No Trainer Assigned")</f>
        <v>Kavya</v>
      </c>
      <c r="D1168">
        <f>IFERROR(VLOOKUP(B1168,'Cleaned Trainer Data'!$A$2:$E$11,4,FALSE),"0")</f>
        <v>3.28</v>
      </c>
    </row>
    <row r="1169" spans="1:4" x14ac:dyDescent="0.35">
      <c r="A1169" t="s">
        <v>1200</v>
      </c>
      <c r="B1169" t="s">
        <v>14</v>
      </c>
      <c r="C1169" t="str">
        <f>IFERROR(VLOOKUP(B1169,'Cleaned Trainer Data'!$A$2:$E$9,2,FALSE),"No Trainer Assigned")</f>
        <v>Vishal</v>
      </c>
      <c r="D1169">
        <f>IFERROR(VLOOKUP(B1169,'Cleaned Trainer Data'!$A$2:$E$11,4,FALSE),"0")</f>
        <v>3.09</v>
      </c>
    </row>
    <row r="1170" spans="1:4" x14ac:dyDescent="0.35">
      <c r="A1170" t="s">
        <v>1201</v>
      </c>
      <c r="B1170" t="s">
        <v>37</v>
      </c>
      <c r="C1170" t="str">
        <f>IFERROR(VLOOKUP(B1170,'Cleaned Trainer Data'!$A$2:$E$9,2,FALSE),"No Trainer Assigned")</f>
        <v>No Trainer Assigned</v>
      </c>
      <c r="D1170" t="str">
        <f>IFERROR(VLOOKUP(B1170,'Cleaned Trainer Data'!$A$2:$E$11,4,FALSE),"0")</f>
        <v>0</v>
      </c>
    </row>
    <row r="1171" spans="1:4" x14ac:dyDescent="0.35">
      <c r="A1171" t="s">
        <v>1202</v>
      </c>
      <c r="B1171" t="s">
        <v>27</v>
      </c>
      <c r="C1171" t="str">
        <f>IFERROR(VLOOKUP(B1171,'Cleaned Trainer Data'!$A$2:$E$9,2,FALSE),"No Trainer Assigned")</f>
        <v>Joseph</v>
      </c>
      <c r="D1171">
        <f>IFERROR(VLOOKUP(B1171,'Cleaned Trainer Data'!$A$2:$E$11,4,FALSE),"0")</f>
        <v>4.58</v>
      </c>
    </row>
    <row r="1172" spans="1:4" x14ac:dyDescent="0.35">
      <c r="A1172" t="s">
        <v>1203</v>
      </c>
      <c r="B1172" t="s">
        <v>21</v>
      </c>
      <c r="C1172" t="str">
        <f>IFERROR(VLOOKUP(B1172,'Cleaned Trainer Data'!$A$2:$E$9,2,FALSE),"No Trainer Assigned")</f>
        <v>Kavya</v>
      </c>
      <c r="D1172">
        <f>IFERROR(VLOOKUP(B1172,'Cleaned Trainer Data'!$A$2:$E$11,4,FALSE),"0")</f>
        <v>3.28</v>
      </c>
    </row>
    <row r="1173" spans="1:4" x14ac:dyDescent="0.35">
      <c r="A1173" t="s">
        <v>1204</v>
      </c>
      <c r="B1173" t="s">
        <v>37</v>
      </c>
      <c r="C1173" t="str">
        <f>IFERROR(VLOOKUP(B1173,'Cleaned Trainer Data'!$A$2:$E$9,2,FALSE),"No Trainer Assigned")</f>
        <v>No Trainer Assigned</v>
      </c>
      <c r="D1173" t="str">
        <f>IFERROR(VLOOKUP(B1173,'Cleaned Trainer Data'!$A$2:$E$11,4,FALSE),"0")</f>
        <v>0</v>
      </c>
    </row>
    <row r="1174" spans="1:4" x14ac:dyDescent="0.35">
      <c r="A1174" t="s">
        <v>1205</v>
      </c>
      <c r="B1174" t="s">
        <v>37</v>
      </c>
      <c r="C1174" t="str">
        <f>IFERROR(VLOOKUP(B1174,'Cleaned Trainer Data'!$A$2:$E$9,2,FALSE),"No Trainer Assigned")</f>
        <v>No Trainer Assigned</v>
      </c>
      <c r="D1174" t="str">
        <f>IFERROR(VLOOKUP(B1174,'Cleaned Trainer Data'!$A$2:$E$11,4,FALSE),"0")</f>
        <v>0</v>
      </c>
    </row>
    <row r="1175" spans="1:4" x14ac:dyDescent="0.35">
      <c r="A1175" t="s">
        <v>1206</v>
      </c>
      <c r="B1175" t="s">
        <v>14</v>
      </c>
      <c r="C1175" t="str">
        <f>IFERROR(VLOOKUP(B1175,'Cleaned Trainer Data'!$A$2:$E$9,2,FALSE),"No Trainer Assigned")</f>
        <v>Vishal</v>
      </c>
      <c r="D1175">
        <f>IFERROR(VLOOKUP(B1175,'Cleaned Trainer Data'!$A$2:$E$11,4,FALSE),"0")</f>
        <v>3.09</v>
      </c>
    </row>
    <row r="1176" spans="1:4" x14ac:dyDescent="0.35">
      <c r="A1176" t="s">
        <v>1207</v>
      </c>
      <c r="B1176" t="s">
        <v>27</v>
      </c>
      <c r="C1176" t="str">
        <f>IFERROR(VLOOKUP(B1176,'Cleaned Trainer Data'!$A$2:$E$9,2,FALSE),"No Trainer Assigned")</f>
        <v>Joseph</v>
      </c>
      <c r="D1176">
        <f>IFERROR(VLOOKUP(B1176,'Cleaned Trainer Data'!$A$2:$E$11,4,FALSE),"0")</f>
        <v>4.58</v>
      </c>
    </row>
    <row r="1177" spans="1:4" x14ac:dyDescent="0.35">
      <c r="A1177" t="s">
        <v>1208</v>
      </c>
      <c r="B1177" t="s">
        <v>18</v>
      </c>
      <c r="C1177" t="str">
        <f>IFERROR(VLOOKUP(B1177,'Cleaned Trainer Data'!$A$2:$E$9,2,FALSE),"No Trainer Assigned")</f>
        <v>Meera</v>
      </c>
      <c r="D1177">
        <f>IFERROR(VLOOKUP(B1177,'Cleaned Trainer Data'!$A$2:$E$11,4,FALSE),"0")</f>
        <v>4.75</v>
      </c>
    </row>
    <row r="1178" spans="1:4" x14ac:dyDescent="0.35">
      <c r="A1178" t="s">
        <v>1209</v>
      </c>
      <c r="B1178" t="s">
        <v>18</v>
      </c>
      <c r="C1178" t="str">
        <f>IFERROR(VLOOKUP(B1178,'Cleaned Trainer Data'!$A$2:$E$9,2,FALSE),"No Trainer Assigned")</f>
        <v>Meera</v>
      </c>
      <c r="D1178">
        <f>IFERROR(VLOOKUP(B1178,'Cleaned Trainer Data'!$A$2:$E$11,4,FALSE),"0")</f>
        <v>4.75</v>
      </c>
    </row>
    <row r="1179" spans="1:4" x14ac:dyDescent="0.35">
      <c r="A1179" t="s">
        <v>1210</v>
      </c>
      <c r="B1179" t="s">
        <v>37</v>
      </c>
      <c r="C1179" t="str">
        <f>IFERROR(VLOOKUP(B1179,'Cleaned Trainer Data'!$A$2:$E$9,2,FALSE),"No Trainer Assigned")</f>
        <v>No Trainer Assigned</v>
      </c>
      <c r="D1179" t="str">
        <f>IFERROR(VLOOKUP(B1179,'Cleaned Trainer Data'!$A$2:$E$11,4,FALSE),"0")</f>
        <v>0</v>
      </c>
    </row>
    <row r="1180" spans="1:4" x14ac:dyDescent="0.35">
      <c r="A1180" t="s">
        <v>1211</v>
      </c>
      <c r="B1180" t="s">
        <v>10</v>
      </c>
      <c r="C1180" t="str">
        <f>IFERROR(VLOOKUP(B1180,'Cleaned Trainer Data'!$A$2:$E$9,2,FALSE),"No Trainer Assigned")</f>
        <v>Arun</v>
      </c>
      <c r="D1180">
        <f>IFERROR(VLOOKUP(B1180,'Cleaned Trainer Data'!$A$2:$E$11,4,FALSE),"0")</f>
        <v>4.3</v>
      </c>
    </row>
    <row r="1181" spans="1:4" x14ac:dyDescent="0.35">
      <c r="A1181" t="s">
        <v>1212</v>
      </c>
      <c r="B1181" t="s">
        <v>27</v>
      </c>
      <c r="C1181" t="str">
        <f>IFERROR(VLOOKUP(B1181,'Cleaned Trainer Data'!$A$2:$E$9,2,FALSE),"No Trainer Assigned")</f>
        <v>Joseph</v>
      </c>
      <c r="D1181">
        <f>IFERROR(VLOOKUP(B1181,'Cleaned Trainer Data'!$A$2:$E$11,4,FALSE),"0")</f>
        <v>4.58</v>
      </c>
    </row>
    <row r="1182" spans="1:4" x14ac:dyDescent="0.35">
      <c r="A1182" t="s">
        <v>1213</v>
      </c>
      <c r="B1182" t="s">
        <v>21</v>
      </c>
      <c r="C1182" t="str">
        <f>IFERROR(VLOOKUP(B1182,'Cleaned Trainer Data'!$A$2:$E$9,2,FALSE),"No Trainer Assigned")</f>
        <v>Kavya</v>
      </c>
      <c r="D1182">
        <f>IFERROR(VLOOKUP(B1182,'Cleaned Trainer Data'!$A$2:$E$11,4,FALSE),"0")</f>
        <v>3.28</v>
      </c>
    </row>
    <row r="1183" spans="1:4" x14ac:dyDescent="0.35">
      <c r="A1183" t="s">
        <v>1214</v>
      </c>
      <c r="B1183" t="s">
        <v>10</v>
      </c>
      <c r="C1183" t="str">
        <f>IFERROR(VLOOKUP(B1183,'Cleaned Trainer Data'!$A$2:$E$9,2,FALSE),"No Trainer Assigned")</f>
        <v>Arun</v>
      </c>
      <c r="D1183">
        <f>IFERROR(VLOOKUP(B1183,'Cleaned Trainer Data'!$A$2:$E$11,4,FALSE),"0")</f>
        <v>4.3</v>
      </c>
    </row>
    <row r="1184" spans="1:4" x14ac:dyDescent="0.35">
      <c r="A1184" t="s">
        <v>1215</v>
      </c>
      <c r="B1184" t="s">
        <v>10</v>
      </c>
      <c r="C1184" t="str">
        <f>IFERROR(VLOOKUP(B1184,'Cleaned Trainer Data'!$A$2:$E$9,2,FALSE),"No Trainer Assigned")</f>
        <v>Arun</v>
      </c>
      <c r="D1184">
        <f>IFERROR(VLOOKUP(B1184,'Cleaned Trainer Data'!$A$2:$E$11,4,FALSE),"0")</f>
        <v>4.3</v>
      </c>
    </row>
    <row r="1185" spans="1:4" x14ac:dyDescent="0.35">
      <c r="A1185" t="s">
        <v>1216</v>
      </c>
      <c r="B1185" t="s">
        <v>27</v>
      </c>
      <c r="C1185" t="str">
        <f>IFERROR(VLOOKUP(B1185,'Cleaned Trainer Data'!$A$2:$E$9,2,FALSE),"No Trainer Assigned")</f>
        <v>Joseph</v>
      </c>
      <c r="D1185">
        <f>IFERROR(VLOOKUP(B1185,'Cleaned Trainer Data'!$A$2:$E$11,4,FALSE),"0")</f>
        <v>4.58</v>
      </c>
    </row>
    <row r="1186" spans="1:4" x14ac:dyDescent="0.35">
      <c r="A1186" t="s">
        <v>1217</v>
      </c>
      <c r="B1186" t="s">
        <v>37</v>
      </c>
      <c r="C1186" t="str">
        <f>IFERROR(VLOOKUP(B1186,'Cleaned Trainer Data'!$A$2:$E$9,2,FALSE),"No Trainer Assigned")</f>
        <v>No Trainer Assigned</v>
      </c>
      <c r="D1186" t="str">
        <f>IFERROR(VLOOKUP(B1186,'Cleaned Trainer Data'!$A$2:$E$11,4,FALSE),"0")</f>
        <v>0</v>
      </c>
    </row>
    <row r="1187" spans="1:4" x14ac:dyDescent="0.35">
      <c r="A1187" t="s">
        <v>1218</v>
      </c>
      <c r="B1187" t="s">
        <v>37</v>
      </c>
      <c r="C1187" t="str">
        <f>IFERROR(VLOOKUP(B1187,'Cleaned Trainer Data'!$A$2:$E$9,2,FALSE),"No Trainer Assigned")</f>
        <v>No Trainer Assigned</v>
      </c>
      <c r="D1187" t="str">
        <f>IFERROR(VLOOKUP(B1187,'Cleaned Trainer Data'!$A$2:$E$11,4,FALSE),"0")</f>
        <v>0</v>
      </c>
    </row>
    <row r="1188" spans="1:4" x14ac:dyDescent="0.35">
      <c r="A1188" t="s">
        <v>1219</v>
      </c>
      <c r="B1188" t="s">
        <v>37</v>
      </c>
      <c r="C1188" t="str">
        <f>IFERROR(VLOOKUP(B1188,'Cleaned Trainer Data'!$A$2:$E$9,2,FALSE),"No Trainer Assigned")</f>
        <v>No Trainer Assigned</v>
      </c>
      <c r="D1188" t="str">
        <f>IFERROR(VLOOKUP(B1188,'Cleaned Trainer Data'!$A$2:$E$11,4,FALSE),"0")</f>
        <v>0</v>
      </c>
    </row>
    <row r="1189" spans="1:4" x14ac:dyDescent="0.35">
      <c r="A1189" t="s">
        <v>1220</v>
      </c>
      <c r="B1189" t="s">
        <v>37</v>
      </c>
      <c r="C1189" t="str">
        <f>IFERROR(VLOOKUP(B1189,'Cleaned Trainer Data'!$A$2:$E$9,2,FALSE),"No Trainer Assigned")</f>
        <v>No Trainer Assigned</v>
      </c>
      <c r="D1189" t="str">
        <f>IFERROR(VLOOKUP(B1189,'Cleaned Trainer Data'!$A$2:$E$11,4,FALSE),"0")</f>
        <v>0</v>
      </c>
    </row>
    <row r="1190" spans="1:4" x14ac:dyDescent="0.35">
      <c r="A1190" t="s">
        <v>1221</v>
      </c>
      <c r="B1190" t="s">
        <v>18</v>
      </c>
      <c r="C1190" t="str">
        <f>IFERROR(VLOOKUP(B1190,'Cleaned Trainer Data'!$A$2:$E$9,2,FALSE),"No Trainer Assigned")</f>
        <v>Meera</v>
      </c>
      <c r="D1190">
        <f>IFERROR(VLOOKUP(B1190,'Cleaned Trainer Data'!$A$2:$E$11,4,FALSE),"0")</f>
        <v>4.75</v>
      </c>
    </row>
    <row r="1191" spans="1:4" x14ac:dyDescent="0.35">
      <c r="A1191" t="s">
        <v>1222</v>
      </c>
      <c r="B1191" t="s">
        <v>37</v>
      </c>
      <c r="C1191" t="str">
        <f>IFERROR(VLOOKUP(B1191,'Cleaned Trainer Data'!$A$2:$E$9,2,FALSE),"No Trainer Assigned")</f>
        <v>No Trainer Assigned</v>
      </c>
      <c r="D1191" t="str">
        <f>IFERROR(VLOOKUP(B1191,'Cleaned Trainer Data'!$A$2:$E$11,4,FALSE),"0")</f>
        <v>0</v>
      </c>
    </row>
    <row r="1192" spans="1:4" x14ac:dyDescent="0.35">
      <c r="A1192" t="s">
        <v>1223</v>
      </c>
      <c r="B1192" t="s">
        <v>18</v>
      </c>
      <c r="C1192" t="str">
        <f>IFERROR(VLOOKUP(B1192,'Cleaned Trainer Data'!$A$2:$E$9,2,FALSE),"No Trainer Assigned")</f>
        <v>Meera</v>
      </c>
      <c r="D1192">
        <f>IFERROR(VLOOKUP(B1192,'Cleaned Trainer Data'!$A$2:$E$11,4,FALSE),"0")</f>
        <v>4.75</v>
      </c>
    </row>
    <row r="1193" spans="1:4" x14ac:dyDescent="0.35">
      <c r="A1193" t="s">
        <v>1224</v>
      </c>
      <c r="B1193" t="s">
        <v>18</v>
      </c>
      <c r="C1193" t="str">
        <f>IFERROR(VLOOKUP(B1193,'Cleaned Trainer Data'!$A$2:$E$9,2,FALSE),"No Trainer Assigned")</f>
        <v>Meera</v>
      </c>
      <c r="D1193">
        <f>IFERROR(VLOOKUP(B1193,'Cleaned Trainer Data'!$A$2:$E$11,4,FALSE),"0")</f>
        <v>4.75</v>
      </c>
    </row>
    <row r="1194" spans="1:4" x14ac:dyDescent="0.35">
      <c r="A1194" t="s">
        <v>1225</v>
      </c>
      <c r="B1194" t="s">
        <v>37</v>
      </c>
      <c r="C1194" t="str">
        <f>IFERROR(VLOOKUP(B1194,'Cleaned Trainer Data'!$A$2:$E$9,2,FALSE),"No Trainer Assigned")</f>
        <v>No Trainer Assigned</v>
      </c>
      <c r="D1194" t="str">
        <f>IFERROR(VLOOKUP(B1194,'Cleaned Trainer Data'!$A$2:$E$11,4,FALSE),"0")</f>
        <v>0</v>
      </c>
    </row>
    <row r="1195" spans="1:4" x14ac:dyDescent="0.35">
      <c r="A1195" t="s">
        <v>1226</v>
      </c>
      <c r="B1195" t="s">
        <v>14</v>
      </c>
      <c r="C1195" t="str">
        <f>IFERROR(VLOOKUP(B1195,'Cleaned Trainer Data'!$A$2:$E$9,2,FALSE),"No Trainer Assigned")</f>
        <v>Vishal</v>
      </c>
      <c r="D1195">
        <f>IFERROR(VLOOKUP(B1195,'Cleaned Trainer Data'!$A$2:$E$11,4,FALSE),"0")</f>
        <v>3.09</v>
      </c>
    </row>
    <row r="1196" spans="1:4" x14ac:dyDescent="0.35">
      <c r="A1196" t="s">
        <v>1227</v>
      </c>
      <c r="B1196" t="s">
        <v>21</v>
      </c>
      <c r="C1196" t="str">
        <f>IFERROR(VLOOKUP(B1196,'Cleaned Trainer Data'!$A$2:$E$9,2,FALSE),"No Trainer Assigned")</f>
        <v>Kavya</v>
      </c>
      <c r="D1196">
        <f>IFERROR(VLOOKUP(B1196,'Cleaned Trainer Data'!$A$2:$E$11,4,FALSE),"0")</f>
        <v>3.28</v>
      </c>
    </row>
    <row r="1197" spans="1:4" x14ac:dyDescent="0.35">
      <c r="A1197" t="s">
        <v>1228</v>
      </c>
      <c r="B1197" t="s">
        <v>10</v>
      </c>
      <c r="C1197" t="str">
        <f>IFERROR(VLOOKUP(B1197,'Cleaned Trainer Data'!$A$2:$E$9,2,FALSE),"No Trainer Assigned")</f>
        <v>Arun</v>
      </c>
      <c r="D1197">
        <f>IFERROR(VLOOKUP(B1197,'Cleaned Trainer Data'!$A$2:$E$11,4,FALSE),"0")</f>
        <v>4.3</v>
      </c>
    </row>
    <row r="1198" spans="1:4" x14ac:dyDescent="0.35">
      <c r="A1198" t="s">
        <v>1229</v>
      </c>
      <c r="B1198" t="s">
        <v>18</v>
      </c>
      <c r="C1198" t="str">
        <f>IFERROR(VLOOKUP(B1198,'Cleaned Trainer Data'!$A$2:$E$9,2,FALSE),"No Trainer Assigned")</f>
        <v>Meera</v>
      </c>
      <c r="D1198">
        <f>IFERROR(VLOOKUP(B1198,'Cleaned Trainer Data'!$A$2:$E$11,4,FALSE),"0")</f>
        <v>4.75</v>
      </c>
    </row>
    <row r="1199" spans="1:4" x14ac:dyDescent="0.35">
      <c r="A1199" t="s">
        <v>1230</v>
      </c>
      <c r="B1199" t="s">
        <v>27</v>
      </c>
      <c r="C1199" t="str">
        <f>IFERROR(VLOOKUP(B1199,'Cleaned Trainer Data'!$A$2:$E$9,2,FALSE),"No Trainer Assigned")</f>
        <v>Joseph</v>
      </c>
      <c r="D1199">
        <f>IFERROR(VLOOKUP(B1199,'Cleaned Trainer Data'!$A$2:$E$11,4,FALSE),"0")</f>
        <v>4.58</v>
      </c>
    </row>
    <row r="1200" spans="1:4" x14ac:dyDescent="0.35">
      <c r="A1200" t="s">
        <v>1231</v>
      </c>
      <c r="B1200" t="s">
        <v>27</v>
      </c>
      <c r="C1200" t="str">
        <f>IFERROR(VLOOKUP(B1200,'Cleaned Trainer Data'!$A$2:$E$9,2,FALSE),"No Trainer Assigned")</f>
        <v>Joseph</v>
      </c>
      <c r="D1200">
        <f>IFERROR(VLOOKUP(B1200,'Cleaned Trainer Data'!$A$2:$E$11,4,FALSE),"0")</f>
        <v>4.58</v>
      </c>
    </row>
    <row r="1201" spans="1:4" x14ac:dyDescent="0.35">
      <c r="A1201" t="s">
        <v>1232</v>
      </c>
      <c r="B1201" t="s">
        <v>21</v>
      </c>
      <c r="C1201" t="str">
        <f>IFERROR(VLOOKUP(B1201,'Cleaned Trainer Data'!$A$2:$E$9,2,FALSE),"No Trainer Assigned")</f>
        <v>Kavya</v>
      </c>
      <c r="D1201">
        <f>IFERROR(VLOOKUP(B1201,'Cleaned Trainer Data'!$A$2:$E$11,4,FALSE),"0")</f>
        <v>3.28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28"/>
  <sheetViews>
    <sheetView zoomScale="88" zoomScaleNormal="85" workbookViewId="0">
      <selection activeCell="P21" sqref="P21"/>
    </sheetView>
  </sheetViews>
  <sheetFormatPr defaultRowHeight="14.5" x14ac:dyDescent="0.35"/>
  <cols>
    <col min="1" max="1" width="10.81640625" bestFit="1" customWidth="1"/>
    <col min="2" max="2" width="10.7265625" bestFit="1" customWidth="1"/>
    <col min="3" max="3" width="20.6328125" bestFit="1" customWidth="1"/>
    <col min="4" max="4" width="21.1796875" customWidth="1"/>
    <col min="5" max="5" width="10.7265625" bestFit="1" customWidth="1"/>
    <col min="6" max="6" width="12.26953125" bestFit="1" customWidth="1"/>
    <col min="7" max="7" width="22" bestFit="1" customWidth="1"/>
    <col min="8" max="8" width="23.81640625" customWidth="1"/>
    <col min="9" max="9" width="21.08984375" customWidth="1"/>
  </cols>
  <sheetData>
    <row r="2" spans="1:8" x14ac:dyDescent="0.35">
      <c r="A2" s="17"/>
      <c r="B2" s="16" t="s">
        <v>1273</v>
      </c>
      <c r="C2" s="15"/>
      <c r="D2" s="18"/>
      <c r="E2" s="16" t="s">
        <v>1274</v>
      </c>
      <c r="F2" s="15"/>
      <c r="G2" s="15"/>
      <c r="H2" s="18"/>
    </row>
    <row r="4" spans="1:8" x14ac:dyDescent="0.35">
      <c r="B4" s="12" t="s">
        <v>3</v>
      </c>
      <c r="C4" t="s">
        <v>1269</v>
      </c>
      <c r="E4" s="12" t="s">
        <v>1256</v>
      </c>
      <c r="F4" t="s">
        <v>1271</v>
      </c>
      <c r="G4" t="s">
        <v>1272</v>
      </c>
    </row>
    <row r="5" spans="1:8" x14ac:dyDescent="0.35">
      <c r="B5" s="13" t="s">
        <v>21</v>
      </c>
      <c r="C5" s="11">
        <v>190</v>
      </c>
      <c r="E5" s="13" t="s">
        <v>1248</v>
      </c>
      <c r="F5" s="11">
        <v>2120633</v>
      </c>
      <c r="G5" s="11">
        <v>11962</v>
      </c>
    </row>
    <row r="6" spans="1:8" x14ac:dyDescent="0.35">
      <c r="B6" s="13" t="s">
        <v>10</v>
      </c>
      <c r="C6" s="11">
        <v>204</v>
      </c>
      <c r="E6" s="13" t="s">
        <v>1249</v>
      </c>
      <c r="F6" s="11">
        <v>2382119</v>
      </c>
      <c r="G6" s="11">
        <v>13440</v>
      </c>
    </row>
    <row r="7" spans="1:8" x14ac:dyDescent="0.35">
      <c r="B7" s="13" t="s">
        <v>37</v>
      </c>
      <c r="C7" s="11">
        <v>207</v>
      </c>
      <c r="E7" s="13" t="s">
        <v>1253</v>
      </c>
      <c r="F7" s="11">
        <v>3144799</v>
      </c>
      <c r="G7" s="11">
        <v>17742</v>
      </c>
    </row>
    <row r="8" spans="1:8" x14ac:dyDescent="0.35">
      <c r="B8" s="13" t="s">
        <v>14</v>
      </c>
      <c r="C8" s="11">
        <v>195</v>
      </c>
      <c r="E8" s="13" t="s">
        <v>1251</v>
      </c>
      <c r="F8" s="11">
        <v>2291822</v>
      </c>
      <c r="G8" s="11">
        <v>12929</v>
      </c>
    </row>
    <row r="9" spans="1:8" x14ac:dyDescent="0.35">
      <c r="B9" s="13" t="s">
        <v>18</v>
      </c>
      <c r="C9" s="11">
        <v>206</v>
      </c>
      <c r="E9" s="13" t="s">
        <v>1252</v>
      </c>
      <c r="F9" s="11">
        <v>2405681</v>
      </c>
      <c r="G9" s="11">
        <v>13571</v>
      </c>
    </row>
    <row r="10" spans="1:8" x14ac:dyDescent="0.35">
      <c r="B10" s="13" t="s">
        <v>27</v>
      </c>
      <c r="C10" s="11">
        <v>198</v>
      </c>
      <c r="E10" s="13" t="s">
        <v>1250</v>
      </c>
      <c r="F10" s="11">
        <v>2380070</v>
      </c>
      <c r="G10" s="11">
        <v>13427</v>
      </c>
    </row>
    <row r="11" spans="1:8" x14ac:dyDescent="0.35">
      <c r="B11" s="13" t="s">
        <v>1268</v>
      </c>
      <c r="C11" s="11">
        <v>1200</v>
      </c>
      <c r="E11" s="13" t="s">
        <v>1268</v>
      </c>
      <c r="F11" s="11">
        <v>14725124</v>
      </c>
      <c r="G11" s="11">
        <v>83071</v>
      </c>
    </row>
    <row r="13" spans="1:8" x14ac:dyDescent="0.35">
      <c r="B13" s="16" t="s">
        <v>1275</v>
      </c>
      <c r="C13" s="15"/>
      <c r="E13" s="16" t="s">
        <v>1276</v>
      </c>
      <c r="F13" s="15"/>
    </row>
    <row r="15" spans="1:8" x14ac:dyDescent="0.35">
      <c r="B15" s="12" t="s">
        <v>7</v>
      </c>
      <c r="C15" s="14" t="s">
        <v>1270</v>
      </c>
      <c r="E15" s="12" t="s">
        <v>2</v>
      </c>
      <c r="F15" t="s">
        <v>1269</v>
      </c>
    </row>
    <row r="16" spans="1:8" x14ac:dyDescent="0.35">
      <c r="B16" s="13" t="s">
        <v>15</v>
      </c>
      <c r="C16" s="14">
        <v>3313031</v>
      </c>
      <c r="E16" s="13" t="s">
        <v>33</v>
      </c>
      <c r="F16" s="11">
        <v>166</v>
      </c>
    </row>
    <row r="17" spans="2:6" x14ac:dyDescent="0.35">
      <c r="B17" s="13" t="s">
        <v>77</v>
      </c>
      <c r="C17" s="14">
        <v>2837630</v>
      </c>
      <c r="E17" s="13" t="s">
        <v>24</v>
      </c>
      <c r="F17" s="11">
        <v>160</v>
      </c>
    </row>
    <row r="18" spans="2:6" x14ac:dyDescent="0.35">
      <c r="B18" s="13" t="s">
        <v>19</v>
      </c>
      <c r="C18" s="14">
        <v>3545893</v>
      </c>
      <c r="E18" s="13" t="s">
        <v>17</v>
      </c>
      <c r="F18" s="11">
        <v>174</v>
      </c>
    </row>
    <row r="19" spans="2:6" x14ac:dyDescent="0.35">
      <c r="B19" s="13" t="s">
        <v>11</v>
      </c>
      <c r="C19" s="14">
        <v>3399338</v>
      </c>
      <c r="E19" s="13" t="s">
        <v>56</v>
      </c>
      <c r="F19" s="11">
        <v>184</v>
      </c>
    </row>
    <row r="20" spans="2:6" x14ac:dyDescent="0.35">
      <c r="B20" s="13" t="s">
        <v>31</v>
      </c>
      <c r="C20" s="14">
        <v>4034138</v>
      </c>
      <c r="E20" s="13" t="s">
        <v>9</v>
      </c>
      <c r="F20" s="11">
        <v>169</v>
      </c>
    </row>
    <row r="21" spans="2:6" x14ac:dyDescent="0.35">
      <c r="B21" s="13" t="s">
        <v>67</v>
      </c>
      <c r="C21" s="14">
        <v>3231986</v>
      </c>
      <c r="E21" s="13" t="s">
        <v>13</v>
      </c>
      <c r="F21" s="11">
        <v>179</v>
      </c>
    </row>
    <row r="22" spans="2:6" x14ac:dyDescent="0.35">
      <c r="B22" s="13" t="s">
        <v>43</v>
      </c>
      <c r="C22" s="14">
        <v>2480854</v>
      </c>
      <c r="E22" s="13" t="s">
        <v>45</v>
      </c>
      <c r="F22" s="11">
        <v>168</v>
      </c>
    </row>
    <row r="23" spans="2:6" x14ac:dyDescent="0.35">
      <c r="B23" s="13" t="s">
        <v>38</v>
      </c>
      <c r="C23" s="14">
        <v>3393793</v>
      </c>
      <c r="E23" s="13" t="s">
        <v>1268</v>
      </c>
      <c r="F23" s="11">
        <v>1200</v>
      </c>
    </row>
    <row r="24" spans="2:6" x14ac:dyDescent="0.35">
      <c r="B24" s="13" t="s">
        <v>53</v>
      </c>
      <c r="C24" s="14">
        <v>3448691</v>
      </c>
    </row>
    <row r="25" spans="2:6" x14ac:dyDescent="0.35">
      <c r="B25" s="13" t="s">
        <v>22</v>
      </c>
      <c r="C25" s="14">
        <v>3366455</v>
      </c>
    </row>
    <row r="26" spans="2:6" x14ac:dyDescent="0.35">
      <c r="B26" s="13" t="s">
        <v>29</v>
      </c>
      <c r="C26" s="14">
        <v>2876138</v>
      </c>
    </row>
    <row r="27" spans="2:6" x14ac:dyDescent="0.35">
      <c r="B27" s="13" t="s">
        <v>25</v>
      </c>
      <c r="C27" s="14">
        <v>3194551</v>
      </c>
    </row>
    <row r="28" spans="2:6" x14ac:dyDescent="0.35">
      <c r="B28" s="13" t="s">
        <v>1268</v>
      </c>
      <c r="C28" s="14">
        <v>39122498</v>
      </c>
    </row>
  </sheetData>
  <mergeCells count="4">
    <mergeCell ref="B2:C2"/>
    <mergeCell ref="E2:G2"/>
    <mergeCell ref="B13:C13"/>
    <mergeCell ref="E13:F1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opLeftCell="A2" zoomScale="75" workbookViewId="0">
      <selection activeCell="U24" sqref="U24"/>
    </sheetView>
  </sheetViews>
  <sheetFormatPr defaultRowHeight="14.5" x14ac:dyDescent="0.3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I6"/>
  <sheetViews>
    <sheetView showGridLines="0" tabSelected="1" zoomScale="49" zoomScaleNormal="70" workbookViewId="0">
      <selection activeCell="AN50" sqref="AN50"/>
    </sheetView>
  </sheetViews>
  <sheetFormatPr defaultRowHeight="14.5" x14ac:dyDescent="0.35"/>
  <cols>
    <col min="1" max="16384" width="8.7265625" style="20"/>
  </cols>
  <sheetData>
    <row r="6" spans="9:9" ht="61.5" x14ac:dyDescent="1.35">
      <c r="I6" s="2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zoomScale="94" zoomScaleNormal="115" workbookViewId="0">
      <selection activeCell="L27" sqref="L27"/>
    </sheetView>
  </sheetViews>
  <sheetFormatPr defaultRowHeight="14.5" x14ac:dyDescent="0.3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B219A5-43DB-42DB-8472-4BCE122943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Enrollments</vt:lpstr>
      <vt:lpstr>Marketing</vt:lpstr>
      <vt:lpstr>Trainer</vt:lpstr>
      <vt:lpstr>Revenue</vt:lpstr>
      <vt:lpstr>Cleaned enrollment data</vt:lpstr>
      <vt:lpstr>Cleaned Marketing data</vt:lpstr>
      <vt:lpstr>Cleaned Trainer Data</vt:lpstr>
      <vt:lpstr>Cleaned Revenue data</vt:lpstr>
      <vt:lpstr>Student count per course</vt:lpstr>
      <vt:lpstr>Month_KPIs</vt:lpstr>
      <vt:lpstr>Lookup_Mapping</vt:lpstr>
      <vt:lpstr>Pivot_Tables</vt:lpstr>
      <vt:lpstr>Data_Visualisation</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Rithika</dc:creator>
  <cp:lastModifiedBy>Rithika Adike</cp:lastModifiedBy>
  <dcterms:created xsi:type="dcterms:W3CDTF">2026-03-12T08:59:53Z</dcterms:created>
  <dcterms:modified xsi:type="dcterms:W3CDTF">2026-03-16T18:10:26Z</dcterms:modified>
</cp:coreProperties>
</file>